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24226"/>
  <mc:AlternateContent xmlns:mc="http://schemas.openxmlformats.org/markup-compatibility/2006">
    <mc:Choice Requires="x15">
      <x15ac:absPath xmlns:x15ac="http://schemas.microsoft.com/office/spreadsheetml/2010/11/ac" url="D:\_이전pc\천마기술단\"/>
    </mc:Choice>
  </mc:AlternateContent>
  <xr:revisionPtr revIDLastSave="0" documentId="13_ncr:1_{81E2B89B-482B-41A0-9396-72B11931962A}" xr6:coauthVersionLast="47" xr6:coauthVersionMax="47" xr10:uidLastSave="{00000000-0000-0000-0000-000000000000}"/>
  <bookViews>
    <workbookView xWindow="28680" yWindow="-120" windowWidth="29040" windowHeight="15840" activeTab="2" xr2:uid="{00000000-000D-0000-FFFF-FFFF00000000}"/>
  </bookViews>
  <sheets>
    <sheet name="수행과업" sheetId="4" r:id="rId1"/>
    <sheet name="부서협조" sheetId="5" r:id="rId2"/>
    <sheet name="외주관리" sheetId="6" r:id="rId3"/>
    <sheet name="수행과업 (토목)" sheetId="14" r:id="rId4"/>
    <sheet name="부서협조 (토목)" sheetId="15" r:id="rId5"/>
    <sheet name="수행과업(도시)" sheetId="11" r:id="rId6"/>
    <sheet name="부서협조 (도시)" sheetId="12" r:id="rId7"/>
    <sheet name="외주관리 (도시)" sheetId="13" r:id="rId8"/>
    <sheet name="수행과업(교통)" sheetId="16" r:id="rId9"/>
    <sheet name="부서협조(교통)" sheetId="18" r:id="rId10"/>
    <sheet name="외주관리(교통)" sheetId="22" r:id="rId11"/>
    <sheet name="수행과업 (환경)" sheetId="23" r:id="rId12"/>
    <sheet name="부서협조 (환경)" sheetId="24" r:id="rId13"/>
    <sheet name="수행과업 (상하)" sheetId="26" r:id="rId14"/>
    <sheet name="외주관리 (상하)" sheetId="28" r:id="rId15"/>
    <sheet name="수행과업 (수자)" sheetId="29" r:id="rId16"/>
    <sheet name="부서협조 (수자)" sheetId="30" r:id="rId17"/>
    <sheet name="외주관리 (수자)" sheetId="31" r:id="rId18"/>
    <sheet name="수행과업 (단지)" sheetId="32" r:id="rId19"/>
    <sheet name="부서협조 (단지)" sheetId="33" r:id="rId20"/>
    <sheet name="외주관리 (단지)" sheetId="34" r:id="rId21"/>
    <sheet name="수행과업(감리)" sheetId="35" r:id="rId22"/>
  </sheets>
  <definedNames>
    <definedName name="_xlnm.Print_Area" localSheetId="1">부서협조!$A$1:$Q$196</definedName>
    <definedName name="_xlnm.Print_Area" localSheetId="19">'부서협조 (단지)'!$A$1:$Q$30</definedName>
    <definedName name="_xlnm.Print_Area" localSheetId="6">'부서협조 (도시)'!$A$1:$Q$10</definedName>
    <definedName name="_xlnm.Print_Area" localSheetId="16">'부서협조 (수자)'!$A$1:$Q$36</definedName>
    <definedName name="_xlnm.Print_Area" localSheetId="4">'부서협조 (토목)'!$A$1:$Q$8</definedName>
    <definedName name="_xlnm.Print_Area" localSheetId="12">'부서협조 (환경)'!$A$1:$Q$32</definedName>
    <definedName name="_xlnm.Print_Area" localSheetId="9">'부서협조(교통)'!$A$1:$Q$34</definedName>
    <definedName name="_xlnm.Print_Area" localSheetId="0">수행과업!$A$1:$Q$408</definedName>
    <definedName name="_xlnm.Print_Area" localSheetId="18">'수행과업 (단지)'!$A$1:$Q$29</definedName>
    <definedName name="_xlnm.Print_Area" localSheetId="13">'수행과업 (상하)'!$A$1:$Q$33</definedName>
    <definedName name="_xlnm.Print_Area" localSheetId="15">'수행과업 (수자)'!$A$1:$Q$71</definedName>
    <definedName name="_xlnm.Print_Area" localSheetId="3">'수행과업 (토목)'!$A$1:$Q$43</definedName>
    <definedName name="_xlnm.Print_Area" localSheetId="11">'수행과업 (환경)'!$A$1:$Q$33</definedName>
    <definedName name="_xlnm.Print_Area" localSheetId="21">'수행과업(감리)'!$A$1:$Q$165</definedName>
    <definedName name="_xlnm.Print_Area" localSheetId="8">'수행과업(교통)'!$A$1:$Q$19</definedName>
    <definedName name="_xlnm.Print_Area" localSheetId="5">'수행과업(도시)'!$A$1:$Q$43</definedName>
    <definedName name="_xlnm.Print_Area" localSheetId="2">외주관리!$A$1:$Q$59</definedName>
    <definedName name="_xlnm.Print_Area" localSheetId="20">'외주관리 (단지)'!$A$1:$Q$8</definedName>
    <definedName name="_xlnm.Print_Area" localSheetId="7">'외주관리 (도시)'!$A$1:$Q$6</definedName>
    <definedName name="_xlnm.Print_Area" localSheetId="14">'외주관리 (상하)'!$A$1:$Q$8</definedName>
    <definedName name="_xlnm.Print_Area" localSheetId="17">'외주관리 (수자)'!$A$1:$Q$62</definedName>
    <definedName name="_xlnm.Print_Area" localSheetId="10">'외주관리(교통)'!$A$1:$Q$6</definedName>
    <definedName name="_xlnm.Print_Titles" localSheetId="1">부서협조!$1:$1</definedName>
    <definedName name="_xlnm.Print_Titles" localSheetId="19">'부서협조 (단지)'!$1:$2</definedName>
    <definedName name="_xlnm.Print_Titles" localSheetId="16">'부서협조 (수자)'!$1:$2</definedName>
    <definedName name="_xlnm.Print_Titles" localSheetId="12">'부서협조 (환경)'!$1:$2</definedName>
    <definedName name="_xlnm.Print_Titles" localSheetId="0">수행과업!$1:$1</definedName>
    <definedName name="_xlnm.Print_Titles" localSheetId="18">'수행과업 (단지)'!$2:$3</definedName>
    <definedName name="_xlnm.Print_Titles" localSheetId="13">'수행과업 (상하)'!$2:$3</definedName>
    <definedName name="_xlnm.Print_Titles" localSheetId="15">'수행과업 (수자)'!$2:$3</definedName>
    <definedName name="_xlnm.Print_Titles" localSheetId="3">'수행과업 (토목)'!$2:$3</definedName>
    <definedName name="_xlnm.Print_Titles" localSheetId="11">'수행과업 (환경)'!$2:$3</definedName>
    <definedName name="_xlnm.Print_Titles" localSheetId="21">'수행과업(감리)'!$2:$3</definedName>
    <definedName name="_xlnm.Print_Titles" localSheetId="5">'수행과업(도시)'!$2:$3</definedName>
    <definedName name="_xlnm.Print_Titles" localSheetId="2">외주관리!$1:$1</definedName>
    <definedName name="_xlnm.Print_Titles" localSheetId="17">'외주관리 (수자)'!$1:$2</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Y192" i="5" l="1"/>
  <c r="AF191" i="5"/>
  <c r="W191" i="5"/>
  <c r="Y191" i="5" s="1"/>
  <c r="C191" i="5"/>
  <c r="AF186" i="5"/>
  <c r="AD186" i="5"/>
  <c r="Y186" i="5"/>
  <c r="AF185" i="5"/>
  <c r="W185" i="5"/>
  <c r="C185" i="5"/>
  <c r="Y185" i="5" l="1"/>
  <c r="AC401" i="4"/>
  <c r="W401" i="4"/>
  <c r="AE400" i="4"/>
  <c r="U400" i="4"/>
  <c r="U401" i="4" s="1"/>
  <c r="C400" i="4"/>
  <c r="AC399" i="4"/>
  <c r="W399" i="4"/>
  <c r="AE398" i="4"/>
  <c r="U398" i="4"/>
  <c r="U399" i="4" s="1"/>
  <c r="C398" i="4"/>
  <c r="AC397" i="4"/>
  <c r="W397" i="4"/>
  <c r="AE396" i="4"/>
  <c r="U396" i="4"/>
  <c r="W396" i="4" s="1"/>
  <c r="C396" i="4"/>
  <c r="AC395" i="4"/>
  <c r="W395" i="4"/>
  <c r="AE394" i="4"/>
  <c r="U394" i="4"/>
  <c r="W394" i="4" s="1"/>
  <c r="C394" i="4"/>
  <c r="AC393" i="4"/>
  <c r="W393" i="4"/>
  <c r="AE392" i="4"/>
  <c r="U392" i="4"/>
  <c r="U393" i="4" s="1"/>
  <c r="C392" i="4"/>
  <c r="AC391" i="4"/>
  <c r="W391" i="4"/>
  <c r="AE390" i="4"/>
  <c r="U390" i="4"/>
  <c r="U391" i="4" s="1"/>
  <c r="C390" i="4"/>
  <c r="AC389" i="4"/>
  <c r="W389" i="4"/>
  <c r="AE388" i="4"/>
  <c r="U388" i="4"/>
  <c r="U389" i="4" s="1"/>
  <c r="C388" i="4"/>
  <c r="AC387" i="4"/>
  <c r="W387" i="4"/>
  <c r="AE386" i="4"/>
  <c r="U386" i="4"/>
  <c r="U387" i="4" s="1"/>
  <c r="C386" i="4"/>
  <c r="AC385" i="4"/>
  <c r="W385" i="4"/>
  <c r="AE384" i="4"/>
  <c r="U384" i="4"/>
  <c r="W384" i="4" s="1"/>
  <c r="C384" i="4"/>
  <c r="W383" i="4"/>
  <c r="AE382" i="4"/>
  <c r="AC382" i="4"/>
  <c r="AC383" i="4" s="1"/>
  <c r="U382" i="4"/>
  <c r="C382" i="4"/>
  <c r="AC381" i="4"/>
  <c r="W381" i="4"/>
  <c r="AK380" i="4"/>
  <c r="AE380" i="4" s="1"/>
  <c r="U380" i="4"/>
  <c r="U381" i="4" s="1"/>
  <c r="C380" i="4"/>
  <c r="AC379" i="4"/>
  <c r="W379" i="4"/>
  <c r="AK378" i="4"/>
  <c r="AE378" i="4" s="1"/>
  <c r="U378" i="4"/>
  <c r="C378" i="4"/>
  <c r="AC377" i="4"/>
  <c r="W377" i="4"/>
  <c r="AK376" i="4"/>
  <c r="AI376" i="4"/>
  <c r="U376" i="4"/>
  <c r="U377" i="4" s="1"/>
  <c r="C376" i="4"/>
  <c r="AC375" i="4"/>
  <c r="W375" i="4"/>
  <c r="AI374" i="4"/>
  <c r="AE374" i="4" s="1"/>
  <c r="U374" i="4"/>
  <c r="U375" i="4" s="1"/>
  <c r="C374" i="4"/>
  <c r="W373" i="4"/>
  <c r="AK372" i="4"/>
  <c r="AE372" i="4" s="1"/>
  <c r="AC372" i="4"/>
  <c r="AC373" i="4" s="1"/>
  <c r="U372" i="4"/>
  <c r="U373" i="4" s="1"/>
  <c r="C372" i="4"/>
  <c r="W371" i="4"/>
  <c r="AK370" i="4"/>
  <c r="AI370" i="4"/>
  <c r="AC370" i="4"/>
  <c r="AC371" i="4" s="1"/>
  <c r="U370" i="4"/>
  <c r="C370" i="4"/>
  <c r="W369" i="4"/>
  <c r="AK368" i="4"/>
  <c r="AI368" i="4"/>
  <c r="AE368" i="4" s="1"/>
  <c r="AC368" i="4"/>
  <c r="AC369" i="4" s="1"/>
  <c r="U368" i="4"/>
  <c r="C368" i="4"/>
  <c r="AC367" i="4"/>
  <c r="W367" i="4"/>
  <c r="AE366" i="4"/>
  <c r="U366" i="4"/>
  <c r="C366" i="4"/>
  <c r="AC365" i="4"/>
  <c r="W365" i="4"/>
  <c r="AK364" i="4"/>
  <c r="AI364" i="4"/>
  <c r="U364" i="4"/>
  <c r="C364" i="4"/>
  <c r="AC363" i="4"/>
  <c r="W363" i="4"/>
  <c r="AK362" i="4"/>
  <c r="AI362" i="4"/>
  <c r="U362" i="4"/>
  <c r="C362" i="4"/>
  <c r="AC361" i="4"/>
  <c r="W361" i="4"/>
  <c r="AK360" i="4"/>
  <c r="AE360" i="4" s="1"/>
  <c r="U360" i="4"/>
  <c r="C360" i="4"/>
  <c r="AC359" i="4"/>
  <c r="W359" i="4"/>
  <c r="AE358" i="4"/>
  <c r="U358" i="4"/>
  <c r="U359" i="4" s="1"/>
  <c r="C358" i="4"/>
  <c r="W357" i="4"/>
  <c r="AK356" i="4"/>
  <c r="AI356" i="4"/>
  <c r="U356" i="4"/>
  <c r="C356" i="4"/>
  <c r="A356" i="4"/>
  <c r="AC355" i="4"/>
  <c r="W355" i="4"/>
  <c r="AE354" i="4"/>
  <c r="U354" i="4"/>
  <c r="U355" i="4" s="1"/>
  <c r="C354" i="4"/>
  <c r="AC353" i="4"/>
  <c r="W353" i="4"/>
  <c r="AE352" i="4"/>
  <c r="U352" i="4"/>
  <c r="C352" i="4"/>
  <c r="AC351" i="4"/>
  <c r="W351" i="4"/>
  <c r="AK350" i="4"/>
  <c r="AI350" i="4"/>
  <c r="U350" i="4"/>
  <c r="U351" i="4" s="1"/>
  <c r="C350" i="4"/>
  <c r="AC349" i="4"/>
  <c r="W349" i="4"/>
  <c r="AK348" i="4"/>
  <c r="AE348" i="4" s="1"/>
  <c r="U348" i="4"/>
  <c r="U349" i="4" s="1"/>
  <c r="C348" i="4"/>
  <c r="AC347" i="4"/>
  <c r="W347" i="4"/>
  <c r="AK346" i="4"/>
  <c r="AE346" i="4" s="1"/>
  <c r="U346" i="4"/>
  <c r="C346" i="4"/>
  <c r="AC345" i="4"/>
  <c r="W345" i="4"/>
  <c r="AK344" i="4"/>
  <c r="AI344" i="4"/>
  <c r="U344" i="4"/>
  <c r="U345" i="4" s="1"/>
  <c r="C344" i="4"/>
  <c r="AC343" i="4"/>
  <c r="W343" i="4"/>
  <c r="AK342" i="4"/>
  <c r="AI342" i="4"/>
  <c r="U342" i="4"/>
  <c r="C342" i="4"/>
  <c r="AC341" i="4"/>
  <c r="W341" i="4"/>
  <c r="AK340" i="4"/>
  <c r="AI340" i="4"/>
  <c r="U340" i="4"/>
  <c r="C340" i="4"/>
  <c r="AC339" i="4"/>
  <c r="W339" i="4"/>
  <c r="AE338" i="4"/>
  <c r="U338" i="4"/>
  <c r="C338" i="4"/>
  <c r="AC337" i="4"/>
  <c r="W337" i="4"/>
  <c r="AK336" i="4"/>
  <c r="AE336" i="4" s="1"/>
  <c r="U336" i="4"/>
  <c r="C336" i="4"/>
  <c r="AC335" i="4"/>
  <c r="W335" i="4"/>
  <c r="AE334" i="4"/>
  <c r="U334" i="4"/>
  <c r="C334" i="4"/>
  <c r="AC333" i="4"/>
  <c r="W333" i="4"/>
  <c r="AK332" i="4"/>
  <c r="AI332" i="4"/>
  <c r="U332" i="4"/>
  <c r="U333" i="4" s="1"/>
  <c r="C332" i="4"/>
  <c r="W331" i="4"/>
  <c r="AE330" i="4"/>
  <c r="AC330" i="4"/>
  <c r="AC331" i="4" s="1"/>
  <c r="U330" i="4"/>
  <c r="C330" i="4"/>
  <c r="AC329" i="4"/>
  <c r="W329" i="4"/>
  <c r="AE328" i="4"/>
  <c r="U328" i="4"/>
  <c r="C328" i="4"/>
  <c r="AC327" i="4"/>
  <c r="W327" i="4"/>
  <c r="AE326" i="4"/>
  <c r="U326" i="4"/>
  <c r="C326" i="4"/>
  <c r="AC325" i="4"/>
  <c r="W325" i="4"/>
  <c r="AK324" i="4"/>
  <c r="AI324" i="4"/>
  <c r="U324" i="4"/>
  <c r="C324" i="4"/>
  <c r="AC323" i="4"/>
  <c r="W323" i="4"/>
  <c r="AK322" i="4"/>
  <c r="AI322" i="4"/>
  <c r="U322" i="4"/>
  <c r="U323" i="4" s="1"/>
  <c r="C322" i="4"/>
  <c r="AC321" i="4"/>
  <c r="W321" i="4"/>
  <c r="AK320" i="4"/>
  <c r="AI320" i="4"/>
  <c r="U320" i="4"/>
  <c r="U321" i="4" s="1"/>
  <c r="C320" i="4"/>
  <c r="AC319" i="4"/>
  <c r="W319" i="4"/>
  <c r="AE318" i="4"/>
  <c r="U318" i="4"/>
  <c r="U319" i="4" s="1"/>
  <c r="C318" i="4"/>
  <c r="AC317" i="4"/>
  <c r="W317" i="4"/>
  <c r="AK316" i="4"/>
  <c r="AI316" i="4"/>
  <c r="U316" i="4"/>
  <c r="C316" i="4"/>
  <c r="AC315" i="4"/>
  <c r="W315" i="4"/>
  <c r="AK314" i="4"/>
  <c r="AI314" i="4"/>
  <c r="U314" i="4"/>
  <c r="U315" i="4" s="1"/>
  <c r="C314" i="4"/>
  <c r="AC313" i="4"/>
  <c r="W313" i="4"/>
  <c r="AM312" i="4"/>
  <c r="AK312" i="4"/>
  <c r="AI312" i="4"/>
  <c r="U312" i="4"/>
  <c r="U313" i="4" s="1"/>
  <c r="C312" i="4"/>
  <c r="AC311" i="4"/>
  <c r="W311" i="4"/>
  <c r="AK310" i="4"/>
  <c r="AI310" i="4"/>
  <c r="U310" i="4"/>
  <c r="C310" i="4"/>
  <c r="AC309" i="4"/>
  <c r="W309" i="4"/>
  <c r="AM308" i="4"/>
  <c r="AE308" i="4" s="1"/>
  <c r="U308" i="4"/>
  <c r="U309" i="4" s="1"/>
  <c r="C308" i="4"/>
  <c r="AC307" i="4"/>
  <c r="W307" i="4"/>
  <c r="AE306" i="4"/>
  <c r="U306" i="4"/>
  <c r="C306" i="4"/>
  <c r="AC305" i="4"/>
  <c r="W305" i="4"/>
  <c r="AK304" i="4"/>
  <c r="AI304" i="4"/>
  <c r="U304" i="4"/>
  <c r="U305" i="4" s="1"/>
  <c r="C304" i="4"/>
  <c r="AC303" i="4"/>
  <c r="W303" i="4"/>
  <c r="AK302" i="4"/>
  <c r="AI302" i="4"/>
  <c r="U302" i="4"/>
  <c r="C302" i="4"/>
  <c r="AC301" i="4"/>
  <c r="W301" i="4"/>
  <c r="AK300" i="4"/>
  <c r="AI300" i="4"/>
  <c r="U300" i="4"/>
  <c r="C300" i="4"/>
  <c r="W299" i="4"/>
  <c r="AK298" i="4"/>
  <c r="AI298" i="4"/>
  <c r="AC298" i="4"/>
  <c r="AC299" i="4" s="1"/>
  <c r="U298" i="4"/>
  <c r="C298" i="4"/>
  <c r="W297" i="4"/>
  <c r="AK296" i="4"/>
  <c r="AI296" i="4"/>
  <c r="AC296" i="4"/>
  <c r="AC297" i="4" s="1"/>
  <c r="U296" i="4"/>
  <c r="C296" i="4"/>
  <c r="AC295" i="4"/>
  <c r="W295" i="4"/>
  <c r="AK294" i="4"/>
  <c r="AI294" i="4"/>
  <c r="U294" i="4"/>
  <c r="C294" i="4"/>
  <c r="AC293" i="4"/>
  <c r="W293" i="4"/>
  <c r="AK292" i="4"/>
  <c r="AI292" i="4"/>
  <c r="U292" i="4"/>
  <c r="C292" i="4"/>
  <c r="AC291" i="4"/>
  <c r="W291" i="4"/>
  <c r="AK290" i="4"/>
  <c r="AI290" i="4"/>
  <c r="U290" i="4"/>
  <c r="U291" i="4" s="1"/>
  <c r="C290" i="4"/>
  <c r="AC165" i="35"/>
  <c r="U165" i="35"/>
  <c r="P165" i="35"/>
  <c r="AC164" i="35"/>
  <c r="W164" i="35"/>
  <c r="U164" i="35"/>
  <c r="AE163" i="35"/>
  <c r="W163" i="35"/>
  <c r="U163" i="35"/>
  <c r="O163" i="35"/>
  <c r="N163" i="35"/>
  <c r="M163" i="35"/>
  <c r="L163" i="35"/>
  <c r="K163" i="35"/>
  <c r="J163" i="35"/>
  <c r="I163" i="35"/>
  <c r="G163" i="35"/>
  <c r="F163" i="35"/>
  <c r="E163" i="35"/>
  <c r="D163" i="35"/>
  <c r="AE162" i="35"/>
  <c r="AE165" i="35" s="1"/>
  <c r="U162" i="35"/>
  <c r="W165" i="35" s="1"/>
  <c r="C162" i="35"/>
  <c r="Y163" i="35" s="1"/>
  <c r="A162" i="35"/>
  <c r="AC161" i="35"/>
  <c r="W161" i="35"/>
  <c r="AE160" i="35"/>
  <c r="U160" i="35"/>
  <c r="U161" i="35" s="1"/>
  <c r="C160" i="35"/>
  <c r="AC159" i="35"/>
  <c r="W159" i="35"/>
  <c r="AE158" i="35"/>
  <c r="U158" i="35"/>
  <c r="U159" i="35" s="1"/>
  <c r="C158" i="35"/>
  <c r="AC157" i="35"/>
  <c r="W157" i="35"/>
  <c r="AE156" i="35"/>
  <c r="U156" i="35"/>
  <c r="W156" i="35" s="1"/>
  <c r="C156" i="35"/>
  <c r="AC155" i="35"/>
  <c r="W155" i="35"/>
  <c r="AE154" i="35"/>
  <c r="U154" i="35"/>
  <c r="W154" i="35" s="1"/>
  <c r="C154" i="35"/>
  <c r="AC153" i="35"/>
  <c r="W153" i="35"/>
  <c r="AE152" i="35"/>
  <c r="U152" i="35"/>
  <c r="U153" i="35" s="1"/>
  <c r="C152" i="35"/>
  <c r="AC151" i="35"/>
  <c r="W151" i="35"/>
  <c r="AE150" i="35"/>
  <c r="U150" i="35"/>
  <c r="U151" i="35" s="1"/>
  <c r="C150" i="35"/>
  <c r="AC149" i="35"/>
  <c r="W149" i="35"/>
  <c r="AE148" i="35"/>
  <c r="U148" i="35"/>
  <c r="U149" i="35" s="1"/>
  <c r="C148" i="35"/>
  <c r="AC147" i="35"/>
  <c r="W147" i="35"/>
  <c r="AE146" i="35"/>
  <c r="W146" i="35"/>
  <c r="U146" i="35"/>
  <c r="U147" i="35" s="1"/>
  <c r="C146" i="35"/>
  <c r="AC145" i="35"/>
  <c r="W145" i="35"/>
  <c r="W144" i="35" s="1"/>
  <c r="U145" i="35"/>
  <c r="AE144" i="35"/>
  <c r="U144" i="35"/>
  <c r="C144" i="35"/>
  <c r="W143" i="35"/>
  <c r="AE142" i="35"/>
  <c r="AC142" i="35"/>
  <c r="AC143" i="35" s="1"/>
  <c r="U142" i="35"/>
  <c r="U143" i="35" s="1"/>
  <c r="C142" i="35"/>
  <c r="AC141" i="35"/>
  <c r="W141" i="35"/>
  <c r="AK140" i="35"/>
  <c r="AE140" i="35" s="1"/>
  <c r="U140" i="35"/>
  <c r="U141" i="35" s="1"/>
  <c r="C140" i="35"/>
  <c r="AC139" i="35"/>
  <c r="W139" i="35"/>
  <c r="W138" i="35" s="1"/>
  <c r="AK138" i="35"/>
  <c r="AE138" i="35"/>
  <c r="U138" i="35"/>
  <c r="U139" i="35" s="1"/>
  <c r="C138" i="35"/>
  <c r="AC137" i="35"/>
  <c r="W137" i="35"/>
  <c r="U137" i="35"/>
  <c r="AK136" i="35"/>
  <c r="AI136" i="35"/>
  <c r="AE136" i="35" s="1"/>
  <c r="U136" i="35"/>
  <c r="C136" i="35"/>
  <c r="AC135" i="35"/>
  <c r="W135" i="35"/>
  <c r="AI134" i="35"/>
  <c r="AE134" i="35" s="1"/>
  <c r="W134" i="35"/>
  <c r="U134" i="35"/>
  <c r="U135" i="35" s="1"/>
  <c r="C134" i="35"/>
  <c r="AC133" i="35"/>
  <c r="W133" i="35"/>
  <c r="W132" i="35" s="1"/>
  <c r="U133" i="35"/>
  <c r="AK132" i="35"/>
  <c r="AE132" i="35" s="1"/>
  <c r="AC132" i="35"/>
  <c r="U132" i="35"/>
  <c r="C132" i="35"/>
  <c r="W131" i="35"/>
  <c r="AK130" i="35"/>
  <c r="AI130" i="35"/>
  <c r="AE130" i="35" s="1"/>
  <c r="AC130" i="35"/>
  <c r="AC131" i="35" s="1"/>
  <c r="U130" i="35"/>
  <c r="U131" i="35" s="1"/>
  <c r="C130" i="35"/>
  <c r="W129" i="35"/>
  <c r="AK128" i="35"/>
  <c r="AI128" i="35"/>
  <c r="AE128" i="35"/>
  <c r="AC128" i="35"/>
  <c r="AC129" i="35" s="1"/>
  <c r="U128" i="35"/>
  <c r="W128" i="35" s="1"/>
  <c r="C128" i="35"/>
  <c r="AC127" i="35"/>
  <c r="AC126" i="35"/>
  <c r="W126" i="35"/>
  <c r="AE125" i="35"/>
  <c r="W125" i="35"/>
  <c r="U125" i="35"/>
  <c r="U127" i="35" s="1"/>
  <c r="I125" i="35"/>
  <c r="H125" i="35"/>
  <c r="G125" i="35"/>
  <c r="F125" i="35"/>
  <c r="E125" i="35"/>
  <c r="D125" i="35"/>
  <c r="AK124" i="35"/>
  <c r="AI124" i="35"/>
  <c r="AE124" i="35" s="1"/>
  <c r="AE127" i="35" s="1"/>
  <c r="W124" i="35"/>
  <c r="U124" i="35"/>
  <c r="W127" i="35" s="1"/>
  <c r="C124" i="35"/>
  <c r="P127" i="35" s="1"/>
  <c r="A124" i="35"/>
  <c r="AC123" i="35"/>
  <c r="W123" i="35"/>
  <c r="U123" i="35"/>
  <c r="AE122" i="35"/>
  <c r="U122" i="35"/>
  <c r="C122" i="35"/>
  <c r="AC121" i="35"/>
  <c r="AC120" i="35"/>
  <c r="W120" i="35"/>
  <c r="AE119" i="35"/>
  <c r="W119" i="35"/>
  <c r="U119" i="35"/>
  <c r="O119" i="35"/>
  <c r="N119" i="35"/>
  <c r="M119" i="35"/>
  <c r="L119" i="35"/>
  <c r="K119" i="35"/>
  <c r="J119" i="35"/>
  <c r="I119" i="35"/>
  <c r="H119" i="35"/>
  <c r="G119" i="35"/>
  <c r="F119" i="35"/>
  <c r="E119" i="35"/>
  <c r="D119" i="35"/>
  <c r="AK118" i="35"/>
  <c r="AI118" i="35"/>
  <c r="U118" i="35"/>
  <c r="U120" i="35" s="1"/>
  <c r="C118" i="35"/>
  <c r="Y119" i="35" s="1"/>
  <c r="AC117" i="35"/>
  <c r="AC116" i="35"/>
  <c r="W116" i="35"/>
  <c r="AE115" i="35"/>
  <c r="X115" i="35"/>
  <c r="W115" i="35"/>
  <c r="U115" i="35"/>
  <c r="U117" i="35" s="1"/>
  <c r="O115" i="35"/>
  <c r="N115" i="35"/>
  <c r="M115" i="35"/>
  <c r="L115" i="35"/>
  <c r="K115" i="35"/>
  <c r="J115" i="35"/>
  <c r="I115" i="35"/>
  <c r="H115" i="35"/>
  <c r="G115" i="35"/>
  <c r="F115" i="35"/>
  <c r="E115" i="35"/>
  <c r="D115" i="35"/>
  <c r="AK114" i="35"/>
  <c r="AI114" i="35"/>
  <c r="AE114" i="35" s="1"/>
  <c r="U114" i="35"/>
  <c r="C114" i="35"/>
  <c r="Y115" i="35" s="1"/>
  <c r="A114" i="35"/>
  <c r="A118" i="35" s="1"/>
  <c r="AC113" i="35"/>
  <c r="W113" i="35"/>
  <c r="AK112" i="35"/>
  <c r="AE112" i="35" s="1"/>
  <c r="U112" i="35"/>
  <c r="W112" i="35" s="1"/>
  <c r="C112" i="35"/>
  <c r="AC111" i="35"/>
  <c r="W111" i="35"/>
  <c r="W110" i="35" s="1"/>
  <c r="U111" i="35"/>
  <c r="AE110" i="35"/>
  <c r="U110" i="35"/>
  <c r="C110" i="35"/>
  <c r="W108" i="35"/>
  <c r="AE107" i="35"/>
  <c r="AC107" i="35"/>
  <c r="AC109" i="35" s="1"/>
  <c r="W107" i="35"/>
  <c r="U107" i="35"/>
  <c r="O107" i="35"/>
  <c r="N107" i="35"/>
  <c r="M107" i="35"/>
  <c r="L107" i="35"/>
  <c r="K107" i="35"/>
  <c r="J107" i="35"/>
  <c r="H107" i="35"/>
  <c r="G107" i="35"/>
  <c r="F107" i="35"/>
  <c r="E107" i="35"/>
  <c r="D107" i="35"/>
  <c r="AK106" i="35"/>
  <c r="AI106" i="35"/>
  <c r="AE106" i="35"/>
  <c r="AE109" i="35" s="1"/>
  <c r="U106" i="35"/>
  <c r="C106" i="35"/>
  <c r="P109" i="35" s="1"/>
  <c r="A106" i="35"/>
  <c r="AC105" i="35"/>
  <c r="W105" i="35"/>
  <c r="AE104" i="35"/>
  <c r="U104" i="35"/>
  <c r="U105" i="35" s="1"/>
  <c r="C104" i="35"/>
  <c r="AC103" i="35"/>
  <c r="W103" i="35"/>
  <c r="U103" i="35"/>
  <c r="AE102" i="35"/>
  <c r="U102" i="35"/>
  <c r="C102" i="35"/>
  <c r="AC101" i="35"/>
  <c r="W101" i="35"/>
  <c r="AK100" i="35"/>
  <c r="AI100" i="35"/>
  <c r="AE100" i="35" s="1"/>
  <c r="U100" i="35"/>
  <c r="C100" i="35"/>
  <c r="AC99" i="35"/>
  <c r="W99" i="35"/>
  <c r="AK98" i="35"/>
  <c r="AE98" i="35" s="1"/>
  <c r="W98" i="35"/>
  <c r="U98" i="35"/>
  <c r="U99" i="35" s="1"/>
  <c r="C98" i="35"/>
  <c r="AC97" i="35"/>
  <c r="W97" i="35"/>
  <c r="AK96" i="35"/>
  <c r="AE96" i="35" s="1"/>
  <c r="U96" i="35"/>
  <c r="W96" i="35" s="1"/>
  <c r="C96" i="35"/>
  <c r="AC95" i="35"/>
  <c r="W95" i="35"/>
  <c r="AK94" i="35"/>
  <c r="AI94" i="35"/>
  <c r="AE94" i="35" s="1"/>
  <c r="U94" i="35"/>
  <c r="C94" i="35"/>
  <c r="AC93" i="35"/>
  <c r="AC92" i="35"/>
  <c r="W92" i="35"/>
  <c r="AE91" i="35"/>
  <c r="Y91" i="35"/>
  <c r="W91" i="35"/>
  <c r="W90" i="35" s="1"/>
  <c r="U91" i="35"/>
  <c r="O91" i="35"/>
  <c r="N91" i="35"/>
  <c r="M91" i="35"/>
  <c r="L91" i="35"/>
  <c r="K91" i="35"/>
  <c r="J91" i="35"/>
  <c r="I91" i="35"/>
  <c r="H91" i="35"/>
  <c r="G91" i="35"/>
  <c r="F91" i="35"/>
  <c r="E91" i="35"/>
  <c r="D91" i="35"/>
  <c r="AK90" i="35"/>
  <c r="AI90" i="35"/>
  <c r="AE90" i="35" s="1"/>
  <c r="AE93" i="35" s="1"/>
  <c r="U90" i="35"/>
  <c r="U92" i="35" s="1"/>
  <c r="C90" i="35"/>
  <c r="X91" i="35" s="1"/>
  <c r="AC89" i="35"/>
  <c r="AC88" i="35"/>
  <c r="W88" i="35"/>
  <c r="AE87" i="35"/>
  <c r="Y87" i="35"/>
  <c r="W87" i="35"/>
  <c r="U87" i="35"/>
  <c r="U88" i="35" s="1"/>
  <c r="O87" i="35"/>
  <c r="N87" i="35"/>
  <c r="M87" i="35"/>
  <c r="L87" i="35"/>
  <c r="K87" i="35"/>
  <c r="J87" i="35"/>
  <c r="I87" i="35"/>
  <c r="H87" i="35"/>
  <c r="G87" i="35"/>
  <c r="F87" i="35"/>
  <c r="E87" i="35"/>
  <c r="D87" i="35"/>
  <c r="AK86" i="35"/>
  <c r="AI86" i="35"/>
  <c r="U86" i="35"/>
  <c r="C86" i="35"/>
  <c r="X87" i="35" s="1"/>
  <c r="AC85" i="35"/>
  <c r="AC84" i="35"/>
  <c r="W84" i="35"/>
  <c r="AE83" i="35"/>
  <c r="W83" i="35"/>
  <c r="U83" i="35"/>
  <c r="U85" i="35" s="1"/>
  <c r="O83" i="35"/>
  <c r="N83" i="35"/>
  <c r="M83" i="35"/>
  <c r="L83" i="35"/>
  <c r="K83" i="35"/>
  <c r="J83" i="35"/>
  <c r="I83" i="35"/>
  <c r="H83" i="35"/>
  <c r="G83" i="35"/>
  <c r="F83" i="35"/>
  <c r="E83" i="35"/>
  <c r="D83" i="35"/>
  <c r="AK82" i="35"/>
  <c r="AI82" i="35"/>
  <c r="AE82" i="35" s="1"/>
  <c r="AE85" i="35" s="1"/>
  <c r="U82" i="35"/>
  <c r="C82" i="35"/>
  <c r="Y83" i="35" s="1"/>
  <c r="AC81" i="35"/>
  <c r="AC80" i="35"/>
  <c r="W80" i="35"/>
  <c r="AE79" i="35"/>
  <c r="W79" i="35"/>
  <c r="U79" i="35"/>
  <c r="O79" i="35"/>
  <c r="N79" i="35"/>
  <c r="M79" i="35"/>
  <c r="L79" i="35"/>
  <c r="K79" i="35"/>
  <c r="J79" i="35"/>
  <c r="I79" i="35"/>
  <c r="H79" i="35"/>
  <c r="G79" i="35"/>
  <c r="F79" i="35"/>
  <c r="E79" i="35"/>
  <c r="D79" i="35"/>
  <c r="AE78" i="35"/>
  <c r="U78" i="35"/>
  <c r="U80" i="35" s="1"/>
  <c r="C78" i="35"/>
  <c r="Y79" i="35" s="1"/>
  <c r="AC77" i="35"/>
  <c r="AC76" i="35"/>
  <c r="W76" i="35"/>
  <c r="AQ75" i="35"/>
  <c r="AE75" i="35"/>
  <c r="Y75" i="35"/>
  <c r="W75" i="35"/>
  <c r="W74" i="35" s="1"/>
  <c r="U75" i="35"/>
  <c r="U76" i="35" s="1"/>
  <c r="O75" i="35"/>
  <c r="N75" i="35"/>
  <c r="M75" i="35"/>
  <c r="L75" i="35"/>
  <c r="K75" i="35"/>
  <c r="J75" i="35"/>
  <c r="I75" i="35"/>
  <c r="H75" i="35"/>
  <c r="G75" i="35"/>
  <c r="F75" i="35"/>
  <c r="E75" i="35"/>
  <c r="D75" i="35"/>
  <c r="AK74" i="35"/>
  <c r="AE74" i="35"/>
  <c r="U74" i="35"/>
  <c r="C74" i="35"/>
  <c r="X75" i="35" s="1"/>
  <c r="A74" i="35"/>
  <c r="A78" i="35" s="1"/>
  <c r="AC73" i="35"/>
  <c r="W73" i="35"/>
  <c r="U73" i="35"/>
  <c r="AE72" i="35"/>
  <c r="U72" i="35"/>
  <c r="W72" i="35" s="1"/>
  <c r="C72" i="35"/>
  <c r="AC71" i="35"/>
  <c r="W71" i="35"/>
  <c r="AK70" i="35"/>
  <c r="AI70" i="35"/>
  <c r="U70" i="35"/>
  <c r="W70" i="35" s="1"/>
  <c r="C70" i="35"/>
  <c r="W69" i="35"/>
  <c r="AE68" i="35"/>
  <c r="AC68" i="35"/>
  <c r="AC69" i="35" s="1"/>
  <c r="U68" i="35"/>
  <c r="U69" i="35" s="1"/>
  <c r="C68" i="35"/>
  <c r="AC67" i="35"/>
  <c r="AC66" i="35"/>
  <c r="W66" i="35"/>
  <c r="AE65" i="35"/>
  <c r="W65" i="35"/>
  <c r="W67" i="35" s="1"/>
  <c r="U65" i="35"/>
  <c r="O65" i="35"/>
  <c r="N65" i="35"/>
  <c r="M65" i="35"/>
  <c r="L65" i="35"/>
  <c r="K65" i="35"/>
  <c r="J65" i="35"/>
  <c r="I65" i="35"/>
  <c r="AE64" i="35"/>
  <c r="U64" i="35"/>
  <c r="C64" i="35"/>
  <c r="P67" i="35" s="1"/>
  <c r="AE63" i="35"/>
  <c r="AC63" i="35"/>
  <c r="AC62" i="35"/>
  <c r="W62" i="35"/>
  <c r="AE61" i="35"/>
  <c r="W61" i="35"/>
  <c r="U61" i="35"/>
  <c r="O61" i="35"/>
  <c r="N61" i="35"/>
  <c r="M61" i="35"/>
  <c r="L61" i="35"/>
  <c r="K61" i="35"/>
  <c r="J61" i="35"/>
  <c r="I61" i="35"/>
  <c r="AE60" i="35"/>
  <c r="U60" i="35"/>
  <c r="U62" i="35" s="1"/>
  <c r="C60" i="35"/>
  <c r="Y61" i="35" s="1"/>
  <c r="A60" i="35"/>
  <c r="A64" i="35" s="1"/>
  <c r="AC59" i="35"/>
  <c r="W59" i="35"/>
  <c r="U59" i="35"/>
  <c r="AK58" i="35"/>
  <c r="AI58" i="35"/>
  <c r="AE58" i="35"/>
  <c r="W58" i="35"/>
  <c r="U58" i="35"/>
  <c r="C58" i="35"/>
  <c r="AC57" i="35"/>
  <c r="W57" i="35"/>
  <c r="AK56" i="35"/>
  <c r="AI56" i="35"/>
  <c r="U56" i="35"/>
  <c r="U57" i="35" s="1"/>
  <c r="C56" i="35"/>
  <c r="AE55" i="35"/>
  <c r="AC55" i="35"/>
  <c r="AC54" i="35"/>
  <c r="W54" i="35"/>
  <c r="AE53" i="35"/>
  <c r="W53" i="35"/>
  <c r="U53" i="35"/>
  <c r="O53" i="35"/>
  <c r="N53" i="35"/>
  <c r="M53" i="35"/>
  <c r="L53" i="35"/>
  <c r="K53" i="35"/>
  <c r="J53" i="35"/>
  <c r="I53" i="35"/>
  <c r="H53" i="35"/>
  <c r="G53" i="35"/>
  <c r="F53" i="35"/>
  <c r="E53" i="35"/>
  <c r="D53" i="35"/>
  <c r="AK52" i="35"/>
  <c r="AI52" i="35"/>
  <c r="AE52" i="35"/>
  <c r="U52" i="35"/>
  <c r="W55" i="35" s="1"/>
  <c r="C52" i="35"/>
  <c r="Y53" i="35" s="1"/>
  <c r="A52" i="35"/>
  <c r="AC51" i="35"/>
  <c r="W51" i="35"/>
  <c r="AE50" i="35"/>
  <c r="U50" i="35"/>
  <c r="U51" i="35" s="1"/>
  <c r="C50" i="35"/>
  <c r="AC49" i="35"/>
  <c r="AC48" i="35"/>
  <c r="W48" i="35"/>
  <c r="AE47" i="35"/>
  <c r="W47" i="35"/>
  <c r="U47" i="35"/>
  <c r="J47" i="35"/>
  <c r="AK46" i="35"/>
  <c r="AI46" i="35"/>
  <c r="AE46" i="35" s="1"/>
  <c r="U46" i="35"/>
  <c r="C46" i="35"/>
  <c r="Y47" i="35" s="1"/>
  <c r="A46" i="35"/>
  <c r="AC45" i="35"/>
  <c r="W45" i="35"/>
  <c r="W44" i="35" s="1"/>
  <c r="U45" i="35"/>
  <c r="AK44" i="35"/>
  <c r="AI44" i="35"/>
  <c r="AE44" i="35"/>
  <c r="U44" i="35"/>
  <c r="C44" i="35"/>
  <c r="AC43" i="35"/>
  <c r="W43" i="35"/>
  <c r="AM42" i="35"/>
  <c r="AK42" i="35"/>
  <c r="AI42" i="35"/>
  <c r="U42" i="35"/>
  <c r="C42" i="35"/>
  <c r="AC41" i="35"/>
  <c r="W41" i="35"/>
  <c r="AK40" i="35"/>
  <c r="AI40" i="35"/>
  <c r="AE40" i="35"/>
  <c r="U40" i="35"/>
  <c r="W40" i="35" s="1"/>
  <c r="C40" i="35"/>
  <c r="AC39" i="35"/>
  <c r="W39" i="35"/>
  <c r="W38" i="35" s="1"/>
  <c r="AM38" i="35"/>
  <c r="AE38" i="35" s="1"/>
  <c r="U38" i="35"/>
  <c r="U39" i="35" s="1"/>
  <c r="C38" i="35"/>
  <c r="AC37" i="35"/>
  <c r="AC36" i="35"/>
  <c r="W36" i="35"/>
  <c r="AE35" i="35"/>
  <c r="Y35" i="35"/>
  <c r="W35" i="35"/>
  <c r="U35" i="35"/>
  <c r="O35" i="35"/>
  <c r="N35" i="35"/>
  <c r="M35" i="35"/>
  <c r="L35" i="35"/>
  <c r="K35" i="35"/>
  <c r="J35" i="35"/>
  <c r="I35" i="35"/>
  <c r="H35" i="35"/>
  <c r="G35" i="35"/>
  <c r="F35" i="35"/>
  <c r="E35" i="35"/>
  <c r="D35" i="35"/>
  <c r="AE34" i="35"/>
  <c r="AE37" i="35" s="1"/>
  <c r="U34" i="35"/>
  <c r="C34" i="35"/>
  <c r="P37" i="35" s="1"/>
  <c r="A34" i="35"/>
  <c r="AC33" i="35"/>
  <c r="AC32" i="35"/>
  <c r="W32" i="35"/>
  <c r="AE31" i="35"/>
  <c r="W31" i="35"/>
  <c r="U31" i="35"/>
  <c r="U33" i="35" s="1"/>
  <c r="O31" i="35"/>
  <c r="N31" i="35"/>
  <c r="M31" i="35"/>
  <c r="L31" i="35"/>
  <c r="K31" i="35"/>
  <c r="J31" i="35"/>
  <c r="I31" i="35"/>
  <c r="H31" i="35"/>
  <c r="G31" i="35"/>
  <c r="F31" i="35"/>
  <c r="E31" i="35"/>
  <c r="D31" i="35"/>
  <c r="AK30" i="35"/>
  <c r="AI30" i="35"/>
  <c r="AE30" i="35" s="1"/>
  <c r="AE33" i="35" s="1"/>
  <c r="U30" i="35"/>
  <c r="C30" i="35"/>
  <c r="Y31" i="35" s="1"/>
  <c r="AC29" i="35"/>
  <c r="P29" i="35"/>
  <c r="AC28" i="35"/>
  <c r="W28" i="35"/>
  <c r="AE27" i="35"/>
  <c r="X27" i="35"/>
  <c r="W27" i="35"/>
  <c r="U27" i="35"/>
  <c r="O27" i="35"/>
  <c r="N27" i="35"/>
  <c r="M27" i="35"/>
  <c r="L27" i="35"/>
  <c r="K27" i="35"/>
  <c r="J27" i="35"/>
  <c r="I27" i="35"/>
  <c r="H27" i="35"/>
  <c r="G27" i="35"/>
  <c r="F27" i="35"/>
  <c r="E27" i="35"/>
  <c r="D27" i="35"/>
  <c r="AK26" i="35"/>
  <c r="AI26" i="35"/>
  <c r="U26" i="35"/>
  <c r="U28" i="35" s="1"/>
  <c r="C26" i="35"/>
  <c r="Y27" i="35" s="1"/>
  <c r="A26" i="35"/>
  <c r="AC25" i="35"/>
  <c r="U25" i="35"/>
  <c r="AC24" i="35"/>
  <c r="W24" i="35"/>
  <c r="W25" i="35" s="1"/>
  <c r="AE23" i="35"/>
  <c r="W23" i="35"/>
  <c r="U23" i="35"/>
  <c r="O23" i="35"/>
  <c r="N23" i="35"/>
  <c r="M23" i="35"/>
  <c r="L23" i="35"/>
  <c r="K23" i="35"/>
  <c r="J23" i="35"/>
  <c r="I23" i="35"/>
  <c r="H23" i="35"/>
  <c r="G23" i="35"/>
  <c r="F23" i="35"/>
  <c r="E23" i="35"/>
  <c r="D23" i="35"/>
  <c r="AK22" i="35"/>
  <c r="AI22" i="35"/>
  <c r="AE22" i="35"/>
  <c r="U22" i="35"/>
  <c r="U24" i="35" s="1"/>
  <c r="C22" i="35"/>
  <c r="P25" i="35" s="1"/>
  <c r="A22" i="35"/>
  <c r="P21" i="35"/>
  <c r="W20" i="35"/>
  <c r="AE19" i="35"/>
  <c r="AC19" i="35"/>
  <c r="Y19" i="35"/>
  <c r="X19" i="35"/>
  <c r="W19" i="35"/>
  <c r="U19" i="35"/>
  <c r="O19" i="35"/>
  <c r="N19" i="35"/>
  <c r="M19" i="35"/>
  <c r="L19" i="35"/>
  <c r="K19" i="35"/>
  <c r="J19" i="35"/>
  <c r="I19" i="35"/>
  <c r="H19" i="35"/>
  <c r="G19" i="35"/>
  <c r="F19" i="35"/>
  <c r="E19" i="35"/>
  <c r="D19" i="35"/>
  <c r="AK18" i="35"/>
  <c r="AI18" i="35"/>
  <c r="AE18" i="35"/>
  <c r="AE21" i="35" s="1"/>
  <c r="AC18" i="35"/>
  <c r="AC20" i="35" s="1"/>
  <c r="U18" i="35"/>
  <c r="W18" i="35" s="1"/>
  <c r="C18" i="35"/>
  <c r="W16" i="35"/>
  <c r="AE15" i="35"/>
  <c r="Y15" i="35"/>
  <c r="X15" i="35"/>
  <c r="W15" i="35"/>
  <c r="U15" i="35"/>
  <c r="U17" i="35" s="1"/>
  <c r="O15" i="35"/>
  <c r="N15" i="35"/>
  <c r="M15" i="35"/>
  <c r="L15" i="35"/>
  <c r="K15" i="35"/>
  <c r="J15" i="35"/>
  <c r="I15" i="35"/>
  <c r="H15" i="35"/>
  <c r="G15" i="35"/>
  <c r="F15" i="35"/>
  <c r="E15" i="35"/>
  <c r="D15" i="35"/>
  <c r="AK14" i="35"/>
  <c r="AE14" i="35" s="1"/>
  <c r="AE17" i="35" s="1"/>
  <c r="AI14" i="35"/>
  <c r="AC14" i="35"/>
  <c r="AC17" i="35" s="1"/>
  <c r="U14" i="35"/>
  <c r="W17" i="35" s="1"/>
  <c r="C14" i="35"/>
  <c r="P17" i="35" s="1"/>
  <c r="AC13" i="35"/>
  <c r="AC12" i="35"/>
  <c r="W12" i="35"/>
  <c r="U12" i="35"/>
  <c r="AE11" i="35"/>
  <c r="W11" i="35"/>
  <c r="W13" i="35" s="1"/>
  <c r="U11" i="35"/>
  <c r="O11" i="35"/>
  <c r="N11" i="35"/>
  <c r="M11" i="35"/>
  <c r="L11" i="35"/>
  <c r="K11" i="35"/>
  <c r="J11" i="35"/>
  <c r="I11" i="35"/>
  <c r="H11" i="35"/>
  <c r="G11" i="35"/>
  <c r="F11" i="35"/>
  <c r="E11" i="35"/>
  <c r="D11" i="35"/>
  <c r="AK10" i="35"/>
  <c r="AI10" i="35"/>
  <c r="U10" i="35"/>
  <c r="C10" i="35"/>
  <c r="P13" i="35" s="1"/>
  <c r="AC9" i="35"/>
  <c r="AC8" i="35"/>
  <c r="W8" i="35"/>
  <c r="U8" i="35"/>
  <c r="AQ7" i="35"/>
  <c r="AE7" i="35"/>
  <c r="AE9" i="35" s="1"/>
  <c r="W7" i="35"/>
  <c r="U7" i="35"/>
  <c r="O7" i="35"/>
  <c r="N7" i="35"/>
  <c r="M7" i="35"/>
  <c r="L7" i="35"/>
  <c r="K7" i="35"/>
  <c r="J7" i="35"/>
  <c r="I7" i="35"/>
  <c r="H7" i="35"/>
  <c r="G7" i="35"/>
  <c r="F7" i="35"/>
  <c r="E7" i="35"/>
  <c r="D7" i="35"/>
  <c r="AK6" i="35"/>
  <c r="AI6" i="35"/>
  <c r="AE6" i="35"/>
  <c r="U6" i="35"/>
  <c r="C6" i="35"/>
  <c r="P9" i="35" s="1"/>
  <c r="AC5" i="35"/>
  <c r="W5" i="35"/>
  <c r="U5" i="35"/>
  <c r="AK4" i="35"/>
  <c r="AI4" i="35"/>
  <c r="AE4" i="35" s="1"/>
  <c r="U4" i="35"/>
  <c r="C4" i="35"/>
  <c r="AD2" i="35"/>
  <c r="AC2" i="35"/>
  <c r="U16" i="35" l="1"/>
  <c r="U55" i="35"/>
  <c r="W33" i="35"/>
  <c r="AE117" i="35"/>
  <c r="W4" i="35"/>
  <c r="AE81" i="35"/>
  <c r="P93" i="35"/>
  <c r="U97" i="35"/>
  <c r="W100" i="35"/>
  <c r="P49" i="35"/>
  <c r="AC108" i="35"/>
  <c r="W118" i="35"/>
  <c r="X125" i="35"/>
  <c r="W46" i="35"/>
  <c r="U49" i="35"/>
  <c r="W56" i="35"/>
  <c r="U21" i="35"/>
  <c r="AE49" i="35"/>
  <c r="W49" i="35"/>
  <c r="P77" i="35"/>
  <c r="P89" i="35"/>
  <c r="W6" i="35"/>
  <c r="AE25" i="35"/>
  <c r="W10" i="35"/>
  <c r="X61" i="35"/>
  <c r="U9" i="35"/>
  <c r="X47" i="35"/>
  <c r="U13" i="35"/>
  <c r="Y23" i="35"/>
  <c r="U29" i="35"/>
  <c r="U37" i="35"/>
  <c r="W42" i="35"/>
  <c r="U93" i="35"/>
  <c r="U121" i="35"/>
  <c r="W152" i="35"/>
  <c r="U157" i="35"/>
  <c r="P63" i="35"/>
  <c r="W94" i="35"/>
  <c r="U101" i="35"/>
  <c r="U113" i="35"/>
  <c r="AE370" i="4"/>
  <c r="W104" i="35"/>
  <c r="AE42" i="35"/>
  <c r="P117" i="35"/>
  <c r="Y125" i="35"/>
  <c r="U155" i="35"/>
  <c r="W158" i="35"/>
  <c r="W162" i="35"/>
  <c r="AC21" i="35"/>
  <c r="AE56" i="35"/>
  <c r="U63" i="35"/>
  <c r="U67" i="35"/>
  <c r="U66" i="35"/>
  <c r="AE70" i="35"/>
  <c r="W77" i="35"/>
  <c r="U77" i="35"/>
  <c r="W85" i="35"/>
  <c r="W86" i="35"/>
  <c r="W89" i="35"/>
  <c r="W102" i="35"/>
  <c r="U126" i="35"/>
  <c r="AE67" i="35"/>
  <c r="AE86" i="35"/>
  <c r="AE89" i="35" s="1"/>
  <c r="W109" i="35"/>
  <c r="U116" i="35"/>
  <c r="W122" i="35"/>
  <c r="W142" i="35"/>
  <c r="W382" i="4"/>
  <c r="U41" i="35"/>
  <c r="W14" i="35"/>
  <c r="AE77" i="35"/>
  <c r="W136" i="35"/>
  <c r="AE10" i="35"/>
  <c r="AE13" i="35" s="1"/>
  <c r="AE26" i="35"/>
  <c r="AE29" i="35" s="1"/>
  <c r="W37" i="35"/>
  <c r="W50" i="35"/>
  <c r="W60" i="35"/>
  <c r="W93" i="35"/>
  <c r="AE118" i="35"/>
  <c r="AE121" i="35" s="1"/>
  <c r="W130" i="35"/>
  <c r="W352" i="4"/>
  <c r="W398" i="4"/>
  <c r="W324" i="4"/>
  <c r="W346" i="4"/>
  <c r="W300" i="4"/>
  <c r="AE350" i="4"/>
  <c r="AE290" i="4"/>
  <c r="W334" i="4"/>
  <c r="W360" i="4"/>
  <c r="W366" i="4"/>
  <c r="W374" i="4"/>
  <c r="AE376" i="4"/>
  <c r="AE292" i="4"/>
  <c r="U325" i="4"/>
  <c r="W348" i="4"/>
  <c r="AE302" i="4"/>
  <c r="AE342" i="4"/>
  <c r="AE298" i="4"/>
  <c r="AE312" i="4"/>
  <c r="AE320" i="4"/>
  <c r="AE356" i="4"/>
  <c r="AE304" i="4"/>
  <c r="AE316" i="4"/>
  <c r="U297" i="4"/>
  <c r="W292" i="4"/>
  <c r="W294" i="4"/>
  <c r="AE314" i="4"/>
  <c r="W308" i="4"/>
  <c r="AE300" i="4"/>
  <c r="W310" i="4"/>
  <c r="U363" i="4"/>
  <c r="W336" i="4"/>
  <c r="W290" i="4"/>
  <c r="U307" i="4"/>
  <c r="AE310" i="4"/>
  <c r="W314" i="4"/>
  <c r="AE362" i="4"/>
  <c r="U383" i="4"/>
  <c r="AE294" i="4"/>
  <c r="AE296" i="4"/>
  <c r="W316" i="4"/>
  <c r="AE322" i="4"/>
  <c r="AE324" i="4"/>
  <c r="U335" i="4"/>
  <c r="U341" i="4"/>
  <c r="AE344" i="4"/>
  <c r="W350" i="4"/>
  <c r="U357" i="4"/>
  <c r="W376" i="4"/>
  <c r="U339" i="4"/>
  <c r="U343" i="4"/>
  <c r="U367" i="4"/>
  <c r="W312" i="4"/>
  <c r="W318" i="4"/>
  <c r="U337" i="4"/>
  <c r="W342" i="4"/>
  <c r="W354" i="4"/>
  <c r="W364" i="4"/>
  <c r="W368" i="4"/>
  <c r="W378" i="4"/>
  <c r="W386" i="4"/>
  <c r="W390" i="4"/>
  <c r="U311" i="4"/>
  <c r="W370" i="4"/>
  <c r="U395" i="4"/>
  <c r="U327" i="4"/>
  <c r="W296" i="4"/>
  <c r="U303" i="4"/>
  <c r="W322" i="4"/>
  <c r="W328" i="4"/>
  <c r="W330" i="4"/>
  <c r="AE332" i="4"/>
  <c r="AE340" i="4"/>
  <c r="W358" i="4"/>
  <c r="AE364" i="4"/>
  <c r="U365" i="4"/>
  <c r="W372" i="4"/>
  <c r="W392" i="4"/>
  <c r="U369" i="4"/>
  <c r="U295" i="4"/>
  <c r="W298" i="4"/>
  <c r="W302" i="4"/>
  <c r="U329" i="4"/>
  <c r="W332" i="4"/>
  <c r="W344" i="4"/>
  <c r="U347" i="4"/>
  <c r="U353" i="4"/>
  <c r="AC357" i="4"/>
  <c r="U361" i="4"/>
  <c r="W362" i="4"/>
  <c r="W380" i="4"/>
  <c r="U385" i="4"/>
  <c r="W388" i="4"/>
  <c r="U397" i="4"/>
  <c r="W400" i="4"/>
  <c r="U301" i="4"/>
  <c r="W304" i="4"/>
  <c r="U317" i="4"/>
  <c r="W320" i="4"/>
  <c r="U331" i="4"/>
  <c r="W338" i="4"/>
  <c r="W340" i="4"/>
  <c r="W356" i="4"/>
  <c r="U379" i="4"/>
  <c r="U293" i="4"/>
  <c r="W326" i="4"/>
  <c r="U371" i="4"/>
  <c r="U299" i="4"/>
  <c r="W306" i="4"/>
  <c r="A90" i="35"/>
  <c r="A82" i="35"/>
  <c r="A86" i="35" s="1"/>
  <c r="U43" i="35"/>
  <c r="Y7" i="35"/>
  <c r="W9" i="35"/>
  <c r="Y11" i="35"/>
  <c r="AC16" i="35"/>
  <c r="W21" i="35"/>
  <c r="W22" i="35"/>
  <c r="X23" i="35"/>
  <c r="U32" i="35"/>
  <c r="U36" i="35"/>
  <c r="U54" i="35"/>
  <c r="W63" i="35"/>
  <c r="W64" i="35"/>
  <c r="Y65" i="35"/>
  <c r="W68" i="35"/>
  <c r="U71" i="35"/>
  <c r="U84" i="35"/>
  <c r="U89" i="35"/>
  <c r="U95" i="35"/>
  <c r="U108" i="35"/>
  <c r="W121" i="35"/>
  <c r="X79" i="35"/>
  <c r="P81" i="35"/>
  <c r="U129" i="35"/>
  <c r="X163" i="35"/>
  <c r="U81" i="35"/>
  <c r="X107" i="35"/>
  <c r="W114" i="35"/>
  <c r="W140" i="35"/>
  <c r="W148" i="35"/>
  <c r="W160" i="35"/>
  <c r="U20" i="35"/>
  <c r="W26" i="35"/>
  <c r="X7" i="35"/>
  <c r="W30" i="35"/>
  <c r="X31" i="35"/>
  <c r="P33" i="35"/>
  <c r="X35" i="35"/>
  <c r="U48" i="35"/>
  <c r="W52" i="35"/>
  <c r="X53" i="35"/>
  <c r="P55" i="35"/>
  <c r="W78" i="35"/>
  <c r="W81" i="35"/>
  <c r="W82" i="35"/>
  <c r="X83" i="35"/>
  <c r="P85" i="35"/>
  <c r="W106" i="35"/>
  <c r="Y107" i="35"/>
  <c r="W150" i="35"/>
  <c r="W29" i="35"/>
  <c r="U109" i="35"/>
  <c r="W117" i="35"/>
  <c r="X119" i="35"/>
  <c r="P121" i="35"/>
  <c r="X11" i="35"/>
  <c r="W34" i="35"/>
  <c r="X65" i="35"/>
  <c r="AB59" i="6" l="1"/>
  <c r="Z59" i="6"/>
  <c r="AB58" i="6"/>
  <c r="W58" i="6"/>
  <c r="W59" i="6" s="1"/>
  <c r="U58" i="6"/>
  <c r="U59" i="6" s="1"/>
  <c r="C58" i="6"/>
  <c r="AB57" i="6"/>
  <c r="Z57" i="6"/>
  <c r="AB56" i="6"/>
  <c r="W56" i="6"/>
  <c r="W57" i="6" s="1"/>
  <c r="U56" i="6"/>
  <c r="U57" i="6" s="1"/>
  <c r="C56" i="6"/>
  <c r="AB55" i="6"/>
  <c r="Z55" i="6"/>
  <c r="AB54" i="6"/>
  <c r="W54" i="6"/>
  <c r="W55" i="6" s="1"/>
  <c r="U54" i="6"/>
  <c r="U55" i="6" s="1"/>
  <c r="C54" i="6"/>
  <c r="Y137" i="5"/>
  <c r="AF136" i="5"/>
  <c r="W136" i="5"/>
  <c r="C136" i="5"/>
  <c r="Y135" i="5"/>
  <c r="AF134" i="5"/>
  <c r="W134" i="5"/>
  <c r="C134" i="5"/>
  <c r="Y133" i="5"/>
  <c r="AF132" i="5"/>
  <c r="W132" i="5"/>
  <c r="C132" i="5"/>
  <c r="Y131" i="5"/>
  <c r="AF130" i="5"/>
  <c r="W130" i="5"/>
  <c r="C130" i="5"/>
  <c r="Y129" i="5"/>
  <c r="AF128" i="5"/>
  <c r="W128" i="5"/>
  <c r="C128" i="5"/>
  <c r="Y127" i="5"/>
  <c r="AF126" i="5"/>
  <c r="W126" i="5"/>
  <c r="C126" i="5"/>
  <c r="Y125" i="5"/>
  <c r="AF124" i="5"/>
  <c r="W124" i="5"/>
  <c r="C124" i="5"/>
  <c r="Y123" i="5"/>
  <c r="AF122" i="5"/>
  <c r="W122" i="5"/>
  <c r="C122" i="5"/>
  <c r="Y121" i="5"/>
  <c r="AF120" i="5"/>
  <c r="W120" i="5"/>
  <c r="C120" i="5"/>
  <c r="AC289" i="4"/>
  <c r="W289" i="4"/>
  <c r="AE288" i="4"/>
  <c r="U288" i="4"/>
  <c r="C288" i="4"/>
  <c r="AC287" i="4"/>
  <c r="W287" i="4"/>
  <c r="AE286" i="4"/>
  <c r="U286" i="4"/>
  <c r="U287" i="4" s="1"/>
  <c r="C286" i="4"/>
  <c r="AC285" i="4"/>
  <c r="W285" i="4"/>
  <c r="AE284" i="4"/>
  <c r="U284" i="4"/>
  <c r="C284" i="4"/>
  <c r="AC283" i="4"/>
  <c r="W283" i="4"/>
  <c r="AE282" i="4"/>
  <c r="U282" i="4"/>
  <c r="U283" i="4" s="1"/>
  <c r="C282" i="4"/>
  <c r="AC281" i="4"/>
  <c r="W281" i="4"/>
  <c r="AE280" i="4"/>
  <c r="U280" i="4"/>
  <c r="U281" i="4" s="1"/>
  <c r="C280" i="4"/>
  <c r="AC279" i="4"/>
  <c r="W279" i="4"/>
  <c r="AE278" i="4"/>
  <c r="U278" i="4"/>
  <c r="C278" i="4"/>
  <c r="AC277" i="4"/>
  <c r="W277" i="4"/>
  <c r="AE276" i="4"/>
  <c r="U276" i="4"/>
  <c r="C276" i="4"/>
  <c r="AC275" i="4"/>
  <c r="W275" i="4"/>
  <c r="AE274" i="4"/>
  <c r="U274" i="4"/>
  <c r="U275" i="4" s="1"/>
  <c r="C274" i="4"/>
  <c r="AC273" i="4"/>
  <c r="W273" i="4"/>
  <c r="AE272" i="4"/>
  <c r="U272" i="4"/>
  <c r="U273" i="4" s="1"/>
  <c r="C272" i="4"/>
  <c r="AC271" i="4"/>
  <c r="W271" i="4"/>
  <c r="AE270" i="4"/>
  <c r="U270" i="4"/>
  <c r="C270" i="4"/>
  <c r="AC269" i="4"/>
  <c r="W269" i="4"/>
  <c r="AE268" i="4"/>
  <c r="U268" i="4"/>
  <c r="C268" i="4"/>
  <c r="AC267" i="4"/>
  <c r="W267" i="4"/>
  <c r="AE266" i="4"/>
  <c r="U266" i="4"/>
  <c r="U267" i="4" s="1"/>
  <c r="C266" i="4"/>
  <c r="AC265" i="4"/>
  <c r="W265" i="4"/>
  <c r="AE264" i="4"/>
  <c r="U264" i="4"/>
  <c r="U265" i="4" s="1"/>
  <c r="C264" i="4"/>
  <c r="W7" i="34"/>
  <c r="U7" i="34"/>
  <c r="U8" i="34" s="1"/>
  <c r="W5" i="34"/>
  <c r="W6" i="34" s="1"/>
  <c r="U5" i="34"/>
  <c r="U6" i="34" s="1"/>
  <c r="W3" i="34"/>
  <c r="U3" i="34"/>
  <c r="Y30" i="33"/>
  <c r="W29" i="33"/>
  <c r="Y29" i="33" s="1"/>
  <c r="Y28" i="33"/>
  <c r="W27" i="33"/>
  <c r="Y27" i="33" s="1"/>
  <c r="Y26" i="33"/>
  <c r="W25" i="33"/>
  <c r="Y24" i="33"/>
  <c r="W23" i="33"/>
  <c r="Y22" i="33"/>
  <c r="W21" i="33"/>
  <c r="Y21" i="33" s="1"/>
  <c r="Y20" i="33"/>
  <c r="W19" i="33"/>
  <c r="Y18" i="33"/>
  <c r="W17" i="33"/>
  <c r="Y17" i="33" s="1"/>
  <c r="Y16" i="33"/>
  <c r="W15" i="33"/>
  <c r="Y15" i="33" s="1"/>
  <c r="Y14" i="33"/>
  <c r="W13" i="33"/>
  <c r="Y12" i="33"/>
  <c r="W11" i="33"/>
  <c r="Y10" i="33"/>
  <c r="W9" i="33"/>
  <c r="Y8" i="33"/>
  <c r="W7" i="33"/>
  <c r="Y7" i="33" s="1"/>
  <c r="Y6" i="33"/>
  <c r="W5" i="33"/>
  <c r="Y5" i="33" s="1"/>
  <c r="Y4" i="33"/>
  <c r="W3" i="33"/>
  <c r="W29" i="32"/>
  <c r="U28" i="32"/>
  <c r="W27" i="32"/>
  <c r="U26" i="32"/>
  <c r="W26" i="32" s="1"/>
  <c r="W25" i="32"/>
  <c r="U24" i="32"/>
  <c r="W23" i="32"/>
  <c r="U22" i="32"/>
  <c r="W21" i="32"/>
  <c r="U20" i="32"/>
  <c r="W19" i="32"/>
  <c r="U18" i="32"/>
  <c r="U19" i="32" s="1"/>
  <c r="W17" i="32"/>
  <c r="U16" i="32"/>
  <c r="W15" i="32"/>
  <c r="U14" i="32"/>
  <c r="W14" i="32" s="1"/>
  <c r="W13" i="32"/>
  <c r="U12" i="32"/>
  <c r="W11" i="32"/>
  <c r="U10" i="32"/>
  <c r="W9" i="32"/>
  <c r="U8" i="32"/>
  <c r="W7" i="32"/>
  <c r="U7" i="32"/>
  <c r="U6" i="32"/>
  <c r="W5" i="32"/>
  <c r="U4" i="32"/>
  <c r="AB8" i="34"/>
  <c r="Z8" i="34"/>
  <c r="AB7" i="34"/>
  <c r="C7" i="34"/>
  <c r="AB6" i="34"/>
  <c r="Z6" i="34"/>
  <c r="AB5" i="34"/>
  <c r="C5" i="34"/>
  <c r="AB4" i="34"/>
  <c r="Z4" i="34"/>
  <c r="AB3" i="34"/>
  <c r="C3" i="34"/>
  <c r="AF29" i="33"/>
  <c r="C29" i="33"/>
  <c r="AF27" i="33"/>
  <c r="C27" i="33"/>
  <c r="AF25" i="33"/>
  <c r="C25" i="33"/>
  <c r="AF23" i="33"/>
  <c r="C23" i="33"/>
  <c r="AF21" i="33"/>
  <c r="C21" i="33"/>
  <c r="AF19" i="33"/>
  <c r="C19" i="33"/>
  <c r="AF17" i="33"/>
  <c r="C17" i="33"/>
  <c r="AF15" i="33"/>
  <c r="C15" i="33"/>
  <c r="AF13" i="33"/>
  <c r="C13" i="33"/>
  <c r="AF11" i="33"/>
  <c r="C11" i="33"/>
  <c r="AF9" i="33"/>
  <c r="C9" i="33"/>
  <c r="AF7" i="33"/>
  <c r="C7" i="33"/>
  <c r="AF5" i="33"/>
  <c r="C5" i="33"/>
  <c r="AF3" i="33"/>
  <c r="C3" i="33"/>
  <c r="AC29" i="32"/>
  <c r="AE28" i="32"/>
  <c r="C28" i="32"/>
  <c r="AC27" i="32"/>
  <c r="AE26" i="32"/>
  <c r="C26" i="32"/>
  <c r="AC25" i="32"/>
  <c r="AE24" i="32"/>
  <c r="C24" i="32"/>
  <c r="AC23" i="32"/>
  <c r="AE22" i="32"/>
  <c r="C22" i="32"/>
  <c r="AC21" i="32"/>
  <c r="AE20" i="32"/>
  <c r="C20" i="32"/>
  <c r="AC19" i="32"/>
  <c r="AE18" i="32"/>
  <c r="C18" i="32"/>
  <c r="AC17" i="32"/>
  <c r="AE16" i="32"/>
  <c r="C16" i="32"/>
  <c r="AC15" i="32"/>
  <c r="AE14" i="32"/>
  <c r="C14" i="32"/>
  <c r="AC13" i="32"/>
  <c r="AE12" i="32"/>
  <c r="C12" i="32"/>
  <c r="AC11" i="32"/>
  <c r="AE10" i="32"/>
  <c r="C10" i="32"/>
  <c r="AC9" i="32"/>
  <c r="AE8" i="32"/>
  <c r="C8" i="32"/>
  <c r="AC7" i="32"/>
  <c r="AE6" i="32"/>
  <c r="C6" i="32"/>
  <c r="AC5" i="32"/>
  <c r="AE4" i="32"/>
  <c r="C4" i="32"/>
  <c r="W284" i="4" l="1"/>
  <c r="Y124" i="5"/>
  <c r="Y130" i="5"/>
  <c r="Y120" i="5"/>
  <c r="Y136" i="5"/>
  <c r="Y128" i="5"/>
  <c r="Y134" i="5"/>
  <c r="Y126" i="5"/>
  <c r="Y132" i="5"/>
  <c r="Y122" i="5"/>
  <c r="W278" i="4"/>
  <c r="W276" i="4"/>
  <c r="W288" i="4"/>
  <c r="W264" i="4"/>
  <c r="W266" i="4"/>
  <c r="W268" i="4"/>
  <c r="U269" i="4"/>
  <c r="U289" i="4"/>
  <c r="W280" i="4"/>
  <c r="U277" i="4"/>
  <c r="U279" i="4"/>
  <c r="W270" i="4"/>
  <c r="W282" i="4"/>
  <c r="U271" i="4"/>
  <c r="W274" i="4"/>
  <c r="W286" i="4"/>
  <c r="W272" i="4"/>
  <c r="U285" i="4"/>
  <c r="W4" i="34"/>
  <c r="W8" i="34"/>
  <c r="U4" i="34"/>
  <c r="Y19" i="33"/>
  <c r="Y3" i="33"/>
  <c r="Y9" i="33"/>
  <c r="Y13" i="33"/>
  <c r="Y25" i="33"/>
  <c r="Y11" i="33"/>
  <c r="Y23" i="33"/>
  <c r="W8" i="32"/>
  <c r="W20" i="32"/>
  <c r="U5" i="32"/>
  <c r="U17" i="32"/>
  <c r="U29" i="32"/>
  <c r="U11" i="32"/>
  <c r="U23" i="32"/>
  <c r="U13" i="32"/>
  <c r="U25" i="32"/>
  <c r="W4" i="32"/>
  <c r="W10" i="32"/>
  <c r="W16" i="32"/>
  <c r="W22" i="32"/>
  <c r="W28" i="32"/>
  <c r="U9" i="32"/>
  <c r="U15" i="32"/>
  <c r="U21" i="32"/>
  <c r="U27" i="32"/>
  <c r="W6" i="32"/>
  <c r="W12" i="32"/>
  <c r="W18" i="32"/>
  <c r="W24" i="32"/>
  <c r="Z53" i="6" l="1"/>
  <c r="AB52" i="6"/>
  <c r="W52" i="6"/>
  <c r="W53" i="6" s="1"/>
  <c r="U52" i="6"/>
  <c r="U53" i="6" s="1"/>
  <c r="C52" i="6"/>
  <c r="Z51" i="6"/>
  <c r="AB50" i="6"/>
  <c r="W50" i="6"/>
  <c r="W51" i="6" s="1"/>
  <c r="U50" i="6"/>
  <c r="U51" i="6" s="1"/>
  <c r="C50" i="6"/>
  <c r="Z49" i="6"/>
  <c r="AB48" i="6"/>
  <c r="W48" i="6"/>
  <c r="W49" i="6" s="1"/>
  <c r="U48" i="6"/>
  <c r="U49" i="6" s="1"/>
  <c r="C48" i="6"/>
  <c r="Z47" i="6"/>
  <c r="AB46" i="6"/>
  <c r="W46" i="6"/>
  <c r="W47" i="6" s="1"/>
  <c r="U46" i="6"/>
  <c r="U47" i="6" s="1"/>
  <c r="C46" i="6"/>
  <c r="Z45" i="6"/>
  <c r="W45" i="6"/>
  <c r="U45" i="6"/>
  <c r="AB44" i="6"/>
  <c r="W44" i="6"/>
  <c r="U44" i="6"/>
  <c r="C44" i="6"/>
  <c r="Z43" i="6"/>
  <c r="AB42" i="6"/>
  <c r="W42" i="6"/>
  <c r="W43" i="6" s="1"/>
  <c r="U42" i="6"/>
  <c r="U43" i="6" s="1"/>
  <c r="C42" i="6"/>
  <c r="Z41" i="6"/>
  <c r="AB40" i="6"/>
  <c r="W40" i="6"/>
  <c r="W41" i="6" s="1"/>
  <c r="U40" i="6"/>
  <c r="U41" i="6" s="1"/>
  <c r="C40" i="6"/>
  <c r="Z39" i="6"/>
  <c r="AB38" i="6"/>
  <c r="W38" i="6"/>
  <c r="W39" i="6" s="1"/>
  <c r="U38" i="6"/>
  <c r="U39" i="6" s="1"/>
  <c r="C38" i="6"/>
  <c r="Z37" i="6"/>
  <c r="AB36" i="6"/>
  <c r="W36" i="6"/>
  <c r="W37" i="6" s="1"/>
  <c r="U36" i="6"/>
  <c r="U37" i="6" s="1"/>
  <c r="C36" i="6"/>
  <c r="Z35" i="6"/>
  <c r="AB34" i="6"/>
  <c r="W34" i="6"/>
  <c r="W35" i="6" s="1"/>
  <c r="U34" i="6"/>
  <c r="U35" i="6" s="1"/>
  <c r="C34" i="6"/>
  <c r="AB33" i="6"/>
  <c r="Z33" i="6"/>
  <c r="AB32" i="6"/>
  <c r="W32" i="6"/>
  <c r="W33" i="6" s="1"/>
  <c r="U32" i="6"/>
  <c r="U33" i="6" s="1"/>
  <c r="C32" i="6"/>
  <c r="AB31" i="6"/>
  <c r="Z31" i="6"/>
  <c r="AB30" i="6"/>
  <c r="W30" i="6"/>
  <c r="W31" i="6" s="1"/>
  <c r="U30" i="6"/>
  <c r="U31" i="6" s="1"/>
  <c r="C30" i="6"/>
  <c r="AB29" i="6"/>
  <c r="Z29" i="6"/>
  <c r="AB28" i="6"/>
  <c r="W28" i="6"/>
  <c r="W29" i="6" s="1"/>
  <c r="U28" i="6"/>
  <c r="U29" i="6" s="1"/>
  <c r="C28" i="6"/>
  <c r="AB27" i="6"/>
  <c r="Z27" i="6"/>
  <c r="AB26" i="6"/>
  <c r="W26" i="6"/>
  <c r="W27" i="6" s="1"/>
  <c r="U26" i="6"/>
  <c r="U27" i="6" s="1"/>
  <c r="C26" i="6"/>
  <c r="AB25" i="6"/>
  <c r="Z25" i="6"/>
  <c r="AB24" i="6"/>
  <c r="W24" i="6"/>
  <c r="W25" i="6" s="1"/>
  <c r="U24" i="6"/>
  <c r="U25" i="6" s="1"/>
  <c r="C24" i="6"/>
  <c r="AB23" i="6"/>
  <c r="Z23" i="6"/>
  <c r="AB22" i="6"/>
  <c r="W22" i="6"/>
  <c r="W23" i="6" s="1"/>
  <c r="U22" i="6"/>
  <c r="U23" i="6" s="1"/>
  <c r="C22" i="6"/>
  <c r="AB21" i="6"/>
  <c r="Z21" i="6"/>
  <c r="AB20" i="6"/>
  <c r="W20" i="6"/>
  <c r="W21" i="6" s="1"/>
  <c r="U20" i="6"/>
  <c r="U21" i="6" s="1"/>
  <c r="C20" i="6"/>
  <c r="AB19" i="6"/>
  <c r="Z19" i="6"/>
  <c r="AB18" i="6"/>
  <c r="W18" i="6"/>
  <c r="W19" i="6" s="1"/>
  <c r="U18" i="6"/>
  <c r="U19" i="6" s="1"/>
  <c r="C18" i="6"/>
  <c r="AB17" i="6"/>
  <c r="Z17" i="6"/>
  <c r="AB16" i="6"/>
  <c r="W16" i="6"/>
  <c r="W17" i="6" s="1"/>
  <c r="U16" i="6"/>
  <c r="U17" i="6" s="1"/>
  <c r="C16" i="6"/>
  <c r="Y119" i="5"/>
  <c r="AF118" i="5"/>
  <c r="W118" i="5"/>
  <c r="C118" i="5"/>
  <c r="Y117" i="5"/>
  <c r="AF116" i="5"/>
  <c r="W116" i="5"/>
  <c r="C116" i="5"/>
  <c r="Y115" i="5"/>
  <c r="AF114" i="5"/>
  <c r="W114" i="5"/>
  <c r="C114" i="5"/>
  <c r="Y113" i="5"/>
  <c r="AF112" i="5"/>
  <c r="W112" i="5"/>
  <c r="C112" i="5"/>
  <c r="Y111" i="5"/>
  <c r="AF110" i="5"/>
  <c r="W110" i="5"/>
  <c r="C110" i="5"/>
  <c r="Y109" i="5"/>
  <c r="AF108" i="5"/>
  <c r="W108" i="5"/>
  <c r="C108" i="5"/>
  <c r="Y107" i="5"/>
  <c r="AF106" i="5"/>
  <c r="W106" i="5"/>
  <c r="C106" i="5"/>
  <c r="Y105" i="5"/>
  <c r="AF104" i="5"/>
  <c r="W104" i="5"/>
  <c r="C104" i="5"/>
  <c r="Y103" i="5"/>
  <c r="AF102" i="5"/>
  <c r="W102" i="5"/>
  <c r="C102" i="5"/>
  <c r="Y101" i="5"/>
  <c r="Y100" i="5" s="1"/>
  <c r="AF100" i="5"/>
  <c r="C100" i="5"/>
  <c r="Y99" i="5"/>
  <c r="AF98" i="5"/>
  <c r="W98" i="5"/>
  <c r="Y98" i="5" s="1"/>
  <c r="C98" i="5"/>
  <c r="AC263" i="4"/>
  <c r="W263" i="4"/>
  <c r="U262" i="4"/>
  <c r="U263" i="4" s="1"/>
  <c r="C262" i="4"/>
  <c r="AC261" i="4"/>
  <c r="W261" i="4"/>
  <c r="U260" i="4"/>
  <c r="U261" i="4" s="1"/>
  <c r="C260" i="4"/>
  <c r="AC259" i="4"/>
  <c r="W259" i="4"/>
  <c r="U258" i="4"/>
  <c r="U259" i="4" s="1"/>
  <c r="C258" i="4"/>
  <c r="AC257" i="4"/>
  <c r="W257" i="4"/>
  <c r="U256" i="4"/>
  <c r="U257" i="4" s="1"/>
  <c r="C256" i="4"/>
  <c r="AC255" i="4"/>
  <c r="W255" i="4"/>
  <c r="U254" i="4"/>
  <c r="U255" i="4" s="1"/>
  <c r="C254" i="4"/>
  <c r="AC253" i="4"/>
  <c r="W253" i="4"/>
  <c r="U252" i="4"/>
  <c r="U253" i="4" s="1"/>
  <c r="C252" i="4"/>
  <c r="AC251" i="4"/>
  <c r="W251" i="4"/>
  <c r="U250" i="4"/>
  <c r="U251" i="4" s="1"/>
  <c r="C250" i="4"/>
  <c r="AC249" i="4"/>
  <c r="W249" i="4"/>
  <c r="U248" i="4"/>
  <c r="U249" i="4" s="1"/>
  <c r="C248" i="4"/>
  <c r="AC247" i="4"/>
  <c r="W247" i="4"/>
  <c r="U246" i="4"/>
  <c r="U247" i="4" s="1"/>
  <c r="C246" i="4"/>
  <c r="AC245" i="4"/>
  <c r="W245" i="4"/>
  <c r="U244" i="4"/>
  <c r="U245" i="4" s="1"/>
  <c r="C244" i="4"/>
  <c r="AC243" i="4"/>
  <c r="W243" i="4"/>
  <c r="U242" i="4"/>
  <c r="U243" i="4" s="1"/>
  <c r="C242" i="4"/>
  <c r="AC241" i="4"/>
  <c r="W241" i="4"/>
  <c r="U240" i="4"/>
  <c r="U241" i="4" s="1"/>
  <c r="C240" i="4"/>
  <c r="AC239" i="4"/>
  <c r="W239" i="4"/>
  <c r="U238" i="4"/>
  <c r="U239" i="4" s="1"/>
  <c r="C238" i="4"/>
  <c r="AC237" i="4"/>
  <c r="W237" i="4"/>
  <c r="U236" i="4"/>
  <c r="U237" i="4" s="1"/>
  <c r="C236" i="4"/>
  <c r="AC235" i="4"/>
  <c r="W235" i="4"/>
  <c r="U234" i="4"/>
  <c r="U235" i="4" s="1"/>
  <c r="C234" i="4"/>
  <c r="AC233" i="4"/>
  <c r="W233" i="4"/>
  <c r="U232" i="4"/>
  <c r="U233" i="4" s="1"/>
  <c r="C232" i="4"/>
  <c r="AC231" i="4"/>
  <c r="W231" i="4"/>
  <c r="AE230" i="4"/>
  <c r="U230" i="4"/>
  <c r="U231" i="4" s="1"/>
  <c r="C230" i="4"/>
  <c r="AC229" i="4"/>
  <c r="W229" i="4"/>
  <c r="U228" i="4"/>
  <c r="C228" i="4"/>
  <c r="AC227" i="4"/>
  <c r="W227" i="4"/>
  <c r="AE226" i="4"/>
  <c r="U226" i="4"/>
  <c r="U227" i="4" s="1"/>
  <c r="C226" i="4"/>
  <c r="AC225" i="4"/>
  <c r="W225" i="4"/>
  <c r="U224" i="4"/>
  <c r="U225" i="4" s="1"/>
  <c r="C224" i="4"/>
  <c r="AC223" i="4"/>
  <c r="W223" i="4"/>
  <c r="AE222" i="4"/>
  <c r="U222" i="4"/>
  <c r="C222" i="4"/>
  <c r="AC221" i="4"/>
  <c r="W221" i="4"/>
  <c r="AE220" i="4"/>
  <c r="U220" i="4"/>
  <c r="C220" i="4"/>
  <c r="AC219" i="4"/>
  <c r="W219" i="4"/>
  <c r="AE218" i="4"/>
  <c r="U218" i="4"/>
  <c r="U219" i="4" s="1"/>
  <c r="C218" i="4"/>
  <c r="AC217" i="4"/>
  <c r="W217" i="4"/>
  <c r="AE216" i="4"/>
  <c r="U216" i="4"/>
  <c r="C216" i="4"/>
  <c r="AC215" i="4"/>
  <c r="AE214" i="4"/>
  <c r="W214" i="4"/>
  <c r="W215" i="4" s="1"/>
  <c r="U214" i="4"/>
  <c r="U215" i="4" s="1"/>
  <c r="C214" i="4"/>
  <c r="AC213" i="4"/>
  <c r="W213" i="4"/>
  <c r="AE212" i="4"/>
  <c r="U212" i="4"/>
  <c r="U213" i="4" s="1"/>
  <c r="C212" i="4"/>
  <c r="AC211" i="4"/>
  <c r="W211" i="4"/>
  <c r="AE210" i="4"/>
  <c r="U210" i="4"/>
  <c r="C210" i="4"/>
  <c r="AC209" i="4"/>
  <c r="AE208" i="4"/>
  <c r="U208" i="4"/>
  <c r="W208" i="4" s="1"/>
  <c r="C208" i="4"/>
  <c r="AC207" i="4"/>
  <c r="AE206" i="4"/>
  <c r="W206" i="4"/>
  <c r="W207" i="4" s="1"/>
  <c r="U206" i="4"/>
  <c r="U207" i="4" s="1"/>
  <c r="C206" i="4"/>
  <c r="AC205" i="4"/>
  <c r="AE204" i="4"/>
  <c r="U204" i="4"/>
  <c r="W204" i="4" s="1"/>
  <c r="C204" i="4"/>
  <c r="AC203" i="4"/>
  <c r="W203" i="4"/>
  <c r="AE202" i="4"/>
  <c r="U202" i="4"/>
  <c r="U203" i="4" s="1"/>
  <c r="C202" i="4"/>
  <c r="AC201" i="4"/>
  <c r="W201" i="4"/>
  <c r="AE200" i="4"/>
  <c r="U200" i="4"/>
  <c r="U201" i="4" s="1"/>
  <c r="C200" i="4"/>
  <c r="AC199" i="4"/>
  <c r="W199" i="4"/>
  <c r="AE198" i="4"/>
  <c r="U198" i="4"/>
  <c r="C198" i="4"/>
  <c r="AC197" i="4"/>
  <c r="W197" i="4"/>
  <c r="AE196" i="4"/>
  <c r="U196" i="4"/>
  <c r="U197" i="4" s="1"/>
  <c r="C196" i="4"/>
  <c r="U62" i="31"/>
  <c r="W39" i="31"/>
  <c r="U39" i="31"/>
  <c r="W37" i="31"/>
  <c r="U37" i="31"/>
  <c r="W35" i="31"/>
  <c r="U35" i="31"/>
  <c r="W33" i="31"/>
  <c r="U33" i="31"/>
  <c r="U34" i="31" s="1"/>
  <c r="W31" i="31"/>
  <c r="W32" i="31" s="1"/>
  <c r="U31" i="31"/>
  <c r="W29" i="31"/>
  <c r="U29" i="31"/>
  <c r="U30" i="31" s="1"/>
  <c r="W27" i="31"/>
  <c r="W28" i="31" s="1"/>
  <c r="U27" i="31"/>
  <c r="W25" i="31"/>
  <c r="W26" i="31" s="1"/>
  <c r="U25" i="31"/>
  <c r="W23" i="31"/>
  <c r="W24" i="31" s="1"/>
  <c r="U23" i="31"/>
  <c r="W21" i="31"/>
  <c r="W22" i="31" s="1"/>
  <c r="U21" i="31"/>
  <c r="W19" i="31"/>
  <c r="W20" i="31" s="1"/>
  <c r="U19" i="31"/>
  <c r="W17" i="31"/>
  <c r="U17" i="31"/>
  <c r="U18" i="31" s="1"/>
  <c r="W15" i="31"/>
  <c r="U15" i="31"/>
  <c r="W13" i="31"/>
  <c r="U13" i="31"/>
  <c r="U14" i="31" s="1"/>
  <c r="W11" i="31"/>
  <c r="W12" i="31" s="1"/>
  <c r="U11" i="31"/>
  <c r="U12" i="31" s="1"/>
  <c r="W9" i="31"/>
  <c r="U9" i="31"/>
  <c r="W7" i="31"/>
  <c r="U7" i="31"/>
  <c r="W5" i="31"/>
  <c r="U5" i="31"/>
  <c r="U6" i="31" s="1"/>
  <c r="W3" i="31"/>
  <c r="U3" i="31"/>
  <c r="U4" i="31" s="1"/>
  <c r="W70" i="30"/>
  <c r="Y36" i="30"/>
  <c r="W35" i="30"/>
  <c r="Y35" i="30" s="1"/>
  <c r="Y34" i="30"/>
  <c r="W33" i="30"/>
  <c r="Y32" i="30"/>
  <c r="W31" i="30"/>
  <c r="Y30" i="30"/>
  <c r="W29" i="30"/>
  <c r="Y28" i="30"/>
  <c r="W27" i="30"/>
  <c r="Y26" i="30"/>
  <c r="W25" i="30"/>
  <c r="Y24" i="30"/>
  <c r="W23" i="30"/>
  <c r="Y23" i="30" s="1"/>
  <c r="Y22" i="30"/>
  <c r="W21" i="30"/>
  <c r="Y20" i="30"/>
  <c r="W19" i="30"/>
  <c r="Y18" i="30"/>
  <c r="W17" i="30"/>
  <c r="Y16" i="30"/>
  <c r="W15" i="30"/>
  <c r="Y14" i="30"/>
  <c r="W13" i="30"/>
  <c r="Y13" i="30" s="1"/>
  <c r="Y12" i="30"/>
  <c r="W11" i="30"/>
  <c r="Y10" i="30"/>
  <c r="W9" i="30"/>
  <c r="Y8" i="30"/>
  <c r="W7" i="30"/>
  <c r="Y6" i="30"/>
  <c r="Y5" i="30"/>
  <c r="Y4" i="30"/>
  <c r="W3" i="30"/>
  <c r="W71" i="29"/>
  <c r="U70" i="29"/>
  <c r="W69" i="29"/>
  <c r="U68" i="29"/>
  <c r="W67" i="29"/>
  <c r="U66" i="29"/>
  <c r="W65" i="29"/>
  <c r="U64" i="29"/>
  <c r="W63" i="29"/>
  <c r="U62" i="29"/>
  <c r="U63" i="29" s="1"/>
  <c r="W61" i="29"/>
  <c r="U60" i="29"/>
  <c r="W59" i="29"/>
  <c r="U58" i="29"/>
  <c r="U59" i="29" s="1"/>
  <c r="W57" i="29"/>
  <c r="U56" i="29"/>
  <c r="U57" i="29" s="1"/>
  <c r="W55" i="29"/>
  <c r="U54" i="29"/>
  <c r="U55" i="29" s="1"/>
  <c r="W53" i="29"/>
  <c r="U52" i="29"/>
  <c r="W51" i="29"/>
  <c r="U50" i="29"/>
  <c r="W50" i="29" s="1"/>
  <c r="W49" i="29"/>
  <c r="U48" i="29"/>
  <c r="W47" i="29"/>
  <c r="U46" i="29"/>
  <c r="U47" i="29" s="1"/>
  <c r="W45" i="29"/>
  <c r="U44" i="29"/>
  <c r="U45" i="29" s="1"/>
  <c r="W43" i="29"/>
  <c r="U42" i="29"/>
  <c r="W41" i="29"/>
  <c r="U40" i="29"/>
  <c r="U41" i="29" s="1"/>
  <c r="W39" i="29"/>
  <c r="U38" i="29"/>
  <c r="W37" i="29"/>
  <c r="U36" i="29"/>
  <c r="W35" i="29"/>
  <c r="U34" i="29"/>
  <c r="U35" i="29" s="1"/>
  <c r="W33" i="29"/>
  <c r="U32" i="29"/>
  <c r="U33" i="29" s="1"/>
  <c r="W31" i="29"/>
  <c r="U30" i="29"/>
  <c r="W29" i="29"/>
  <c r="U28" i="29"/>
  <c r="U29" i="29" s="1"/>
  <c r="W27" i="29"/>
  <c r="U26" i="29"/>
  <c r="W25" i="29"/>
  <c r="U24" i="29"/>
  <c r="W22" i="29"/>
  <c r="U22" i="29"/>
  <c r="U23" i="29" s="1"/>
  <c r="W21" i="29"/>
  <c r="U20" i="29"/>
  <c r="U21" i="29" s="1"/>
  <c r="W19" i="29"/>
  <c r="U18" i="29"/>
  <c r="U16" i="29"/>
  <c r="W14" i="29"/>
  <c r="W15" i="29" s="1"/>
  <c r="U14" i="29"/>
  <c r="U15" i="29" s="1"/>
  <c r="U12" i="29"/>
  <c r="U13" i="29" s="1"/>
  <c r="W11" i="29"/>
  <c r="U10" i="29"/>
  <c r="W9" i="29"/>
  <c r="U8" i="29"/>
  <c r="W7" i="29"/>
  <c r="U6" i="29"/>
  <c r="W5" i="29"/>
  <c r="U4" i="29"/>
  <c r="Z40" i="31"/>
  <c r="AB39" i="31"/>
  <c r="C39" i="31"/>
  <c r="Z38" i="31"/>
  <c r="AB37" i="31"/>
  <c r="C37" i="31"/>
  <c r="Z36" i="31"/>
  <c r="AB35" i="31"/>
  <c r="C35" i="31"/>
  <c r="Z34" i="31"/>
  <c r="AB33" i="31"/>
  <c r="C33" i="31"/>
  <c r="Z32" i="31"/>
  <c r="AB31" i="31"/>
  <c r="C31" i="31"/>
  <c r="Z30" i="31"/>
  <c r="AB29" i="31"/>
  <c r="C29" i="31"/>
  <c r="Z28" i="31"/>
  <c r="AB27" i="31"/>
  <c r="C27" i="31"/>
  <c r="Z26" i="31"/>
  <c r="AB25" i="31"/>
  <c r="C25" i="31"/>
  <c r="Z24" i="31"/>
  <c r="AB23" i="31"/>
  <c r="C23" i="31"/>
  <c r="AB21" i="31"/>
  <c r="C21" i="31"/>
  <c r="Z20" i="31"/>
  <c r="AB19" i="31"/>
  <c r="C19" i="31"/>
  <c r="Z18" i="31"/>
  <c r="AB18" i="31"/>
  <c r="AB17" i="31"/>
  <c r="C17" i="31"/>
  <c r="Z16" i="31"/>
  <c r="AB15" i="31"/>
  <c r="C15" i="31"/>
  <c r="Z14" i="31"/>
  <c r="AB13" i="31"/>
  <c r="C13" i="31"/>
  <c r="Z12" i="31"/>
  <c r="AB11" i="31"/>
  <c r="C11" i="31"/>
  <c r="Z10" i="31"/>
  <c r="AB10" i="31"/>
  <c r="AB9" i="31"/>
  <c r="C9" i="31"/>
  <c r="AB7" i="31"/>
  <c r="C7" i="31"/>
  <c r="Z6" i="31"/>
  <c r="AB6" i="31"/>
  <c r="AB5" i="31"/>
  <c r="C5" i="31"/>
  <c r="Z4" i="31"/>
  <c r="AB3" i="31"/>
  <c r="C3" i="31"/>
  <c r="AD36" i="30"/>
  <c r="C35" i="30"/>
  <c r="AD34" i="30"/>
  <c r="C33" i="30"/>
  <c r="AF32" i="30"/>
  <c r="AD32" i="30"/>
  <c r="C31" i="30"/>
  <c r="AF29" i="30"/>
  <c r="C29" i="30"/>
  <c r="AF27" i="30"/>
  <c r="C27" i="30"/>
  <c r="AF25" i="30"/>
  <c r="C25" i="30"/>
  <c r="AF23" i="30"/>
  <c r="C23" i="30"/>
  <c r="AF21" i="30"/>
  <c r="C21" i="30"/>
  <c r="AF19" i="30"/>
  <c r="C19" i="30"/>
  <c r="AF17" i="30"/>
  <c r="C17" i="30"/>
  <c r="AF15" i="30"/>
  <c r="C15" i="30"/>
  <c r="AF13" i="30"/>
  <c r="C13" i="30"/>
  <c r="AF11" i="30"/>
  <c r="C11" i="30"/>
  <c r="AF9" i="30"/>
  <c r="C9" i="30"/>
  <c r="AF7" i="30"/>
  <c r="C7" i="30"/>
  <c r="AF5" i="30"/>
  <c r="C5" i="30"/>
  <c r="AF3" i="30"/>
  <c r="C3" i="30"/>
  <c r="AC71" i="29"/>
  <c r="C70" i="29"/>
  <c r="AC69" i="29"/>
  <c r="C68" i="29"/>
  <c r="AC67" i="29"/>
  <c r="C66" i="29"/>
  <c r="AC65" i="29"/>
  <c r="C64" i="29"/>
  <c r="AC63" i="29"/>
  <c r="C62" i="29"/>
  <c r="AC61" i="29"/>
  <c r="C60" i="29"/>
  <c r="AC59" i="29"/>
  <c r="C58" i="29"/>
  <c r="AC57" i="29"/>
  <c r="C56" i="29"/>
  <c r="AC55" i="29"/>
  <c r="C54" i="29"/>
  <c r="AC53" i="29"/>
  <c r="C52" i="29"/>
  <c r="AC51" i="29"/>
  <c r="C50" i="29"/>
  <c r="AC49" i="29"/>
  <c r="C48" i="29"/>
  <c r="C46" i="29"/>
  <c r="AC45" i="29"/>
  <c r="C44" i="29"/>
  <c r="AC43" i="29"/>
  <c r="C42" i="29"/>
  <c r="AC41" i="29"/>
  <c r="C40" i="29"/>
  <c r="AC39" i="29"/>
  <c r="AE38" i="29"/>
  <c r="C38" i="29"/>
  <c r="AC37" i="29"/>
  <c r="C36" i="29"/>
  <c r="AC35" i="29"/>
  <c r="AE34" i="29"/>
  <c r="C34" i="29"/>
  <c r="AC33" i="29"/>
  <c r="C32" i="29"/>
  <c r="AC31" i="29"/>
  <c r="AE30" i="29"/>
  <c r="C30" i="29"/>
  <c r="AC29" i="29"/>
  <c r="AE28" i="29"/>
  <c r="C28" i="29"/>
  <c r="AC27" i="29"/>
  <c r="AE26" i="29"/>
  <c r="C26" i="29"/>
  <c r="AC25" i="29"/>
  <c r="AE24" i="29"/>
  <c r="C24" i="29"/>
  <c r="AE22" i="29"/>
  <c r="C22" i="29"/>
  <c r="AC21" i="29"/>
  <c r="AE20" i="29"/>
  <c r="C20" i="29"/>
  <c r="AC19" i="29"/>
  <c r="AE18" i="29"/>
  <c r="C18" i="29"/>
  <c r="AC17" i="29"/>
  <c r="AE16" i="29"/>
  <c r="C16" i="29"/>
  <c r="AC15" i="29"/>
  <c r="AE14" i="29"/>
  <c r="C14" i="29"/>
  <c r="AC13" i="29"/>
  <c r="AE12" i="29"/>
  <c r="C12" i="29"/>
  <c r="AC11" i="29"/>
  <c r="AE10" i="29"/>
  <c r="C10" i="29"/>
  <c r="AC9" i="29"/>
  <c r="AE8" i="29"/>
  <c r="C8" i="29"/>
  <c r="AC7" i="29"/>
  <c r="AE6" i="29"/>
  <c r="C6" i="29"/>
  <c r="AC5" i="29"/>
  <c r="AE4" i="29"/>
  <c r="C4" i="29"/>
  <c r="Y7" i="30" l="1"/>
  <c r="Y19" i="30"/>
  <c r="Y31" i="30"/>
  <c r="Y108" i="5"/>
  <c r="W216" i="4"/>
  <c r="W196" i="4"/>
  <c r="W254" i="4"/>
  <c r="W244" i="4"/>
  <c r="W242" i="4"/>
  <c r="W236" i="4"/>
  <c r="W260" i="4"/>
  <c r="W232" i="4"/>
  <c r="W256" i="4"/>
  <c r="W212" i="4"/>
  <c r="W200" i="4"/>
  <c r="W228" i="4"/>
  <c r="W248" i="4"/>
  <c r="Y106" i="5"/>
  <c r="Y112" i="5"/>
  <c r="Y104" i="5"/>
  <c r="Y110" i="5"/>
  <c r="Y116" i="5"/>
  <c r="Y118" i="5"/>
  <c r="Y114" i="5"/>
  <c r="Y102" i="5"/>
  <c r="W240" i="4"/>
  <c r="W252" i="4"/>
  <c r="W238" i="4"/>
  <c r="W250" i="4"/>
  <c r="W262" i="4"/>
  <c r="W222" i="4"/>
  <c r="W234" i="4"/>
  <c r="W246" i="4"/>
  <c r="W258" i="4"/>
  <c r="U217" i="4"/>
  <c r="U229" i="4"/>
  <c r="W198" i="4"/>
  <c r="W224" i="4"/>
  <c r="W226" i="4"/>
  <c r="W210" i="4"/>
  <c r="W220" i="4"/>
  <c r="U199" i="4"/>
  <c r="W230" i="4"/>
  <c r="U205" i="4"/>
  <c r="U221" i="4"/>
  <c r="U209" i="4"/>
  <c r="U211" i="4"/>
  <c r="U223" i="4"/>
  <c r="W218" i="4"/>
  <c r="W202" i="4"/>
  <c r="Z8" i="31"/>
  <c r="W8" i="31"/>
  <c r="W38" i="31"/>
  <c r="W6" i="31"/>
  <c r="U16" i="31"/>
  <c r="U36" i="31"/>
  <c r="U40" i="31"/>
  <c r="U10" i="31"/>
  <c r="W16" i="31"/>
  <c r="U24" i="31"/>
  <c r="U28" i="31"/>
  <c r="W36" i="31"/>
  <c r="U8" i="31"/>
  <c r="W14" i="31"/>
  <c r="W18" i="31"/>
  <c r="U22" i="31"/>
  <c r="W30" i="31"/>
  <c r="U38" i="31"/>
  <c r="W4" i="31"/>
  <c r="W10" i="31"/>
  <c r="W34" i="31"/>
  <c r="W40" i="31"/>
  <c r="U20" i="31"/>
  <c r="U26" i="31"/>
  <c r="U32" i="31"/>
  <c r="AB8" i="31"/>
  <c r="AB12" i="31"/>
  <c r="AB4" i="31"/>
  <c r="Y9" i="30"/>
  <c r="Y21" i="30"/>
  <c r="Y3" i="30"/>
  <c r="Y25" i="30"/>
  <c r="Y11" i="30"/>
  <c r="Y33" i="30"/>
  <c r="Y17" i="30"/>
  <c r="Y29" i="30"/>
  <c r="Y15" i="30"/>
  <c r="Y27" i="30"/>
  <c r="W24" i="29"/>
  <c r="W36" i="29"/>
  <c r="W42" i="29"/>
  <c r="W68" i="29"/>
  <c r="U53" i="29"/>
  <c r="W30" i="29"/>
  <c r="U51" i="29"/>
  <c r="U71" i="29"/>
  <c r="W62" i="29"/>
  <c r="U5" i="29"/>
  <c r="U67" i="29"/>
  <c r="U7" i="29"/>
  <c r="W56" i="29"/>
  <c r="U69" i="29"/>
  <c r="U25" i="29"/>
  <c r="U27" i="29"/>
  <c r="U37" i="29"/>
  <c r="U39" i="29"/>
  <c r="W48" i="29"/>
  <c r="W58" i="29"/>
  <c r="U65" i="29"/>
  <c r="AC47" i="29"/>
  <c r="W16" i="29"/>
  <c r="W12" i="29"/>
  <c r="U31" i="29"/>
  <c r="U43" i="29"/>
  <c r="W46" i="29"/>
  <c r="W60" i="29"/>
  <c r="W70" i="29"/>
  <c r="W4" i="29"/>
  <c r="U9" i="29"/>
  <c r="W52" i="29"/>
  <c r="W64" i="29"/>
  <c r="W6" i="29"/>
  <c r="U17" i="29"/>
  <c r="W20" i="29"/>
  <c r="W23" i="29"/>
  <c r="W26" i="29"/>
  <c r="W32" i="29"/>
  <c r="W38" i="29"/>
  <c r="W44" i="29"/>
  <c r="U49" i="29"/>
  <c r="W54" i="29"/>
  <c r="U61" i="29"/>
  <c r="W66" i="29"/>
  <c r="W10" i="29"/>
  <c r="U11" i="29"/>
  <c r="U19" i="29"/>
  <c r="W18" i="29"/>
  <c r="W8" i="29"/>
  <c r="W28" i="29"/>
  <c r="W34" i="29"/>
  <c r="W40" i="29"/>
  <c r="AC23" i="29"/>
  <c r="AF33" i="30"/>
  <c r="AB14" i="31"/>
  <c r="Z22" i="31"/>
  <c r="AF31" i="30"/>
  <c r="AB20" i="31"/>
  <c r="AF35" i="30"/>
  <c r="AF34" i="30"/>
  <c r="AF36" i="30" l="1"/>
  <c r="AB16" i="31"/>
  <c r="AB15" i="6" l="1"/>
  <c r="Z15" i="6"/>
  <c r="AB14" i="6"/>
  <c r="W14" i="6"/>
  <c r="W15" i="6" s="1"/>
  <c r="U14" i="6"/>
  <c r="U15" i="6" s="1"/>
  <c r="C14" i="6"/>
  <c r="AB13" i="6"/>
  <c r="AB12" i="6"/>
  <c r="Z12" i="6"/>
  <c r="Z13" i="6" s="1"/>
  <c r="W12" i="6"/>
  <c r="W13" i="6" s="1"/>
  <c r="U12" i="6"/>
  <c r="U13" i="6" s="1"/>
  <c r="C12" i="6"/>
  <c r="AB11" i="6"/>
  <c r="AB10" i="6"/>
  <c r="Z10" i="6"/>
  <c r="Z11" i="6" s="1"/>
  <c r="W10" i="6"/>
  <c r="W11" i="6" s="1"/>
  <c r="U10" i="6"/>
  <c r="U11" i="6" s="1"/>
  <c r="C10" i="6"/>
  <c r="AC195" i="4"/>
  <c r="W195" i="4"/>
  <c r="AE194" i="4"/>
  <c r="U194" i="4"/>
  <c r="U195" i="4" s="1"/>
  <c r="C194" i="4"/>
  <c r="AC193" i="4"/>
  <c r="W193" i="4"/>
  <c r="AE192" i="4"/>
  <c r="U192" i="4"/>
  <c r="C192" i="4"/>
  <c r="AC191" i="4"/>
  <c r="W191" i="4"/>
  <c r="AE190" i="4"/>
  <c r="U190" i="4"/>
  <c r="C190" i="4"/>
  <c r="AC189" i="4"/>
  <c r="W189" i="4"/>
  <c r="AE188" i="4"/>
  <c r="U188" i="4"/>
  <c r="U189" i="4" s="1"/>
  <c r="C188" i="4"/>
  <c r="AC187" i="4"/>
  <c r="W187" i="4"/>
  <c r="AE186" i="4"/>
  <c r="U186" i="4"/>
  <c r="C186" i="4"/>
  <c r="AC185" i="4"/>
  <c r="W185" i="4"/>
  <c r="AE184" i="4"/>
  <c r="U184" i="4"/>
  <c r="U185" i="4" s="1"/>
  <c r="C184" i="4"/>
  <c r="AC183" i="4"/>
  <c r="W183" i="4"/>
  <c r="AE182" i="4"/>
  <c r="U182" i="4"/>
  <c r="U183" i="4" s="1"/>
  <c r="C182" i="4"/>
  <c r="AC181" i="4"/>
  <c r="W181" i="4"/>
  <c r="AE180" i="4"/>
  <c r="U180" i="4"/>
  <c r="C180" i="4"/>
  <c r="W179" i="4"/>
  <c r="AE178" i="4"/>
  <c r="AC178" i="4"/>
  <c r="AC179" i="4" s="1"/>
  <c r="U178" i="4"/>
  <c r="C178" i="4"/>
  <c r="AC177" i="4"/>
  <c r="W177" i="4"/>
  <c r="AE176" i="4"/>
  <c r="U176" i="4"/>
  <c r="C176" i="4"/>
  <c r="W175" i="4"/>
  <c r="AE174" i="4"/>
  <c r="AC174" i="4"/>
  <c r="AC175" i="4" s="1"/>
  <c r="U174" i="4"/>
  <c r="U175" i="4" s="1"/>
  <c r="C174" i="4"/>
  <c r="AC173" i="4"/>
  <c r="W173" i="4"/>
  <c r="AE172" i="4"/>
  <c r="U172" i="4"/>
  <c r="C172" i="4"/>
  <c r="AE170" i="4"/>
  <c r="AC170" i="4"/>
  <c r="AC171" i="4" s="1"/>
  <c r="U170" i="4"/>
  <c r="W170" i="4" s="1"/>
  <c r="C170" i="4"/>
  <c r="W169" i="4"/>
  <c r="AE168" i="4"/>
  <c r="AC168" i="4"/>
  <c r="AC169" i="4" s="1"/>
  <c r="U168" i="4"/>
  <c r="C168" i="4"/>
  <c r="AC167" i="4"/>
  <c r="W167" i="4"/>
  <c r="AE166" i="4"/>
  <c r="U166" i="4"/>
  <c r="C166" i="4"/>
  <c r="R19" i="28"/>
  <c r="S17" i="28"/>
  <c r="S14" i="28"/>
  <c r="S19" i="28" s="1"/>
  <c r="W7" i="28"/>
  <c r="U7" i="28"/>
  <c r="U8" i="28" s="1"/>
  <c r="W5" i="28"/>
  <c r="U5" i="28"/>
  <c r="W3" i="28"/>
  <c r="W4" i="28" s="1"/>
  <c r="U3" i="28"/>
  <c r="W33" i="26"/>
  <c r="U32" i="26"/>
  <c r="W31" i="26"/>
  <c r="U30" i="26"/>
  <c r="W29" i="26"/>
  <c r="U28" i="26"/>
  <c r="W27" i="26"/>
  <c r="U26" i="26"/>
  <c r="W25" i="26"/>
  <c r="U24" i="26"/>
  <c r="W23" i="26"/>
  <c r="U22" i="26"/>
  <c r="U23" i="26" s="1"/>
  <c r="W21" i="26"/>
  <c r="U20" i="26"/>
  <c r="W19" i="26"/>
  <c r="U18" i="26"/>
  <c r="W17" i="26"/>
  <c r="U16" i="26"/>
  <c r="W15" i="26"/>
  <c r="U14" i="26"/>
  <c r="W13" i="26"/>
  <c r="U12" i="26"/>
  <c r="W11" i="26"/>
  <c r="U10" i="26"/>
  <c r="U8" i="26"/>
  <c r="W8" i="26" s="1"/>
  <c r="W7" i="26"/>
  <c r="U6" i="26"/>
  <c r="W5" i="26"/>
  <c r="U4" i="26"/>
  <c r="W4" i="26" s="1"/>
  <c r="AB8" i="28"/>
  <c r="Z8" i="28"/>
  <c r="AB7" i="28"/>
  <c r="C7" i="28"/>
  <c r="AB6" i="28"/>
  <c r="AB5" i="28"/>
  <c r="Z5" i="28"/>
  <c r="C5" i="28"/>
  <c r="AB4" i="28"/>
  <c r="AB3" i="28"/>
  <c r="Z3" i="28"/>
  <c r="C3" i="28"/>
  <c r="AE32" i="26"/>
  <c r="C32" i="26"/>
  <c r="AE30" i="26"/>
  <c r="C30" i="26"/>
  <c r="AC29" i="26"/>
  <c r="AE28" i="26"/>
  <c r="C28" i="26"/>
  <c r="AE26" i="26"/>
  <c r="C26" i="26"/>
  <c r="AC25" i="26"/>
  <c r="AE24" i="26"/>
  <c r="C24" i="26"/>
  <c r="AC23" i="26"/>
  <c r="AE22" i="26"/>
  <c r="C22" i="26"/>
  <c r="AC21" i="26"/>
  <c r="AE20" i="26"/>
  <c r="C20" i="26"/>
  <c r="AC19" i="26"/>
  <c r="AE18" i="26"/>
  <c r="C18" i="26"/>
  <c r="AE16" i="26"/>
  <c r="AC16" i="26"/>
  <c r="C16" i="26"/>
  <c r="AE14" i="26"/>
  <c r="C14" i="26"/>
  <c r="AE12" i="26"/>
  <c r="AC12" i="26"/>
  <c r="AC13" i="26" s="1"/>
  <c r="C12" i="26"/>
  <c r="AC11" i="26"/>
  <c r="AE10" i="26"/>
  <c r="C10" i="26"/>
  <c r="AE8" i="26"/>
  <c r="AC8" i="26"/>
  <c r="AC9" i="26" s="1"/>
  <c r="C8" i="26"/>
  <c r="AE6" i="26"/>
  <c r="AC6" i="26"/>
  <c r="C6" i="26"/>
  <c r="AE4" i="26"/>
  <c r="C4" i="26"/>
  <c r="W178" i="4" l="1"/>
  <c r="W180" i="4"/>
  <c r="W192" i="4"/>
  <c r="U179" i="4"/>
  <c r="U181" i="4"/>
  <c r="W168" i="4"/>
  <c r="W176" i="4"/>
  <c r="W172" i="4"/>
  <c r="W190" i="4"/>
  <c r="W194" i="4"/>
  <c r="W166" i="4"/>
  <c r="W174" i="4"/>
  <c r="W186" i="4"/>
  <c r="U191" i="4"/>
  <c r="U193" i="4"/>
  <c r="U173" i="4"/>
  <c r="W182" i="4"/>
  <c r="U171" i="4"/>
  <c r="U167" i="4"/>
  <c r="W188" i="4"/>
  <c r="U177" i="4"/>
  <c r="U187" i="4"/>
  <c r="U169" i="4"/>
  <c r="W184" i="4"/>
  <c r="Z4" i="28"/>
  <c r="Z6" i="28"/>
  <c r="W8" i="28"/>
  <c r="U6" i="28"/>
  <c r="W6" i="28"/>
  <c r="U4" i="28"/>
  <c r="W24" i="26"/>
  <c r="U17" i="26"/>
  <c r="U15" i="26"/>
  <c r="U27" i="26"/>
  <c r="W30" i="26"/>
  <c r="AC27" i="26"/>
  <c r="W18" i="26"/>
  <c r="U5" i="26"/>
  <c r="U9" i="26"/>
  <c r="U13" i="26"/>
  <c r="U29" i="26"/>
  <c r="U11" i="26"/>
  <c r="W20" i="26"/>
  <c r="W26" i="26"/>
  <c r="W32" i="26"/>
  <c r="W14" i="26"/>
  <c r="U19" i="26"/>
  <c r="U25" i="26"/>
  <c r="U31" i="26"/>
  <c r="U7" i="26"/>
  <c r="W10" i="26"/>
  <c r="U21" i="26"/>
  <c r="U33" i="26"/>
  <c r="W12" i="26"/>
  <c r="W6" i="26"/>
  <c r="W16" i="26"/>
  <c r="W22" i="26"/>
  <c r="W28" i="26"/>
  <c r="AC31" i="26"/>
  <c r="AC5" i="26"/>
  <c r="AC33" i="26"/>
  <c r="AC17" i="26"/>
  <c r="AC15" i="26"/>
  <c r="AC7" i="26" l="1"/>
  <c r="AD97" i="5" l="1"/>
  <c r="Y97" i="5"/>
  <c r="AF96" i="5"/>
  <c r="W96" i="5"/>
  <c r="C96" i="5"/>
  <c r="AD95" i="5"/>
  <c r="Y95" i="5"/>
  <c r="AF94" i="5"/>
  <c r="W94" i="5"/>
  <c r="C94" i="5"/>
  <c r="AD93" i="5"/>
  <c r="Y93" i="5"/>
  <c r="AF92" i="5"/>
  <c r="W92" i="5"/>
  <c r="C92" i="5"/>
  <c r="AD91" i="5"/>
  <c r="Y91" i="5"/>
  <c r="AF90" i="5"/>
  <c r="W90" i="5"/>
  <c r="C90" i="5"/>
  <c r="AD89" i="5"/>
  <c r="Y89" i="5"/>
  <c r="AF88" i="5"/>
  <c r="W88" i="5"/>
  <c r="C88" i="5"/>
  <c r="AD87" i="5"/>
  <c r="Y87" i="5"/>
  <c r="AF86" i="5"/>
  <c r="W86" i="5"/>
  <c r="C86" i="5"/>
  <c r="AD85" i="5"/>
  <c r="Y85" i="5"/>
  <c r="AF84" i="5"/>
  <c r="W84" i="5"/>
  <c r="C84" i="5"/>
  <c r="AD83" i="5"/>
  <c r="Y83" i="5"/>
  <c r="AF82" i="5"/>
  <c r="W82" i="5"/>
  <c r="C82" i="5"/>
  <c r="Y81" i="5"/>
  <c r="AF80" i="5"/>
  <c r="AD80" i="5"/>
  <c r="AD81" i="5" s="1"/>
  <c r="W80" i="5"/>
  <c r="C80" i="5"/>
  <c r="AD79" i="5"/>
  <c r="Y79" i="5"/>
  <c r="AF78" i="5"/>
  <c r="W78" i="5"/>
  <c r="C78" i="5"/>
  <c r="AD77" i="5"/>
  <c r="Y77" i="5"/>
  <c r="AF76" i="5"/>
  <c r="W76" i="5"/>
  <c r="C76" i="5"/>
  <c r="AD75" i="5"/>
  <c r="Y75" i="5"/>
  <c r="AF74" i="5"/>
  <c r="W74" i="5"/>
  <c r="C74" i="5"/>
  <c r="AD73" i="5"/>
  <c r="Y73" i="5"/>
  <c r="AF72" i="5"/>
  <c r="W72" i="5"/>
  <c r="C72" i="5"/>
  <c r="W165" i="4"/>
  <c r="AE164" i="4"/>
  <c r="U164" i="4"/>
  <c r="C164" i="4"/>
  <c r="AC163" i="4"/>
  <c r="W163" i="4"/>
  <c r="AE162" i="4"/>
  <c r="U162" i="4"/>
  <c r="C162" i="4"/>
  <c r="AC161" i="4"/>
  <c r="W161" i="4"/>
  <c r="AE160" i="4"/>
  <c r="U160" i="4"/>
  <c r="C160" i="4"/>
  <c r="AC159" i="4"/>
  <c r="W159" i="4"/>
  <c r="AE158" i="4"/>
  <c r="U158" i="4"/>
  <c r="U159" i="4" s="1"/>
  <c r="C158" i="4"/>
  <c r="AC157" i="4"/>
  <c r="W157" i="4"/>
  <c r="AE156" i="4"/>
  <c r="U156" i="4"/>
  <c r="U157" i="4" s="1"/>
  <c r="C156" i="4"/>
  <c r="AC155" i="4"/>
  <c r="W155" i="4"/>
  <c r="AE154" i="4"/>
  <c r="U154" i="4"/>
  <c r="C154" i="4"/>
  <c r="AC153" i="4"/>
  <c r="W153" i="4"/>
  <c r="AE152" i="4"/>
  <c r="U152" i="4"/>
  <c r="U153" i="4" s="1"/>
  <c r="C152" i="4"/>
  <c r="AC151" i="4"/>
  <c r="W151" i="4"/>
  <c r="AE150" i="4"/>
  <c r="U150" i="4"/>
  <c r="U151" i="4" s="1"/>
  <c r="C150" i="4"/>
  <c r="AC149" i="4"/>
  <c r="W149" i="4"/>
  <c r="AE148" i="4"/>
  <c r="U148" i="4"/>
  <c r="U149" i="4" s="1"/>
  <c r="C148" i="4"/>
  <c r="AC147" i="4"/>
  <c r="W147" i="4"/>
  <c r="AE146" i="4"/>
  <c r="U146" i="4"/>
  <c r="U147" i="4" s="1"/>
  <c r="C146" i="4"/>
  <c r="AC145" i="4"/>
  <c r="W145" i="4"/>
  <c r="AE144" i="4"/>
  <c r="U144" i="4"/>
  <c r="U145" i="4" s="1"/>
  <c r="C144" i="4"/>
  <c r="AC143" i="4"/>
  <c r="W143" i="4"/>
  <c r="AE142" i="4"/>
  <c r="U142" i="4"/>
  <c r="C142" i="4"/>
  <c r="AC141" i="4"/>
  <c r="W141" i="4"/>
  <c r="AE140" i="4"/>
  <c r="U140" i="4"/>
  <c r="U141" i="4" s="1"/>
  <c r="C140" i="4"/>
  <c r="AC139" i="4"/>
  <c r="W139" i="4"/>
  <c r="AE138" i="4"/>
  <c r="U138" i="4"/>
  <c r="C138" i="4"/>
  <c r="W45" i="24"/>
  <c r="Y44" i="24"/>
  <c r="Y43" i="24"/>
  <c r="W43" i="24"/>
  <c r="W42" i="24"/>
  <c r="Y40" i="24"/>
  <c r="Y39" i="24"/>
  <c r="W39" i="24"/>
  <c r="W38" i="24"/>
  <c r="W40" i="24" s="1"/>
  <c r="W37" i="24"/>
  <c r="Y36" i="24"/>
  <c r="Y35" i="24"/>
  <c r="W34" i="24"/>
  <c r="Y37" i="24" s="1"/>
  <c r="Y32" i="24"/>
  <c r="W31" i="24"/>
  <c r="Y31" i="24" s="1"/>
  <c r="Y30" i="24"/>
  <c r="W29" i="24"/>
  <c r="Y28" i="24"/>
  <c r="W27" i="24"/>
  <c r="Y27" i="24" s="1"/>
  <c r="Y26" i="24"/>
  <c r="W25" i="24"/>
  <c r="Y24" i="24"/>
  <c r="W23" i="24"/>
  <c r="Y22" i="24"/>
  <c r="W21" i="24"/>
  <c r="Y21" i="24" s="1"/>
  <c r="Y20" i="24"/>
  <c r="W19" i="24"/>
  <c r="Y19" i="24" s="1"/>
  <c r="Y18" i="24"/>
  <c r="W17" i="24"/>
  <c r="Y16" i="24"/>
  <c r="W15" i="24"/>
  <c r="Y15" i="24" s="1"/>
  <c r="Y14" i="24"/>
  <c r="W13" i="24"/>
  <c r="Y12" i="24"/>
  <c r="W11" i="24"/>
  <c r="Y10" i="24"/>
  <c r="W9" i="24"/>
  <c r="Y9" i="24" s="1"/>
  <c r="Y8" i="24"/>
  <c r="W7" i="24"/>
  <c r="Y6" i="24"/>
  <c r="W5" i="24"/>
  <c r="Y4" i="24"/>
  <c r="W3" i="24"/>
  <c r="Y3" i="24" s="1"/>
  <c r="W33" i="23"/>
  <c r="U32" i="23"/>
  <c r="W31" i="23"/>
  <c r="U30" i="23"/>
  <c r="W29" i="23"/>
  <c r="U28" i="23"/>
  <c r="U29" i="23" s="1"/>
  <c r="W27" i="23"/>
  <c r="U26" i="23"/>
  <c r="W26" i="23" s="1"/>
  <c r="W25" i="23"/>
  <c r="U24" i="23"/>
  <c r="W23" i="23"/>
  <c r="U22" i="23"/>
  <c r="U23" i="23" s="1"/>
  <c r="W21" i="23"/>
  <c r="U20" i="23"/>
  <c r="W19" i="23"/>
  <c r="U18" i="23"/>
  <c r="W17" i="23"/>
  <c r="U16" i="23"/>
  <c r="U17" i="23" s="1"/>
  <c r="W15" i="23"/>
  <c r="U14" i="23"/>
  <c r="W13" i="23"/>
  <c r="U12" i="23"/>
  <c r="W11" i="23"/>
  <c r="U10" i="23"/>
  <c r="U11" i="23" s="1"/>
  <c r="W9" i="23"/>
  <c r="U8" i="23"/>
  <c r="W7" i="23"/>
  <c r="U6" i="23"/>
  <c r="W5" i="23"/>
  <c r="U4" i="23"/>
  <c r="U5" i="23" s="1"/>
  <c r="AD45" i="24"/>
  <c r="AD44" i="24"/>
  <c r="AF43" i="24"/>
  <c r="AF42" i="24"/>
  <c r="AF45" i="24" s="1"/>
  <c r="C42" i="24"/>
  <c r="AD41" i="24"/>
  <c r="AD40" i="24"/>
  <c r="AF39" i="24"/>
  <c r="AF38" i="24"/>
  <c r="C38" i="24"/>
  <c r="AD37" i="24"/>
  <c r="AD36" i="24"/>
  <c r="AF35" i="24"/>
  <c r="AF34" i="24"/>
  <c r="C34" i="24"/>
  <c r="A34" i="24"/>
  <c r="AD32" i="24"/>
  <c r="AF31" i="24"/>
  <c r="C31" i="24"/>
  <c r="AD30" i="24"/>
  <c r="AF29" i="24"/>
  <c r="C29" i="24"/>
  <c r="AD28" i="24"/>
  <c r="AF27" i="24"/>
  <c r="C27" i="24"/>
  <c r="AD26" i="24"/>
  <c r="AF25" i="24"/>
  <c r="C25" i="24"/>
  <c r="AD24" i="24"/>
  <c r="AF23" i="24"/>
  <c r="C23" i="24"/>
  <c r="AD22" i="24"/>
  <c r="AF21" i="24"/>
  <c r="C21" i="24"/>
  <c r="AF19" i="24"/>
  <c r="C19" i="24"/>
  <c r="AD18" i="24"/>
  <c r="AF17" i="24"/>
  <c r="C17" i="24"/>
  <c r="AF15" i="24"/>
  <c r="C15" i="24"/>
  <c r="AF13" i="24"/>
  <c r="AD13" i="24"/>
  <c r="AD14" i="24" s="1"/>
  <c r="C13" i="24"/>
  <c r="AD12" i="24"/>
  <c r="AF11" i="24"/>
  <c r="C11" i="24"/>
  <c r="AD10" i="24"/>
  <c r="AF9" i="24"/>
  <c r="C9" i="24"/>
  <c r="AD8" i="24"/>
  <c r="AF7" i="24"/>
  <c r="C7" i="24"/>
  <c r="AD6" i="24"/>
  <c r="AF5" i="24"/>
  <c r="C5" i="24"/>
  <c r="AD4" i="24"/>
  <c r="AF3" i="24"/>
  <c r="C3" i="24"/>
  <c r="AE2" i="24"/>
  <c r="AB33" i="23"/>
  <c r="AD32" i="23"/>
  <c r="C32" i="23"/>
  <c r="AB31" i="23"/>
  <c r="AD30" i="23"/>
  <c r="C30" i="23"/>
  <c r="AB29" i="23"/>
  <c r="AD28" i="23"/>
  <c r="C28" i="23"/>
  <c r="AD26" i="23"/>
  <c r="C26" i="23"/>
  <c r="AB25" i="23"/>
  <c r="AD24" i="23"/>
  <c r="C24" i="23"/>
  <c r="AB23" i="23"/>
  <c r="AD22" i="23"/>
  <c r="C22" i="23"/>
  <c r="AB21" i="23"/>
  <c r="AD20" i="23"/>
  <c r="C20" i="23"/>
  <c r="AB19" i="23"/>
  <c r="AD18" i="23"/>
  <c r="C18" i="23"/>
  <c r="AB17" i="23"/>
  <c r="AD16" i="23"/>
  <c r="C16" i="23"/>
  <c r="AB15" i="23"/>
  <c r="AD14" i="23"/>
  <c r="C14" i="23"/>
  <c r="AB13" i="23"/>
  <c r="AD12" i="23"/>
  <c r="C12" i="23"/>
  <c r="AB11" i="23"/>
  <c r="AD10" i="23"/>
  <c r="C10" i="23"/>
  <c r="AB9" i="23"/>
  <c r="C8" i="23"/>
  <c r="AB7" i="23"/>
  <c r="AD6" i="23"/>
  <c r="C6" i="23"/>
  <c r="AB5" i="23"/>
  <c r="AD4" i="23"/>
  <c r="C4" i="23"/>
  <c r="W8" i="23" l="1"/>
  <c r="Y13" i="24"/>
  <c r="Y25" i="24"/>
  <c r="W164" i="4"/>
  <c r="W140" i="4"/>
  <c r="W154" i="4"/>
  <c r="W152" i="4"/>
  <c r="U165" i="4"/>
  <c r="Y92" i="5"/>
  <c r="Y82" i="5"/>
  <c r="Y78" i="5"/>
  <c r="Y90" i="5"/>
  <c r="Y76" i="5"/>
  <c r="Y88" i="5"/>
  <c r="Y74" i="5"/>
  <c r="Y80" i="5"/>
  <c r="Y86" i="5"/>
  <c r="Y96" i="5"/>
  <c r="Y72" i="5"/>
  <c r="Y84" i="5"/>
  <c r="Y94" i="5"/>
  <c r="W142" i="4"/>
  <c r="W138" i="4"/>
  <c r="W160" i="4"/>
  <c r="W162" i="4"/>
  <c r="U139" i="4"/>
  <c r="W148" i="4"/>
  <c r="W150" i="4"/>
  <c r="U161" i="4"/>
  <c r="U163" i="4"/>
  <c r="W144" i="4"/>
  <c r="W156" i="4"/>
  <c r="U143" i="4"/>
  <c r="W146" i="4"/>
  <c r="U155" i="4"/>
  <c r="W158" i="4"/>
  <c r="Y34" i="24"/>
  <c r="W44" i="24"/>
  <c r="AF37" i="24"/>
  <c r="Y5" i="24"/>
  <c r="Y11" i="24"/>
  <c r="Y17" i="24"/>
  <c r="Y23" i="24"/>
  <c r="Y29" i="24"/>
  <c r="P45" i="24"/>
  <c r="Y7" i="24"/>
  <c r="Y45" i="24"/>
  <c r="W41" i="24"/>
  <c r="Y38" i="24"/>
  <c r="Y41" i="24"/>
  <c r="Y42" i="24"/>
  <c r="W20" i="23"/>
  <c r="W32" i="23"/>
  <c r="U7" i="23"/>
  <c r="U13" i="23"/>
  <c r="U19" i="23"/>
  <c r="U25" i="23"/>
  <c r="U31" i="23"/>
  <c r="W4" i="23"/>
  <c r="W10" i="23"/>
  <c r="W16" i="23"/>
  <c r="W22" i="23"/>
  <c r="W28" i="23"/>
  <c r="U9" i="23"/>
  <c r="U15" i="23"/>
  <c r="U21" i="23"/>
  <c r="U27" i="23"/>
  <c r="U33" i="23"/>
  <c r="W6" i="23"/>
  <c r="W12" i="23"/>
  <c r="W18" i="23"/>
  <c r="W24" i="23"/>
  <c r="W30" i="23"/>
  <c r="W14" i="23"/>
  <c r="AD20" i="24"/>
  <c r="AB27" i="23"/>
  <c r="AF41" i="24"/>
  <c r="P41" i="24"/>
  <c r="AD16" i="24"/>
  <c r="E43" i="24" l="1"/>
  <c r="N39" i="24"/>
  <c r="H39" i="24"/>
  <c r="O39" i="24"/>
  <c r="I39" i="24"/>
  <c r="F39" i="24"/>
  <c r="L39" i="24"/>
  <c r="D39" i="24"/>
  <c r="G39" i="24"/>
  <c r="J39" i="24"/>
  <c r="K39" i="24"/>
  <c r="E39" i="24"/>
  <c r="M39" i="24"/>
  <c r="K35" i="24"/>
  <c r="E35" i="24"/>
  <c r="L35" i="24"/>
  <c r="F35" i="24"/>
  <c r="J35" i="24"/>
  <c r="H35" i="24"/>
  <c r="M35" i="24"/>
  <c r="O35" i="24"/>
  <c r="N35" i="24"/>
  <c r="I35" i="24"/>
  <c r="G35" i="24"/>
  <c r="D35" i="24"/>
  <c r="Z35" i="24"/>
  <c r="F43" i="24"/>
  <c r="I43" i="24"/>
  <c r="AA35" i="24"/>
  <c r="H43" i="24" l="1"/>
  <c r="K43" i="24"/>
  <c r="D43" i="24"/>
  <c r="L43" i="24"/>
  <c r="G43" i="24"/>
  <c r="J43" i="24"/>
  <c r="M43" i="24"/>
  <c r="N43" i="24"/>
  <c r="O43" i="24"/>
  <c r="AB9" i="6" l="1"/>
  <c r="Z9" i="6"/>
  <c r="AB8" i="6"/>
  <c r="W8" i="6"/>
  <c r="W9" i="6" s="1"/>
  <c r="U8" i="6"/>
  <c r="U9" i="6" s="1"/>
  <c r="C8" i="6"/>
  <c r="AB7" i="6"/>
  <c r="AB6" i="6"/>
  <c r="Z6" i="6"/>
  <c r="Z7" i="6" s="1"/>
  <c r="W6" i="6"/>
  <c r="W7" i="6" s="1"/>
  <c r="U6" i="6"/>
  <c r="U7" i="6" s="1"/>
  <c r="C6" i="6"/>
  <c r="Y71" i="5"/>
  <c r="AF70" i="5"/>
  <c r="W70" i="5"/>
  <c r="C70" i="5"/>
  <c r="Y69" i="5"/>
  <c r="AF68" i="5"/>
  <c r="W68" i="5"/>
  <c r="Y68" i="5" s="1"/>
  <c r="C68" i="5"/>
  <c r="Y67" i="5"/>
  <c r="AF66" i="5"/>
  <c r="W66" i="5"/>
  <c r="C66" i="5"/>
  <c r="Y65" i="5"/>
  <c r="AF64" i="5"/>
  <c r="W64" i="5"/>
  <c r="C64" i="5"/>
  <c r="Y63" i="5"/>
  <c r="AF62" i="5"/>
  <c r="W62" i="5"/>
  <c r="C62" i="5"/>
  <c r="Y61" i="5"/>
  <c r="AF60" i="5"/>
  <c r="W60" i="5"/>
  <c r="C60" i="5"/>
  <c r="Y59" i="5"/>
  <c r="AF58" i="5"/>
  <c r="W58" i="5"/>
  <c r="C58" i="5"/>
  <c r="Y57" i="5"/>
  <c r="AF56" i="5"/>
  <c r="W56" i="5"/>
  <c r="C56" i="5"/>
  <c r="Y55" i="5"/>
  <c r="AF54" i="5"/>
  <c r="W54" i="5"/>
  <c r="C54" i="5"/>
  <c r="Y53" i="5"/>
  <c r="AF52" i="5"/>
  <c r="W52" i="5"/>
  <c r="C52" i="5"/>
  <c r="AC137" i="4"/>
  <c r="W137" i="4"/>
  <c r="AE136" i="4"/>
  <c r="U136" i="4"/>
  <c r="U137" i="4" s="1"/>
  <c r="C136" i="4"/>
  <c r="AC135" i="4"/>
  <c r="W135" i="4"/>
  <c r="AE134" i="4"/>
  <c r="U134" i="4"/>
  <c r="C134" i="4"/>
  <c r="AC133" i="4"/>
  <c r="W133" i="4"/>
  <c r="AE132" i="4"/>
  <c r="U132" i="4"/>
  <c r="U133" i="4" s="1"/>
  <c r="C132" i="4"/>
  <c r="AC131" i="4"/>
  <c r="W131" i="4"/>
  <c r="AE130" i="4"/>
  <c r="U130" i="4"/>
  <c r="U131" i="4" s="1"/>
  <c r="C130" i="4"/>
  <c r="AC129" i="4"/>
  <c r="W129" i="4"/>
  <c r="AE128" i="4"/>
  <c r="U128" i="4"/>
  <c r="C128" i="4"/>
  <c r="AC127" i="4"/>
  <c r="W127" i="4"/>
  <c r="AE126" i="4"/>
  <c r="U126" i="4"/>
  <c r="U127" i="4" s="1"/>
  <c r="C126" i="4"/>
  <c r="W5" i="22"/>
  <c r="U5" i="22"/>
  <c r="U6" i="22" s="1"/>
  <c r="W3" i="22"/>
  <c r="U3" i="22"/>
  <c r="W128" i="4" l="1"/>
  <c r="Y60" i="5"/>
  <c r="Y66" i="5"/>
  <c r="Y54" i="5"/>
  <c r="Y58" i="5"/>
  <c r="Y64" i="5"/>
  <c r="Y52" i="5"/>
  <c r="Y56" i="5"/>
  <c r="Y70" i="5"/>
  <c r="Y62" i="5"/>
  <c r="W136" i="4"/>
  <c r="W134" i="4"/>
  <c r="W130" i="4"/>
  <c r="U129" i="4"/>
  <c r="W126" i="4"/>
  <c r="U135" i="4"/>
  <c r="W132" i="4"/>
  <c r="U4" i="22"/>
  <c r="W4" i="22"/>
  <c r="W6" i="22"/>
  <c r="Y34" i="18" l="1"/>
  <c r="W33" i="18"/>
  <c r="Y32" i="18"/>
  <c r="W31" i="18"/>
  <c r="Y30" i="18"/>
  <c r="W29" i="18"/>
  <c r="Y28" i="18"/>
  <c r="W27" i="18"/>
  <c r="Y26" i="18"/>
  <c r="W25" i="18"/>
  <c r="Y24" i="18"/>
  <c r="W23" i="18"/>
  <c r="Y22" i="18"/>
  <c r="W21" i="18"/>
  <c r="Y20" i="18"/>
  <c r="W19" i="18"/>
  <c r="Y18" i="18"/>
  <c r="W17" i="18"/>
  <c r="Y16" i="18"/>
  <c r="W15" i="18"/>
  <c r="Y14" i="18"/>
  <c r="W13" i="18"/>
  <c r="Y12" i="18"/>
  <c r="W11" i="18"/>
  <c r="Y10" i="18"/>
  <c r="W9" i="18"/>
  <c r="Y8" i="18"/>
  <c r="W7" i="18"/>
  <c r="Y6" i="18"/>
  <c r="W5" i="18"/>
  <c r="Y4" i="18"/>
  <c r="W3" i="18"/>
  <c r="AF33" i="18"/>
  <c r="C33" i="18"/>
  <c r="AF31" i="18"/>
  <c r="C31" i="18"/>
  <c r="AF29" i="18"/>
  <c r="C29" i="18"/>
  <c r="AF27" i="18"/>
  <c r="C27" i="18"/>
  <c r="AF25" i="18"/>
  <c r="C25" i="18"/>
  <c r="AF23" i="18"/>
  <c r="C23" i="18"/>
  <c r="AF21" i="18"/>
  <c r="C21" i="18"/>
  <c r="AF19" i="18"/>
  <c r="C19" i="18"/>
  <c r="AF17" i="18"/>
  <c r="C17" i="18"/>
  <c r="AF15" i="18"/>
  <c r="C15" i="18"/>
  <c r="AF13" i="18"/>
  <c r="C13" i="18"/>
  <c r="AF11" i="18"/>
  <c r="C11" i="18"/>
  <c r="W19" i="16"/>
  <c r="U18" i="16"/>
  <c r="W17" i="16"/>
  <c r="U16" i="16"/>
  <c r="W15" i="16"/>
  <c r="U14" i="16"/>
  <c r="W14" i="16" s="1"/>
  <c r="W13" i="16"/>
  <c r="U12" i="16"/>
  <c r="W11" i="16"/>
  <c r="U10" i="16"/>
  <c r="W9" i="16"/>
  <c r="U8" i="16"/>
  <c r="W8" i="16" s="1"/>
  <c r="W7" i="16"/>
  <c r="U6" i="16"/>
  <c r="U7" i="16" s="1"/>
  <c r="W5" i="16"/>
  <c r="U4" i="16"/>
  <c r="AC19" i="16"/>
  <c r="AE18" i="16"/>
  <c r="C18" i="16"/>
  <c r="AC17" i="16"/>
  <c r="AE16" i="16"/>
  <c r="C16" i="16"/>
  <c r="AC15" i="16"/>
  <c r="AE14" i="16"/>
  <c r="C14" i="16"/>
  <c r="AC13" i="16"/>
  <c r="AE12" i="16"/>
  <c r="C12" i="16"/>
  <c r="AB6" i="22"/>
  <c r="Z6" i="22"/>
  <c r="AB5" i="22"/>
  <c r="C5" i="22"/>
  <c r="AB4" i="22"/>
  <c r="AB3" i="22"/>
  <c r="Z3" i="22"/>
  <c r="C3" i="22"/>
  <c r="AF9" i="18"/>
  <c r="C9" i="18"/>
  <c r="AF7" i="18"/>
  <c r="C7" i="18"/>
  <c r="AF5" i="18"/>
  <c r="C5" i="18"/>
  <c r="AF3" i="18"/>
  <c r="C3" i="18"/>
  <c r="AC11" i="16"/>
  <c r="AE10" i="16"/>
  <c r="C10" i="16"/>
  <c r="AC9" i="16"/>
  <c r="AE8" i="16"/>
  <c r="C8" i="16"/>
  <c r="AC7" i="16"/>
  <c r="AE6" i="16"/>
  <c r="C6" i="16"/>
  <c r="AC5" i="16"/>
  <c r="AE4" i="16"/>
  <c r="C4" i="16"/>
  <c r="Z4" i="22" l="1"/>
  <c r="Y29" i="18"/>
  <c r="Y3" i="18"/>
  <c r="Y7" i="18"/>
  <c r="Y19" i="18"/>
  <c r="Y17" i="18"/>
  <c r="Y25" i="18"/>
  <c r="Y15" i="18"/>
  <c r="Y27" i="18"/>
  <c r="Y31" i="18"/>
  <c r="Y5" i="18"/>
  <c r="Y13" i="18"/>
  <c r="Y33" i="18"/>
  <c r="Y11" i="18"/>
  <c r="Y23" i="18"/>
  <c r="Y9" i="18"/>
  <c r="Y21" i="18"/>
  <c r="W10" i="16"/>
  <c r="U15" i="16"/>
  <c r="U19" i="16"/>
  <c r="U9" i="16"/>
  <c r="U13" i="16"/>
  <c r="W4" i="16"/>
  <c r="U5" i="16"/>
  <c r="U11" i="16"/>
  <c r="U17" i="16"/>
  <c r="W16" i="16"/>
  <c r="W6" i="16"/>
  <c r="W12" i="16"/>
  <c r="W18" i="16"/>
  <c r="Y45" i="5" l="1"/>
  <c r="AF44" i="5"/>
  <c r="W44" i="5"/>
  <c r="Y44" i="5" s="1"/>
  <c r="C44" i="5"/>
  <c r="Y43" i="5"/>
  <c r="AF42" i="5"/>
  <c r="W42" i="5"/>
  <c r="C42" i="5"/>
  <c r="Y41" i="5"/>
  <c r="AF40" i="5"/>
  <c r="W40" i="5"/>
  <c r="Y40" i="5" s="1"/>
  <c r="C40" i="5"/>
  <c r="AC87" i="4"/>
  <c r="W87" i="4"/>
  <c r="AE86" i="4"/>
  <c r="U86" i="4"/>
  <c r="U87" i="4" s="1"/>
  <c r="P86" i="4"/>
  <c r="C86" i="4"/>
  <c r="AC85" i="4"/>
  <c r="W85" i="4"/>
  <c r="AE84" i="4"/>
  <c r="U84" i="4"/>
  <c r="U85" i="4" s="1"/>
  <c r="P84" i="4"/>
  <c r="C84" i="4"/>
  <c r="AC83" i="4"/>
  <c r="W83" i="4"/>
  <c r="L83" i="4"/>
  <c r="M83" i="4" s="1"/>
  <c r="AE82" i="4"/>
  <c r="U82" i="4"/>
  <c r="U83" i="4" s="1"/>
  <c r="P82" i="4"/>
  <c r="C82" i="4"/>
  <c r="AC81" i="4"/>
  <c r="W81" i="4"/>
  <c r="K81" i="4"/>
  <c r="L81" i="4" s="1"/>
  <c r="M81" i="4" s="1"/>
  <c r="N81" i="4" s="1"/>
  <c r="P80" i="4" s="1"/>
  <c r="E81" i="4"/>
  <c r="F81" i="4" s="1"/>
  <c r="G81" i="4" s="1"/>
  <c r="H81" i="4" s="1"/>
  <c r="I81" i="4" s="1"/>
  <c r="AE80" i="4"/>
  <c r="U80" i="4"/>
  <c r="U81" i="4" s="1"/>
  <c r="C80" i="4"/>
  <c r="AC79" i="4"/>
  <c r="W79" i="4"/>
  <c r="K79" i="4"/>
  <c r="L79" i="4" s="1"/>
  <c r="M79" i="4" s="1"/>
  <c r="N79" i="4" s="1"/>
  <c r="P78" i="4" s="1"/>
  <c r="G79" i="4"/>
  <c r="H79" i="4" s="1"/>
  <c r="AE78" i="4"/>
  <c r="U78" i="4"/>
  <c r="U79" i="4" s="1"/>
  <c r="C78" i="4"/>
  <c r="AC77" i="4"/>
  <c r="W77" i="4"/>
  <c r="M77" i="4"/>
  <c r="E77" i="4"/>
  <c r="F77" i="4" s="1"/>
  <c r="G77" i="4" s="1"/>
  <c r="H77" i="4" s="1"/>
  <c r="AE76" i="4"/>
  <c r="U76" i="4"/>
  <c r="U77" i="4" s="1"/>
  <c r="P76" i="4"/>
  <c r="C76" i="4"/>
  <c r="AC75" i="4"/>
  <c r="W75" i="4"/>
  <c r="N75" i="4"/>
  <c r="G75" i="4"/>
  <c r="H75" i="4" s="1"/>
  <c r="I75" i="4" s="1"/>
  <c r="AE74" i="4"/>
  <c r="U74" i="4"/>
  <c r="U75" i="4" s="1"/>
  <c r="P74" i="4"/>
  <c r="C74" i="4"/>
  <c r="AC73" i="4"/>
  <c r="W73" i="4"/>
  <c r="J73" i="4"/>
  <c r="K73" i="4" s="1"/>
  <c r="L73" i="4" s="1"/>
  <c r="M73" i="4" s="1"/>
  <c r="AE72" i="4"/>
  <c r="U72" i="4"/>
  <c r="U73" i="4" s="1"/>
  <c r="P72" i="4"/>
  <c r="C72" i="4"/>
  <c r="AC71" i="4"/>
  <c r="W71" i="4"/>
  <c r="I71" i="4"/>
  <c r="J71" i="4" s="1"/>
  <c r="K71" i="4" s="1"/>
  <c r="L71" i="4" s="1"/>
  <c r="M71" i="4" s="1"/>
  <c r="N71" i="4" s="1"/>
  <c r="AE70" i="4"/>
  <c r="U70" i="4"/>
  <c r="C70" i="4"/>
  <c r="AC69" i="4"/>
  <c r="W69" i="4"/>
  <c r="I69" i="4"/>
  <c r="E69" i="4"/>
  <c r="F69" i="4" s="1"/>
  <c r="AE68" i="4"/>
  <c r="U68" i="4"/>
  <c r="P68" i="4"/>
  <c r="C68" i="4"/>
  <c r="AC67" i="4"/>
  <c r="W67" i="4"/>
  <c r="M67" i="4"/>
  <c r="AE66" i="4"/>
  <c r="U66" i="4"/>
  <c r="P66" i="4"/>
  <c r="C66" i="4"/>
  <c r="AC65" i="4"/>
  <c r="W65" i="4"/>
  <c r="O65" i="4"/>
  <c r="J65" i="4"/>
  <c r="K65" i="4" s="1"/>
  <c r="L65" i="4" s="1"/>
  <c r="M65" i="4" s="1"/>
  <c r="D65" i="4"/>
  <c r="AE64" i="4"/>
  <c r="U64" i="4"/>
  <c r="U65" i="4" s="1"/>
  <c r="C64" i="4"/>
  <c r="AC63" i="4"/>
  <c r="W63" i="4"/>
  <c r="M63" i="4"/>
  <c r="N63" i="4" s="1"/>
  <c r="E63" i="4"/>
  <c r="F63" i="4" s="1"/>
  <c r="G63" i="4" s="1"/>
  <c r="H63" i="4" s="1"/>
  <c r="I63" i="4" s="1"/>
  <c r="J63" i="4" s="1"/>
  <c r="K63" i="4" s="1"/>
  <c r="AE62" i="4"/>
  <c r="U62" i="4"/>
  <c r="C62" i="4"/>
  <c r="AC61" i="4"/>
  <c r="W61" i="4"/>
  <c r="E61" i="4"/>
  <c r="F61" i="4" s="1"/>
  <c r="G61" i="4" s="1"/>
  <c r="H61" i="4" s="1"/>
  <c r="I61" i="4" s="1"/>
  <c r="J61" i="4" s="1"/>
  <c r="K61" i="4" s="1"/>
  <c r="L61" i="4" s="1"/>
  <c r="M61" i="4" s="1"/>
  <c r="AE60" i="4"/>
  <c r="U60" i="4"/>
  <c r="U61" i="4" s="1"/>
  <c r="P60" i="4"/>
  <c r="C60" i="4"/>
  <c r="AC59" i="4"/>
  <c r="W59" i="4"/>
  <c r="K59" i="4"/>
  <c r="L59" i="4" s="1"/>
  <c r="M59" i="4" s="1"/>
  <c r="N59" i="4" s="1"/>
  <c r="E59" i="4"/>
  <c r="AE58" i="4"/>
  <c r="U58" i="4"/>
  <c r="U59" i="4" s="1"/>
  <c r="P58" i="4"/>
  <c r="C58" i="4"/>
  <c r="AC57" i="4"/>
  <c r="W57" i="4"/>
  <c r="K57" i="4"/>
  <c r="L57" i="4" s="1"/>
  <c r="M57" i="4" s="1"/>
  <c r="N57" i="4" s="1"/>
  <c r="I57" i="4"/>
  <c r="AE56" i="4"/>
  <c r="U56" i="4"/>
  <c r="C56" i="4"/>
  <c r="AC55" i="4"/>
  <c r="W55" i="4"/>
  <c r="H55" i="4"/>
  <c r="I55" i="4" s="1"/>
  <c r="J55" i="4" s="1"/>
  <c r="K55" i="4" s="1"/>
  <c r="L55" i="4" s="1"/>
  <c r="M55" i="4" s="1"/>
  <c r="N55" i="4" s="1"/>
  <c r="E55" i="4"/>
  <c r="F55" i="4" s="1"/>
  <c r="AE54" i="4"/>
  <c r="U54" i="4"/>
  <c r="P54" i="4"/>
  <c r="C54" i="4"/>
  <c r="AC53" i="4"/>
  <c r="W53" i="4"/>
  <c r="J53" i="4"/>
  <c r="K53" i="4" s="1"/>
  <c r="L53" i="4" s="1"/>
  <c r="M53" i="4" s="1"/>
  <c r="N53" i="4" s="1"/>
  <c r="E53" i="4"/>
  <c r="F53" i="4" s="1"/>
  <c r="AE52" i="4"/>
  <c r="U52" i="4"/>
  <c r="U53" i="4" s="1"/>
  <c r="P52" i="4"/>
  <c r="C52" i="4"/>
  <c r="AC51" i="4"/>
  <c r="W51" i="4"/>
  <c r="E51" i="4"/>
  <c r="F51" i="4" s="1"/>
  <c r="G51" i="4" s="1"/>
  <c r="H51" i="4" s="1"/>
  <c r="I51" i="4" s="1"/>
  <c r="J51" i="4" s="1"/>
  <c r="K51" i="4" s="1"/>
  <c r="L51" i="4" s="1"/>
  <c r="M51" i="4" s="1"/>
  <c r="N51" i="4" s="1"/>
  <c r="AE50" i="4"/>
  <c r="U50" i="4"/>
  <c r="U51" i="4" s="1"/>
  <c r="C50" i="4"/>
  <c r="AC49" i="4"/>
  <c r="W49" i="4"/>
  <c r="H49" i="4"/>
  <c r="I49" i="4" s="1"/>
  <c r="J49" i="4" s="1"/>
  <c r="K49" i="4" s="1"/>
  <c r="L49" i="4" s="1"/>
  <c r="M49" i="4" s="1"/>
  <c r="N49" i="4" s="1"/>
  <c r="E49" i="4"/>
  <c r="AE48" i="4"/>
  <c r="U48" i="4"/>
  <c r="P48" i="4"/>
  <c r="C48" i="4"/>
  <c r="W64" i="4" l="1"/>
  <c r="W86" i="4"/>
  <c r="W56" i="4"/>
  <c r="W48" i="4"/>
  <c r="Y42" i="5"/>
  <c r="W74" i="4"/>
  <c r="W68" i="4"/>
  <c r="W70" i="4"/>
  <c r="U49" i="4"/>
  <c r="W72" i="4"/>
  <c r="W54" i="4"/>
  <c r="W62" i="4"/>
  <c r="U71" i="4"/>
  <c r="W82" i="4"/>
  <c r="W66" i="4"/>
  <c r="W78" i="4"/>
  <c r="W84" i="4"/>
  <c r="J75" i="4"/>
  <c r="I77" i="4"/>
  <c r="W50" i="4"/>
  <c r="W52" i="4"/>
  <c r="U63" i="4"/>
  <c r="W80" i="4"/>
  <c r="P70" i="4"/>
  <c r="W76" i="4"/>
  <c r="U55" i="4"/>
  <c r="U57" i="4"/>
  <c r="W58" i="4"/>
  <c r="W60" i="4"/>
  <c r="U69" i="4"/>
  <c r="P50" i="4"/>
  <c r="U67" i="4"/>
  <c r="AB4" i="6"/>
  <c r="AB5" i="6" s="1"/>
  <c r="W4" i="6"/>
  <c r="W5" i="6" s="1"/>
  <c r="U4" i="6"/>
  <c r="U5" i="6" s="1"/>
  <c r="C4" i="6"/>
  <c r="AB3" i="6"/>
  <c r="W2" i="6"/>
  <c r="W3" i="6" s="1"/>
  <c r="U2" i="6"/>
  <c r="U3" i="6" s="1"/>
  <c r="C2" i="6"/>
  <c r="AB4" i="13"/>
  <c r="AB5" i="13"/>
  <c r="AB6" i="13"/>
  <c r="K75" i="4" l="1"/>
  <c r="J77" i="4"/>
  <c r="Y51" i="5"/>
  <c r="W50" i="5"/>
  <c r="C50" i="5"/>
  <c r="Y49" i="5"/>
  <c r="W48" i="5"/>
  <c r="C48" i="5"/>
  <c r="Y47" i="5"/>
  <c r="W46" i="5"/>
  <c r="C46" i="5"/>
  <c r="W12" i="15"/>
  <c r="Y8" i="15"/>
  <c r="W7" i="15"/>
  <c r="Y6" i="15"/>
  <c r="W5" i="15"/>
  <c r="Y4" i="15"/>
  <c r="W3" i="15"/>
  <c r="W43" i="14"/>
  <c r="U42" i="14"/>
  <c r="W41" i="14"/>
  <c r="U40" i="14"/>
  <c r="W39" i="14"/>
  <c r="U38" i="14"/>
  <c r="U39" i="14" s="1"/>
  <c r="W37" i="14"/>
  <c r="U36" i="14"/>
  <c r="W35" i="14"/>
  <c r="U34" i="14"/>
  <c r="U35" i="14" s="1"/>
  <c r="W33" i="14"/>
  <c r="U32" i="14"/>
  <c r="W31" i="14"/>
  <c r="U30" i="14"/>
  <c r="W29" i="14"/>
  <c r="U28" i="14"/>
  <c r="U29" i="14" s="1"/>
  <c r="W27" i="14"/>
  <c r="U26" i="14"/>
  <c r="U27" i="14" s="1"/>
  <c r="W25" i="14"/>
  <c r="U24" i="14"/>
  <c r="W23" i="14"/>
  <c r="U22" i="14"/>
  <c r="U23" i="14" s="1"/>
  <c r="W21" i="14"/>
  <c r="U20" i="14"/>
  <c r="U21" i="14" s="1"/>
  <c r="W19" i="14"/>
  <c r="U18" i="14"/>
  <c r="W17" i="14"/>
  <c r="U16" i="14"/>
  <c r="U17" i="14" s="1"/>
  <c r="W15" i="14"/>
  <c r="U14" i="14"/>
  <c r="U15" i="14" s="1"/>
  <c r="W13" i="14"/>
  <c r="U12" i="14"/>
  <c r="W11" i="14"/>
  <c r="U10" i="14"/>
  <c r="W9" i="14"/>
  <c r="U8" i="14"/>
  <c r="W7" i="14"/>
  <c r="U6" i="14"/>
  <c r="W5" i="14"/>
  <c r="U4" i="14"/>
  <c r="U5" i="14" s="1"/>
  <c r="AC125" i="4"/>
  <c r="W125" i="4"/>
  <c r="U124" i="4"/>
  <c r="U125" i="4" s="1"/>
  <c r="C124" i="4"/>
  <c r="AC123" i="4"/>
  <c r="W123" i="4"/>
  <c r="U122" i="4"/>
  <c r="U123" i="4" s="1"/>
  <c r="C122" i="4"/>
  <c r="AC121" i="4"/>
  <c r="W121" i="4"/>
  <c r="U120" i="4"/>
  <c r="U121" i="4" s="1"/>
  <c r="C120" i="4"/>
  <c r="AC119" i="4"/>
  <c r="W119" i="4"/>
  <c r="U118" i="4"/>
  <c r="U119" i="4" s="1"/>
  <c r="C118" i="4"/>
  <c r="W117" i="4"/>
  <c r="U116" i="4"/>
  <c r="C116" i="4"/>
  <c r="AC115" i="4"/>
  <c r="W115" i="4"/>
  <c r="AE114" i="4"/>
  <c r="U114" i="4"/>
  <c r="U115" i="4" s="1"/>
  <c r="C114" i="4"/>
  <c r="W113" i="4"/>
  <c r="AE112" i="4"/>
  <c r="AC112" i="4"/>
  <c r="AC113" i="4" s="1"/>
  <c r="U112" i="4"/>
  <c r="U113" i="4" s="1"/>
  <c r="C112" i="4"/>
  <c r="AC111" i="4"/>
  <c r="W111" i="4"/>
  <c r="AE110" i="4"/>
  <c r="U110" i="4"/>
  <c r="C110" i="4"/>
  <c r="AC109" i="4"/>
  <c r="W109" i="4"/>
  <c r="AE108" i="4"/>
  <c r="U108" i="4"/>
  <c r="C108" i="4"/>
  <c r="W107" i="4"/>
  <c r="AE106" i="4"/>
  <c r="U106" i="4"/>
  <c r="C106" i="4"/>
  <c r="AC105" i="4"/>
  <c r="W105" i="4"/>
  <c r="AE104" i="4"/>
  <c r="U104" i="4"/>
  <c r="U105" i="4" s="1"/>
  <c r="C104" i="4"/>
  <c r="W103" i="4"/>
  <c r="AE102" i="4"/>
  <c r="U102" i="4"/>
  <c r="U103" i="4" s="1"/>
  <c r="C102" i="4"/>
  <c r="W101" i="4"/>
  <c r="AI100" i="4"/>
  <c r="AG100" i="4"/>
  <c r="AE100" i="4" s="1"/>
  <c r="U100" i="4"/>
  <c r="U101" i="4" s="1"/>
  <c r="C100" i="4"/>
  <c r="AC99" i="4"/>
  <c r="W99" i="4"/>
  <c r="AE98" i="4"/>
  <c r="U98" i="4"/>
  <c r="U99" i="4" s="1"/>
  <c r="C98" i="4"/>
  <c r="AC97" i="4"/>
  <c r="W97" i="4"/>
  <c r="AI96" i="4"/>
  <c r="AG96" i="4"/>
  <c r="U96" i="4"/>
  <c r="U97" i="4" s="1"/>
  <c r="C96" i="4"/>
  <c r="W95" i="4"/>
  <c r="AE94" i="4"/>
  <c r="U94" i="4"/>
  <c r="U95" i="4" s="1"/>
  <c r="C94" i="4"/>
  <c r="W93" i="4"/>
  <c r="AE92" i="4"/>
  <c r="U92" i="4"/>
  <c r="U93" i="4" s="1"/>
  <c r="C92" i="4"/>
  <c r="W91" i="4"/>
  <c r="AE90" i="4"/>
  <c r="U90" i="4"/>
  <c r="C90" i="4"/>
  <c r="W89" i="4"/>
  <c r="AO88" i="4"/>
  <c r="AM88" i="4"/>
  <c r="AK88" i="4"/>
  <c r="AI88" i="4"/>
  <c r="AG88" i="4"/>
  <c r="U88" i="4"/>
  <c r="C88" i="4"/>
  <c r="W88" i="4" l="1"/>
  <c r="W118" i="4"/>
  <c r="W90" i="4"/>
  <c r="AE88" i="4"/>
  <c r="AE96" i="4"/>
  <c r="W106" i="4"/>
  <c r="W116" i="4"/>
  <c r="Y46" i="5"/>
  <c r="Y50" i="5"/>
  <c r="Y48" i="5"/>
  <c r="W110" i="4"/>
  <c r="W108" i="4"/>
  <c r="W94" i="4"/>
  <c r="W122" i="4"/>
  <c r="W100" i="4"/>
  <c r="W92" i="4"/>
  <c r="U89" i="4"/>
  <c r="U91" i="4"/>
  <c r="W102" i="4"/>
  <c r="W104" i="4"/>
  <c r="U111" i="4"/>
  <c r="W120" i="4"/>
  <c r="W96" i="4"/>
  <c r="U117" i="4"/>
  <c r="W124" i="4"/>
  <c r="W10" i="14"/>
  <c r="W34" i="14"/>
  <c r="Y7" i="15"/>
  <c r="Y5" i="15"/>
  <c r="Y3" i="15"/>
  <c r="W40" i="14"/>
  <c r="U11" i="14"/>
  <c r="W16" i="14"/>
  <c r="W22" i="14"/>
  <c r="W28" i="14"/>
  <c r="U41" i="14"/>
  <c r="W4" i="14"/>
  <c r="U33" i="14"/>
  <c r="U9" i="14"/>
  <c r="W8" i="14"/>
  <c r="W14" i="14"/>
  <c r="W20" i="14"/>
  <c r="W26" i="14"/>
  <c r="W32" i="14"/>
  <c r="W38" i="14"/>
  <c r="U7" i="14"/>
  <c r="U13" i="14"/>
  <c r="U19" i="14"/>
  <c r="U25" i="14"/>
  <c r="U31" i="14"/>
  <c r="U37" i="14"/>
  <c r="U43" i="14"/>
  <c r="W6" i="14"/>
  <c r="W12" i="14"/>
  <c r="W18" i="14"/>
  <c r="W24" i="14"/>
  <c r="W30" i="14"/>
  <c r="W36" i="14"/>
  <c r="W42" i="14"/>
  <c r="W98" i="4"/>
  <c r="U107" i="4"/>
  <c r="U109" i="4"/>
  <c r="W112" i="4"/>
  <c r="W114" i="4"/>
  <c r="B13" i="15" l="1"/>
  <c r="Z12" i="15"/>
  <c r="P12" i="15"/>
  <c r="P11" i="15"/>
  <c r="Z11" i="15" s="1"/>
  <c r="AF7" i="15"/>
  <c r="C7" i="15"/>
  <c r="AF5" i="15"/>
  <c r="C5" i="15"/>
  <c r="AF3" i="15"/>
  <c r="C3" i="15"/>
  <c r="AD53" i="14"/>
  <c r="Y49" i="14"/>
  <c r="AG49" i="14" s="1"/>
  <c r="AE42" i="14"/>
  <c r="P42" i="14"/>
  <c r="C42" i="14"/>
  <c r="AC41" i="14"/>
  <c r="AE40" i="14"/>
  <c r="P40" i="14"/>
  <c r="C40" i="14"/>
  <c r="L39" i="14"/>
  <c r="M39" i="14" s="1"/>
  <c r="AC39" i="14"/>
  <c r="AE38" i="14"/>
  <c r="P38" i="14"/>
  <c r="C38" i="14"/>
  <c r="K37" i="14"/>
  <c r="L37" i="14" s="1"/>
  <c r="M37" i="14" s="1"/>
  <c r="N37" i="14" s="1"/>
  <c r="P36" i="14" s="1"/>
  <c r="E37" i="14"/>
  <c r="F37" i="14" s="1"/>
  <c r="G37" i="14" s="1"/>
  <c r="H37" i="14" s="1"/>
  <c r="I37" i="14" s="1"/>
  <c r="AE36" i="14"/>
  <c r="C36" i="14"/>
  <c r="AC35" i="14"/>
  <c r="K35" i="14"/>
  <c r="L35" i="14" s="1"/>
  <c r="M35" i="14" s="1"/>
  <c r="N35" i="14" s="1"/>
  <c r="P34" i="14" s="1"/>
  <c r="G35" i="14"/>
  <c r="H35" i="14" s="1"/>
  <c r="AE34" i="14"/>
  <c r="C34" i="14"/>
  <c r="AC33" i="14"/>
  <c r="M33" i="14"/>
  <c r="E33" i="14"/>
  <c r="F33" i="14" s="1"/>
  <c r="G33" i="14" s="1"/>
  <c r="H33" i="14" s="1"/>
  <c r="AE32" i="14"/>
  <c r="P32" i="14"/>
  <c r="C32" i="14"/>
  <c r="N31" i="14"/>
  <c r="G31" i="14"/>
  <c r="H31" i="14" s="1"/>
  <c r="I31" i="14" s="1"/>
  <c r="J31" i="14" s="1"/>
  <c r="AC31" i="14"/>
  <c r="AE30" i="14"/>
  <c r="P30" i="14"/>
  <c r="C30" i="14"/>
  <c r="AC29" i="14"/>
  <c r="J29" i="14"/>
  <c r="K29" i="14" s="1"/>
  <c r="L29" i="14" s="1"/>
  <c r="M29" i="14" s="1"/>
  <c r="AE28" i="14"/>
  <c r="P28" i="14"/>
  <c r="C28" i="14"/>
  <c r="AC27" i="14"/>
  <c r="I27" i="14"/>
  <c r="P26" i="14" s="1"/>
  <c r="AE26" i="14"/>
  <c r="C26" i="14"/>
  <c r="I25" i="14"/>
  <c r="E25" i="14"/>
  <c r="F25" i="14" s="1"/>
  <c r="AC25" i="14"/>
  <c r="AE24" i="14"/>
  <c r="P24" i="14"/>
  <c r="C24" i="14"/>
  <c r="AC23" i="14"/>
  <c r="M23" i="14"/>
  <c r="AE46" i="14"/>
  <c r="AE22" i="14"/>
  <c r="P22" i="14"/>
  <c r="C22" i="14"/>
  <c r="AC21" i="14"/>
  <c r="O21" i="14"/>
  <c r="J21" i="14"/>
  <c r="K21" i="14" s="1"/>
  <c r="L21" i="14" s="1"/>
  <c r="M21" i="14" s="1"/>
  <c r="D21" i="14"/>
  <c r="AE20" i="14"/>
  <c r="C20" i="14"/>
  <c r="AC19" i="14"/>
  <c r="M19" i="14"/>
  <c r="N19" i="14" s="1"/>
  <c r="E19" i="14"/>
  <c r="F19" i="14" s="1"/>
  <c r="G19" i="14" s="1"/>
  <c r="H19" i="14" s="1"/>
  <c r="I19" i="14" s="1"/>
  <c r="J19" i="14" s="1"/>
  <c r="K19" i="14" s="1"/>
  <c r="AE18" i="14"/>
  <c r="C18" i="14"/>
  <c r="AC17" i="14"/>
  <c r="E17" i="14"/>
  <c r="F17" i="14" s="1"/>
  <c r="G17" i="14" s="1"/>
  <c r="H17" i="14" s="1"/>
  <c r="I17" i="14" s="1"/>
  <c r="J17" i="14" s="1"/>
  <c r="K17" i="14" s="1"/>
  <c r="L17" i="14" s="1"/>
  <c r="M17" i="14" s="1"/>
  <c r="AE16" i="14"/>
  <c r="P16" i="14"/>
  <c r="C16" i="14"/>
  <c r="AC15" i="14"/>
  <c r="K15" i="14"/>
  <c r="L15" i="14" s="1"/>
  <c r="M15" i="14" s="1"/>
  <c r="N15" i="14" s="1"/>
  <c r="E15" i="14"/>
  <c r="AE14" i="14"/>
  <c r="P14" i="14"/>
  <c r="C14" i="14"/>
  <c r="AC13" i="14"/>
  <c r="K13" i="14"/>
  <c r="L13" i="14" s="1"/>
  <c r="M13" i="14" s="1"/>
  <c r="N13" i="14" s="1"/>
  <c r="I13" i="14"/>
  <c r="AE12" i="14"/>
  <c r="C12" i="14"/>
  <c r="AC11" i="14"/>
  <c r="H11" i="14"/>
  <c r="I11" i="14" s="1"/>
  <c r="J11" i="14" s="1"/>
  <c r="K11" i="14" s="1"/>
  <c r="L11" i="14" s="1"/>
  <c r="M11" i="14" s="1"/>
  <c r="N11" i="14" s="1"/>
  <c r="E11" i="14"/>
  <c r="F11" i="14" s="1"/>
  <c r="AE10" i="14"/>
  <c r="P10" i="14"/>
  <c r="C10" i="14"/>
  <c r="AC9" i="14"/>
  <c r="J9" i="14"/>
  <c r="K9" i="14" s="1"/>
  <c r="L9" i="14" s="1"/>
  <c r="M9" i="14" s="1"/>
  <c r="N9" i="14" s="1"/>
  <c r="E9" i="14"/>
  <c r="F9" i="14" s="1"/>
  <c r="AE8" i="14"/>
  <c r="P8" i="14"/>
  <c r="C8" i="14"/>
  <c r="AC7" i="14"/>
  <c r="E7" i="14"/>
  <c r="F7" i="14" s="1"/>
  <c r="G7" i="14" s="1"/>
  <c r="H7" i="14" s="1"/>
  <c r="I7" i="14" s="1"/>
  <c r="J7" i="14" s="1"/>
  <c r="K7" i="14" s="1"/>
  <c r="L7" i="14" s="1"/>
  <c r="M7" i="14" s="1"/>
  <c r="N7" i="14" s="1"/>
  <c r="AE6" i="14"/>
  <c r="C6" i="14"/>
  <c r="H5" i="14"/>
  <c r="I5" i="14" s="1"/>
  <c r="J5" i="14" s="1"/>
  <c r="K5" i="14" s="1"/>
  <c r="L5" i="14" s="1"/>
  <c r="M5" i="14" s="1"/>
  <c r="N5" i="14" s="1"/>
  <c r="E5" i="14"/>
  <c r="AE4" i="14"/>
  <c r="P4" i="14"/>
  <c r="C4" i="14"/>
  <c r="AE2" i="14"/>
  <c r="AF45" i="14" l="1"/>
  <c r="AE45" i="14"/>
  <c r="K31" i="14"/>
  <c r="J33" i="14"/>
  <c r="AC43" i="14"/>
  <c r="P6" i="14"/>
  <c r="Y50" i="14"/>
  <c r="AG50" i="14" s="1"/>
  <c r="Z54" i="14" s="1"/>
  <c r="AC5" i="14"/>
  <c r="AC45" i="14"/>
  <c r="AD54" i="14" s="1"/>
  <c r="J27" i="14"/>
  <c r="K27" i="14" s="1"/>
  <c r="L27" i="14" s="1"/>
  <c r="M27" i="14" s="1"/>
  <c r="N27" i="14" s="1"/>
  <c r="AC37" i="14"/>
  <c r="I33" i="14"/>
  <c r="Z13" i="15"/>
  <c r="P13" i="15"/>
  <c r="AF54" i="14" l="1"/>
  <c r="W5" i="13" l="1"/>
  <c r="W6" i="13" s="1"/>
  <c r="U5" i="13"/>
  <c r="W3" i="13"/>
  <c r="U3" i="13"/>
  <c r="Y10" i="12"/>
  <c r="W9" i="12"/>
  <c r="Y9" i="12" s="1"/>
  <c r="Y8" i="12"/>
  <c r="W7" i="12"/>
  <c r="Y6" i="12"/>
  <c r="W5" i="12"/>
  <c r="Y4" i="12"/>
  <c r="W3" i="12"/>
  <c r="W43" i="11"/>
  <c r="U42" i="11"/>
  <c r="U43" i="11" s="1"/>
  <c r="W41" i="11"/>
  <c r="U40" i="11"/>
  <c r="U41" i="11" s="1"/>
  <c r="W39" i="11"/>
  <c r="U38" i="11"/>
  <c r="U39" i="11" s="1"/>
  <c r="W37" i="11"/>
  <c r="U36" i="11"/>
  <c r="W35" i="11"/>
  <c r="U34" i="11"/>
  <c r="U35" i="11" s="1"/>
  <c r="W32" i="11"/>
  <c r="W31" i="11"/>
  <c r="U31" i="11"/>
  <c r="U30" i="11"/>
  <c r="U32" i="11" s="1"/>
  <c r="W29" i="11"/>
  <c r="U28" i="11"/>
  <c r="W27" i="11"/>
  <c r="U26" i="11"/>
  <c r="U27" i="11" s="1"/>
  <c r="W25" i="11"/>
  <c r="U24" i="11"/>
  <c r="U25" i="11" s="1"/>
  <c r="W23" i="11"/>
  <c r="U22" i="11"/>
  <c r="W21" i="11"/>
  <c r="U20" i="11"/>
  <c r="U21" i="11" s="1"/>
  <c r="W19" i="11"/>
  <c r="U18" i="11"/>
  <c r="U19" i="11" s="1"/>
  <c r="W17" i="11"/>
  <c r="U16" i="11"/>
  <c r="W15" i="11"/>
  <c r="U14" i="11"/>
  <c r="U15" i="11" s="1"/>
  <c r="W13" i="11"/>
  <c r="U12" i="11"/>
  <c r="W12" i="11" s="1"/>
  <c r="W11" i="11"/>
  <c r="U10" i="11"/>
  <c r="U11" i="11" s="1"/>
  <c r="W9" i="11"/>
  <c r="U8" i="11"/>
  <c r="U9" i="11" s="1"/>
  <c r="W7" i="11"/>
  <c r="U6" i="11"/>
  <c r="U7" i="11" s="1"/>
  <c r="W5" i="11"/>
  <c r="U4" i="11"/>
  <c r="C5" i="13"/>
  <c r="C3" i="13"/>
  <c r="C9" i="12"/>
  <c r="C7" i="12"/>
  <c r="C5" i="12"/>
  <c r="C3" i="12"/>
  <c r="AC43" i="11"/>
  <c r="C42" i="11"/>
  <c r="AC41" i="11"/>
  <c r="C40" i="11"/>
  <c r="AC39" i="11"/>
  <c r="C38" i="11"/>
  <c r="AC37" i="11"/>
  <c r="C36" i="11"/>
  <c r="C34" i="11"/>
  <c r="AC33" i="11"/>
  <c r="AC32" i="11"/>
  <c r="AE31" i="11"/>
  <c r="AE30" i="11"/>
  <c r="C30" i="11"/>
  <c r="AE28" i="11"/>
  <c r="AC28" i="11"/>
  <c r="C28" i="11"/>
  <c r="AC27" i="11"/>
  <c r="AE26" i="11"/>
  <c r="C26" i="11"/>
  <c r="AC25" i="11"/>
  <c r="AE24" i="11"/>
  <c r="C24" i="11"/>
  <c r="AE22" i="11"/>
  <c r="C22" i="11"/>
  <c r="AC21" i="11"/>
  <c r="AE20" i="11"/>
  <c r="C20" i="11"/>
  <c r="AE18" i="11"/>
  <c r="C18" i="11"/>
  <c r="AI16" i="11"/>
  <c r="AG16" i="11"/>
  <c r="C16" i="11"/>
  <c r="AC15" i="11"/>
  <c r="AE14" i="11"/>
  <c r="C14" i="11"/>
  <c r="AI12" i="11"/>
  <c r="AG12" i="11"/>
  <c r="C12" i="11"/>
  <c r="AE10" i="11"/>
  <c r="C10" i="11"/>
  <c r="AE8" i="11"/>
  <c r="C8" i="11"/>
  <c r="AE6" i="11"/>
  <c r="C6" i="11"/>
  <c r="AO4" i="11"/>
  <c r="AM4" i="11"/>
  <c r="AK4" i="11"/>
  <c r="AI4" i="11"/>
  <c r="AG4" i="11"/>
  <c r="C4" i="11"/>
  <c r="W36" i="11" l="1"/>
  <c r="U6" i="13"/>
  <c r="U4" i="13"/>
  <c r="W4" i="13"/>
  <c r="Y7" i="12"/>
  <c r="Y5" i="12"/>
  <c r="Y3" i="12"/>
  <c r="W24" i="11"/>
  <c r="AE12" i="11"/>
  <c r="W4" i="11"/>
  <c r="W16" i="11"/>
  <c r="U37" i="11"/>
  <c r="U13" i="11"/>
  <c r="W26" i="11"/>
  <c r="W33" i="11"/>
  <c r="W28" i="11"/>
  <c r="W8" i="11"/>
  <c r="W20" i="11"/>
  <c r="W42" i="11"/>
  <c r="W6" i="11"/>
  <c r="W18" i="11"/>
  <c r="W22" i="11"/>
  <c r="W30" i="11"/>
  <c r="W38" i="11"/>
  <c r="W14" i="11"/>
  <c r="W34" i="11"/>
  <c r="U33" i="11"/>
  <c r="W10" i="11"/>
  <c r="W40" i="11"/>
  <c r="U5" i="11"/>
  <c r="U17" i="11"/>
  <c r="U23" i="11"/>
  <c r="U29" i="11"/>
  <c r="AE16" i="11"/>
  <c r="AE4" i="11"/>
  <c r="AE33" i="11"/>
  <c r="P33" i="11"/>
  <c r="AC13" i="11"/>
  <c r="AC29" i="11"/>
  <c r="Y31" i="11"/>
  <c r="L31" i="11" l="1"/>
  <c r="F31" i="11"/>
  <c r="K31" i="11"/>
  <c r="E31" i="11"/>
  <c r="O31" i="11"/>
  <c r="G31" i="11"/>
  <c r="N31" i="11"/>
  <c r="D31" i="11"/>
  <c r="M31" i="11"/>
  <c r="X31" i="11"/>
  <c r="I31" i="11"/>
  <c r="J31" i="11"/>
  <c r="H31" i="11"/>
  <c r="Z31" i="11" l="1"/>
  <c r="M45" i="11" l="1"/>
  <c r="AF17" i="5" l="1"/>
  <c r="Y17" i="5" s="1"/>
  <c r="AD16" i="5"/>
  <c r="W16" i="5" s="1"/>
  <c r="C16" i="5"/>
  <c r="AF7" i="5"/>
  <c r="Y7" i="5" s="1"/>
  <c r="AD6" i="5"/>
  <c r="W6" i="5" s="1"/>
  <c r="C6" i="5"/>
  <c r="Y16" i="5" l="1"/>
  <c r="Y6" i="5"/>
  <c r="AC47" i="4" l="1"/>
  <c r="W47" i="4"/>
  <c r="AE46" i="4"/>
  <c r="C46" i="4"/>
  <c r="U46" i="4"/>
  <c r="AC45" i="4"/>
  <c r="W45" i="4"/>
  <c r="AE44" i="4"/>
  <c r="C44" i="4"/>
  <c r="U44" i="4"/>
  <c r="W43" i="4"/>
  <c r="AE42" i="4"/>
  <c r="C42" i="4"/>
  <c r="U42" i="4"/>
  <c r="AC41" i="4"/>
  <c r="W41" i="4"/>
  <c r="AE40" i="4"/>
  <c r="C40" i="4"/>
  <c r="U40" i="4"/>
  <c r="U41" i="4" l="1"/>
  <c r="U47" i="4"/>
  <c r="U45" i="4"/>
  <c r="W44" i="4"/>
  <c r="AC43" i="4"/>
  <c r="U43" i="4"/>
  <c r="W46" i="4" l="1"/>
  <c r="W40" i="4"/>
  <c r="W42" i="4"/>
  <c r="AF37" i="5" l="1"/>
  <c r="Y37" i="5" s="1"/>
  <c r="C36" i="5"/>
  <c r="W36" i="5"/>
  <c r="AF35" i="5"/>
  <c r="Y35" i="5" s="1"/>
  <c r="C34" i="5"/>
  <c r="W34" i="5"/>
  <c r="AF33" i="5"/>
  <c r="Y33" i="5" s="1"/>
  <c r="C32" i="5"/>
  <c r="W32" i="5"/>
  <c r="AF31" i="5"/>
  <c r="Y31" i="5" s="1"/>
  <c r="C30" i="5"/>
  <c r="W30" i="5"/>
  <c r="AF29" i="5"/>
  <c r="Y29" i="5" s="1"/>
  <c r="AD28" i="5"/>
  <c r="W28" i="5" s="1"/>
  <c r="C28" i="5"/>
  <c r="Y30" i="5" l="1"/>
  <c r="Y34" i="5"/>
  <c r="Y28" i="5"/>
  <c r="Y36" i="5" l="1"/>
  <c r="Y32" i="5"/>
  <c r="AF39" i="5" l="1"/>
  <c r="Y39" i="5" s="1"/>
  <c r="C38" i="5"/>
  <c r="W38" i="5"/>
  <c r="AF27" i="5"/>
  <c r="Y27" i="5" s="1"/>
  <c r="C26" i="5"/>
  <c r="W26" i="5"/>
  <c r="AF25" i="5"/>
  <c r="Y25" i="5" s="1"/>
  <c r="C24" i="5"/>
  <c r="W24" i="5"/>
  <c r="AF23" i="5"/>
  <c r="Y23" i="5" s="1"/>
  <c r="C22" i="5"/>
  <c r="W22" i="5"/>
  <c r="AF19" i="5"/>
  <c r="Y19" i="5" s="1"/>
  <c r="AD18" i="5"/>
  <c r="W18" i="5" s="1"/>
  <c r="C18" i="5"/>
  <c r="AF15" i="5"/>
  <c r="Y15" i="5" s="1"/>
  <c r="C14" i="5"/>
  <c r="W14" i="5"/>
  <c r="AF13" i="5"/>
  <c r="Y13" i="5" s="1"/>
  <c r="C12" i="5"/>
  <c r="W12" i="5"/>
  <c r="AF11" i="5"/>
  <c r="C10" i="5"/>
  <c r="W10" i="5"/>
  <c r="AF3" i="5"/>
  <c r="Y3" i="5" s="1"/>
  <c r="C2" i="5"/>
  <c r="W2" i="5"/>
  <c r="AF5" i="5"/>
  <c r="Y5" i="5" s="1"/>
  <c r="AD4" i="5"/>
  <c r="W4" i="5" s="1"/>
  <c r="C4" i="5"/>
  <c r="Y22" i="5" l="1"/>
  <c r="Y26" i="5"/>
  <c r="Y11" i="5"/>
  <c r="Y24" i="5"/>
  <c r="Y18" i="5"/>
  <c r="Y12" i="5"/>
  <c r="Y14" i="5"/>
  <c r="Y2" i="5"/>
  <c r="Y4" i="5" l="1"/>
  <c r="Y10" i="5"/>
  <c r="Y38" i="5"/>
  <c r="C38" i="4" l="1"/>
  <c r="U38" i="4"/>
  <c r="C28" i="4"/>
  <c r="U28" i="4"/>
  <c r="C18" i="4"/>
  <c r="U18" i="4"/>
  <c r="C14" i="4"/>
  <c r="U14" i="4"/>
  <c r="C8" i="4"/>
  <c r="U8" i="4"/>
  <c r="C2" i="4"/>
  <c r="U2" i="4"/>
  <c r="U39" i="4" l="1"/>
  <c r="U9" i="4"/>
  <c r="U3" i="4"/>
  <c r="AF21" i="5" l="1"/>
  <c r="Y21" i="5" s="1"/>
  <c r="AD20" i="5"/>
  <c r="W20" i="5" s="1"/>
  <c r="C20" i="5"/>
  <c r="Y20" i="5" l="1"/>
  <c r="AC39" i="4" l="1"/>
  <c r="W39" i="4"/>
  <c r="AE38" i="4"/>
  <c r="W29" i="4"/>
  <c r="AE28" i="4"/>
  <c r="W19" i="4"/>
  <c r="AE18" i="4"/>
  <c r="AC9" i="4"/>
  <c r="AE8" i="4"/>
  <c r="U19" i="4" l="1"/>
  <c r="U29" i="4"/>
  <c r="W28" i="4"/>
  <c r="W18" i="4"/>
  <c r="W38" i="4"/>
  <c r="W9" i="4"/>
  <c r="AC29" i="4"/>
  <c r="AC19" i="4"/>
  <c r="W8" i="4" l="1"/>
  <c r="AF9" i="5" l="1"/>
  <c r="Y9" i="5" s="1"/>
  <c r="C8" i="5"/>
  <c r="W8" i="5"/>
  <c r="Y8" i="5" l="1"/>
  <c r="AE14" i="4" l="1"/>
  <c r="AC3" i="4"/>
  <c r="W3" i="4"/>
  <c r="AE2" i="4"/>
  <c r="W15" i="4" l="1"/>
  <c r="U15" i="4"/>
  <c r="W2" i="4"/>
  <c r="AC15" i="4"/>
  <c r="W14" i="4" l="1"/>
  <c r="W37" i="4" l="1"/>
  <c r="AE36" i="4"/>
  <c r="C36" i="4"/>
  <c r="U36" i="4"/>
  <c r="AC37" i="4" l="1"/>
  <c r="U37" i="4" l="1"/>
  <c r="W36" i="4"/>
  <c r="AC35" i="4" l="1"/>
  <c r="W35" i="4"/>
  <c r="AE34" i="4"/>
  <c r="C34" i="4"/>
  <c r="U34" i="4"/>
  <c r="W34" i="4" l="1"/>
  <c r="U35" i="4"/>
  <c r="AC16" i="4" l="1"/>
  <c r="C32" i="4" l="1"/>
  <c r="U32" i="4"/>
  <c r="W32" i="4" s="1"/>
  <c r="U33" i="4" l="1"/>
  <c r="AC33" i="4" l="1"/>
  <c r="AE32" i="4"/>
  <c r="W31" i="4" l="1"/>
  <c r="AE30" i="4"/>
  <c r="C30" i="4"/>
  <c r="U30" i="4"/>
  <c r="U31" i="4" l="1"/>
  <c r="AC31" i="4"/>
  <c r="W30" i="4"/>
  <c r="C4" i="4" l="1"/>
  <c r="C6" i="4"/>
  <c r="C10" i="4"/>
  <c r="C12" i="4"/>
  <c r="C16" i="4"/>
  <c r="C20" i="4"/>
  <c r="C22" i="4"/>
  <c r="C24" i="4"/>
  <c r="C26" i="4"/>
  <c r="AC27" i="4" l="1"/>
  <c r="W27" i="4"/>
  <c r="AE26" i="4"/>
  <c r="U26" i="4"/>
  <c r="AC25" i="4"/>
  <c r="W25" i="4"/>
  <c r="AE24" i="4"/>
  <c r="U24" i="4"/>
  <c r="AC23" i="4"/>
  <c r="W23" i="4"/>
  <c r="AE22" i="4"/>
  <c r="U22" i="4"/>
  <c r="U27" i="4" l="1"/>
  <c r="W26" i="4"/>
  <c r="U25" i="4"/>
  <c r="W24" i="4"/>
  <c r="W22" i="4"/>
  <c r="U23" i="4"/>
  <c r="W17" i="4" l="1"/>
  <c r="W13" i="4"/>
  <c r="AC17" i="4"/>
  <c r="AE16" i="4"/>
  <c r="U16" i="4"/>
  <c r="AC13" i="4"/>
  <c r="AE12" i="4"/>
  <c r="U12" i="4"/>
  <c r="AC11" i="4"/>
  <c r="W11" i="4"/>
  <c r="AE10" i="4"/>
  <c r="U10" i="4"/>
  <c r="AC7" i="4"/>
  <c r="W7" i="4"/>
  <c r="AE6" i="4"/>
  <c r="U6" i="4"/>
  <c r="AC5" i="4"/>
  <c r="W5" i="4"/>
  <c r="AE4" i="4"/>
  <c r="U4" i="4"/>
  <c r="AC21" i="4"/>
  <c r="W21" i="4"/>
  <c r="AE20" i="4"/>
  <c r="U20" i="4"/>
  <c r="W20" i="4" l="1"/>
  <c r="W6" i="4"/>
  <c r="W16" i="4"/>
  <c r="W4" i="4"/>
  <c r="W10" i="4"/>
  <c r="U5" i="4"/>
  <c r="U17" i="4"/>
  <c r="W12" i="4"/>
  <c r="U11" i="4"/>
  <c r="U13" i="4"/>
  <c r="U7" i="4"/>
  <c r="U21" i="4"/>
</calcChain>
</file>

<file path=xl/sharedStrings.xml><?xml version="1.0" encoding="utf-8"?>
<sst xmlns="http://schemas.openxmlformats.org/spreadsheetml/2006/main" count="15173" uniqueCount="3076">
  <si>
    <t>순서</t>
    <phoneticPr fontId="2" type="noConversion"/>
  </si>
  <si>
    <t>JOB NO</t>
    <phoneticPr fontId="2" type="noConversion"/>
  </si>
  <si>
    <t>사 업 명 [발주처]</t>
    <phoneticPr fontId="2" type="noConversion"/>
  </si>
  <si>
    <t>과업기간</t>
    <phoneticPr fontId="2" type="noConversion"/>
  </si>
  <si>
    <t>금 액 현 황</t>
    <phoneticPr fontId="2" type="noConversion"/>
  </si>
  <si>
    <t>발주처/
담당자</t>
    <phoneticPr fontId="2" type="noConversion"/>
  </si>
  <si>
    <t>계약</t>
    <phoneticPr fontId="2" type="noConversion"/>
  </si>
  <si>
    <t>수행</t>
    <phoneticPr fontId="2" type="noConversion"/>
  </si>
  <si>
    <t>부서협조</t>
    <phoneticPr fontId="2" type="noConversion"/>
  </si>
  <si>
    <t>기타</t>
    <phoneticPr fontId="2" type="noConversion"/>
  </si>
  <si>
    <t>수금</t>
    <phoneticPr fontId="2" type="noConversion"/>
  </si>
  <si>
    <t>협조</t>
    <phoneticPr fontId="2" type="noConversion"/>
  </si>
  <si>
    <t>경관</t>
    <phoneticPr fontId="2" type="noConversion"/>
  </si>
  <si>
    <t>용지</t>
    <phoneticPr fontId="2" type="noConversion"/>
  </si>
  <si>
    <t>잔액</t>
    <phoneticPr fontId="2" type="noConversion"/>
  </si>
  <si>
    <t>외주 등</t>
    <phoneticPr fontId="2" type="noConversion"/>
  </si>
  <si>
    <t>기타비용</t>
    <phoneticPr fontId="2" type="noConversion"/>
  </si>
  <si>
    <t>수금율</t>
    <phoneticPr fontId="2" type="noConversion"/>
  </si>
  <si>
    <t>주요보고사항</t>
    <phoneticPr fontId="2" type="noConversion"/>
  </si>
  <si>
    <t>1. 수행업무</t>
    <phoneticPr fontId="2" type="noConversion"/>
  </si>
  <si>
    <t>수행금액</t>
    <phoneticPr fontId="2" type="noConversion"/>
  </si>
  <si>
    <t>중지:</t>
    <phoneticPr fontId="2" type="noConversion"/>
  </si>
  <si>
    <t>전년
공정</t>
    <phoneticPr fontId="2" type="noConversion"/>
  </si>
  <si>
    <t>당해
공정</t>
    <phoneticPr fontId="2" type="noConversion"/>
  </si>
  <si>
    <t>사 업 명 [주관부서]</t>
    <phoneticPr fontId="2" type="noConversion"/>
  </si>
  <si>
    <t>담당자</t>
    <phoneticPr fontId="2" type="noConversion"/>
  </si>
  <si>
    <t>협조금액</t>
    <phoneticPr fontId="2" type="noConversion"/>
  </si>
  <si>
    <t>원사업</t>
    <phoneticPr fontId="2" type="noConversion"/>
  </si>
  <si>
    <t>금액현황</t>
    <phoneticPr fontId="2" type="noConversion"/>
  </si>
  <si>
    <t>외주금액</t>
    <phoneticPr fontId="2" type="noConversion"/>
  </si>
  <si>
    <t>주요사항/처리업체</t>
    <phoneticPr fontId="2" type="noConversion"/>
  </si>
  <si>
    <t>부서협조</t>
    <phoneticPr fontId="2" type="noConversion"/>
  </si>
  <si>
    <t>3. 외 주 관 리</t>
    <phoneticPr fontId="2" type="noConversion"/>
  </si>
  <si>
    <t>당해공정금액</t>
    <phoneticPr fontId="2" type="noConversion"/>
  </si>
  <si>
    <t>공정잔액</t>
    <phoneticPr fontId="2" type="noConversion"/>
  </si>
  <si>
    <t>부서협조</t>
    <phoneticPr fontId="2" type="noConversion"/>
  </si>
  <si>
    <t>수자원부</t>
    <phoneticPr fontId="2" type="noConversion"/>
  </si>
  <si>
    <t>19.06.30</t>
    <phoneticPr fontId="2" type="noConversion"/>
  </si>
  <si>
    <t>단지부</t>
    <phoneticPr fontId="2" type="noConversion"/>
  </si>
  <si>
    <t>용인역삼구역도시개발사업 실시설계(변경)</t>
  </si>
  <si>
    <t>16.08.01</t>
  </si>
  <si>
    <t>외주</t>
    <phoneticPr fontId="2" type="noConversion"/>
  </si>
  <si>
    <t>기지시~한진간 지방도 확포장공사 기본 및 실시설계용역
[도화+천마]</t>
    <phoneticPr fontId="2" type="noConversion"/>
  </si>
  <si>
    <t>17.04.25</t>
    <phoneticPr fontId="2" type="noConversion"/>
  </si>
  <si>
    <t>17-07</t>
    <phoneticPr fontId="2" type="noConversion"/>
  </si>
  <si>
    <t>송산그린시티 개발사업 서측지구 연결도로 및 삼양통상사거리 지하차도 기본및 실시설계용역
[측량분담 천마]</t>
    <phoneticPr fontId="2" type="noConversion"/>
  </si>
  <si>
    <t>17.11.22</t>
    <phoneticPr fontId="2" type="noConversion"/>
  </si>
  <si>
    <t>측량</t>
    <phoneticPr fontId="2" type="noConversion"/>
  </si>
  <si>
    <t>교통협조</t>
    <phoneticPr fontId="2" type="noConversion"/>
  </si>
  <si>
    <t>전주 탄소소재 국가산업단지 진입도로 건설공사 실시설계용역
[바우+천마]</t>
    <phoneticPr fontId="2" type="noConversion"/>
  </si>
  <si>
    <t>익산지방국토관리청</t>
    <phoneticPr fontId="2" type="noConversion"/>
  </si>
  <si>
    <t>18.04.26</t>
    <phoneticPr fontId="2" type="noConversion"/>
  </si>
  <si>
    <t>상하수도</t>
    <phoneticPr fontId="2" type="noConversion"/>
  </si>
  <si>
    <t>화성시 국도43호선 지하차도 기본 및 
실시설계용역
(관리용역부분)
[극동]</t>
    <phoneticPr fontId="2" type="noConversion"/>
  </si>
  <si>
    <t>18.06.03</t>
    <phoneticPr fontId="2" type="noConversion"/>
  </si>
  <si>
    <t>수자원</t>
    <phoneticPr fontId="2" type="noConversion"/>
  </si>
  <si>
    <t>교통</t>
    <phoneticPr fontId="2" type="noConversion"/>
  </si>
  <si>
    <t>환경</t>
    <phoneticPr fontId="2" type="noConversion"/>
  </si>
  <si>
    <t>산동~상덕간 지방도확포장공사 기본 및 실시설계용역
[동명+천마+한종]</t>
    <phoneticPr fontId="2" type="noConversion"/>
  </si>
  <si>
    <t>19.07.17</t>
    <phoneticPr fontId="2" type="noConversion"/>
  </si>
  <si>
    <t>18.10.02</t>
  </si>
  <si>
    <t>중지:
19.01.04</t>
  </si>
  <si>
    <t>17-14</t>
    <phoneticPr fontId="2" type="noConversion"/>
  </si>
  <si>
    <t>19-02</t>
    <phoneticPr fontId="2" type="noConversion"/>
  </si>
  <si>
    <t>19-04</t>
    <phoneticPr fontId="2" type="noConversion"/>
  </si>
  <si>
    <t>19-01</t>
    <phoneticPr fontId="2" type="noConversion"/>
  </si>
  <si>
    <t>상하:주용남
구조:양상훈
지반:유승주</t>
    <phoneticPr fontId="2" type="noConversion"/>
  </si>
  <si>
    <t>중지:</t>
    <phoneticPr fontId="2" type="noConversion"/>
  </si>
  <si>
    <t>화성시 국도43호선 지하차도 기본 및 실시설계용역
[천마+극동]</t>
    <phoneticPr fontId="2" type="noConversion"/>
  </si>
  <si>
    <t>19.11.21</t>
    <phoneticPr fontId="2" type="noConversion"/>
  </si>
  <si>
    <t>19.12.27</t>
    <phoneticPr fontId="2" type="noConversion"/>
  </si>
  <si>
    <t>19.12.12</t>
    <phoneticPr fontId="2" type="noConversion"/>
  </si>
  <si>
    <t>중지:</t>
  </si>
  <si>
    <t>신평~심곡간 도로확포장공사 보완설계용역
[서영+천마]</t>
    <phoneticPr fontId="2" type="noConversion"/>
  </si>
  <si>
    <t>국도42호선 정선임계-동해신흥 도로건설공사  기본 및 실시설계용역
[바우+천마]</t>
    <phoneticPr fontId="2" type="noConversion"/>
  </si>
  <si>
    <t>잔여:</t>
    <phoneticPr fontId="2" type="noConversion"/>
  </si>
  <si>
    <t>19.12.18</t>
    <phoneticPr fontId="2" type="noConversion"/>
  </si>
  <si>
    <t>업무대기</t>
    <phoneticPr fontId="2" type="noConversion"/>
  </si>
  <si>
    <t>-</t>
    <phoneticPr fontId="2" type="noConversion"/>
  </si>
  <si>
    <t>-현장 기술지원 업무</t>
    <phoneticPr fontId="2" type="noConversion"/>
  </si>
  <si>
    <t>구조독채</t>
    <phoneticPr fontId="2" type="noConversion"/>
  </si>
  <si>
    <t xml:space="preserve">송산사업부
팀장:이상구
감독:김수정
/도로:전훈
  </t>
    <phoneticPr fontId="2" type="noConversion"/>
  </si>
  <si>
    <t>도로계획과
팀장:
감독:박노헌
/도로:전훈
지반:유승주</t>
    <phoneticPr fontId="2" type="noConversion"/>
  </si>
  <si>
    <t>수행</t>
    <phoneticPr fontId="2" type="noConversion"/>
  </si>
  <si>
    <t>19-03</t>
    <phoneticPr fontId="2" type="noConversion"/>
  </si>
  <si>
    <t>계약</t>
    <phoneticPr fontId="2" type="noConversion"/>
  </si>
  <si>
    <t>외주 등</t>
    <phoneticPr fontId="2" type="noConversion"/>
  </si>
  <si>
    <t>기타비용</t>
    <phoneticPr fontId="2" type="noConversion"/>
  </si>
  <si>
    <t>수행율</t>
    <phoneticPr fontId="2" type="noConversion"/>
  </si>
  <si>
    <t>계약</t>
    <phoneticPr fontId="2" type="noConversion"/>
  </si>
  <si>
    <t>당해공정금액</t>
    <phoneticPr fontId="2" type="noConversion"/>
  </si>
  <si>
    <t>업무대기</t>
    <phoneticPr fontId="2" type="noConversion"/>
  </si>
  <si>
    <t>공정잔액</t>
    <phoneticPr fontId="2" type="noConversion"/>
  </si>
  <si>
    <t>사천항공국가산단(2공구)진입도로건설공사 실시설계
[천마+진우+삼영]</t>
    <phoneticPr fontId="2" type="noConversion"/>
  </si>
  <si>
    <t>20.05.25</t>
    <phoneticPr fontId="2" type="noConversion"/>
  </si>
  <si>
    <t>외주처리</t>
    <phoneticPr fontId="2" type="noConversion"/>
  </si>
  <si>
    <t>18.06.03</t>
    <phoneticPr fontId="2" type="noConversion"/>
  </si>
  <si>
    <t>중지:</t>
    <phoneticPr fontId="2" type="noConversion"/>
  </si>
  <si>
    <t>부서협조</t>
    <phoneticPr fontId="2" type="noConversion"/>
  </si>
  <si>
    <t>원사업</t>
    <phoneticPr fontId="2" type="noConversion"/>
  </si>
  <si>
    <t>기타비용</t>
    <phoneticPr fontId="2" type="noConversion"/>
  </si>
  <si>
    <t>외주 등</t>
    <phoneticPr fontId="2" type="noConversion"/>
  </si>
  <si>
    <t>과업준공</t>
    <phoneticPr fontId="2" type="noConversion"/>
  </si>
  <si>
    <t>합  계</t>
    <phoneticPr fontId="2" type="noConversion"/>
  </si>
  <si>
    <t>협조</t>
    <phoneticPr fontId="2" type="noConversion"/>
  </si>
  <si>
    <t>당해공정금액</t>
    <phoneticPr fontId="2" type="noConversion"/>
  </si>
  <si>
    <t>도로공사과
과장:윤한섭
팀장:최상재
감독:노진영
/도로:전훈
구조:-
지반:유승주</t>
    <phoneticPr fontId="2" type="noConversion"/>
  </si>
  <si>
    <t>지분율15%에
대한 75%계약</t>
    <phoneticPr fontId="2" type="noConversion"/>
  </si>
  <si>
    <t>일괄외주</t>
    <phoneticPr fontId="2" type="noConversion"/>
  </si>
  <si>
    <t>18-05</t>
    <phoneticPr fontId="2" type="noConversion"/>
  </si>
  <si>
    <t>18-10</t>
    <phoneticPr fontId="2" type="noConversion"/>
  </si>
  <si>
    <t>11-05</t>
    <phoneticPr fontId="2" type="noConversion"/>
  </si>
  <si>
    <t>19-07</t>
    <phoneticPr fontId="2" type="noConversion"/>
  </si>
  <si>
    <t>19-11</t>
    <phoneticPr fontId="2" type="noConversion"/>
  </si>
  <si>
    <t>19-12</t>
    <phoneticPr fontId="2" type="noConversion"/>
  </si>
  <si>
    <t>19-13</t>
    <phoneticPr fontId="2" type="noConversion"/>
  </si>
  <si>
    <t>20-07</t>
    <phoneticPr fontId="2" type="noConversion"/>
  </si>
  <si>
    <t>20-10</t>
    <phoneticPr fontId="2" type="noConversion"/>
  </si>
  <si>
    <t>상황</t>
    <phoneticPr fontId="2" type="noConversion"/>
  </si>
  <si>
    <t>보완</t>
    <phoneticPr fontId="2" type="noConversion"/>
  </si>
  <si>
    <t>중지:20.11.26</t>
    <phoneticPr fontId="2" type="noConversion"/>
  </si>
  <si>
    <t>중지</t>
    <phoneticPr fontId="2" type="noConversion"/>
  </si>
  <si>
    <t>중지:</t>
    <phoneticPr fontId="2" type="noConversion"/>
  </si>
  <si>
    <t>보완</t>
    <phoneticPr fontId="2" type="noConversion"/>
  </si>
  <si>
    <t>중지:</t>
    <phoneticPr fontId="2" type="noConversion"/>
  </si>
  <si>
    <t>중지:</t>
    <phoneticPr fontId="2" type="noConversion"/>
  </si>
  <si>
    <t>소장:이민용
과장:황민상
/도로:전훈
 구조:이정봉</t>
    <phoneticPr fontId="2" type="noConversion"/>
  </si>
  <si>
    <t>토목부</t>
    <phoneticPr fontId="2" type="noConversion"/>
  </si>
  <si>
    <t>국도21호선 아산 배방 은수교차로 개선공사 실시설계용역</t>
    <phoneticPr fontId="2" type="noConversion"/>
  </si>
  <si>
    <t>실시설계
성과품작성</t>
    <phoneticPr fontId="2" type="noConversion"/>
  </si>
  <si>
    <t>중지:</t>
    <phoneticPr fontId="2" type="noConversion"/>
  </si>
  <si>
    <t>3차착수
선급금신청</t>
    <phoneticPr fontId="2" type="noConversion"/>
  </si>
  <si>
    <t>과업일정보고
실시설계착수
기본설계검토</t>
    <phoneticPr fontId="2" type="noConversion"/>
  </si>
  <si>
    <t>사업추진  및 용역비 처리방안 보고</t>
    <phoneticPr fontId="2" type="noConversion"/>
  </si>
  <si>
    <t>초기및중간단계자문 준비</t>
    <phoneticPr fontId="2" type="noConversion"/>
  </si>
  <si>
    <t>초기및중간단계자문 준비</t>
    <phoneticPr fontId="2" type="noConversion"/>
  </si>
  <si>
    <t>설계비
정산 준비</t>
    <phoneticPr fontId="2" type="noConversion"/>
  </si>
  <si>
    <t>VE 재해설계반영
DFS 보완
민원 협의
사업보고</t>
    <phoneticPr fontId="2" type="noConversion"/>
  </si>
  <si>
    <t>사업보고
(인사이동)</t>
    <phoneticPr fontId="2" type="noConversion"/>
  </si>
  <si>
    <t>부여군</t>
    <phoneticPr fontId="2" type="noConversion"/>
  </si>
  <si>
    <t>연약지반
기초설계</t>
  </si>
  <si>
    <t>지반조사 완료</t>
  </si>
  <si>
    <t>업무대기</t>
  </si>
  <si>
    <t>현장점검
(2/24)</t>
  </si>
  <si>
    <t>동절기휴무</t>
  </si>
  <si>
    <t>현장점검
(2/23)</t>
  </si>
  <si>
    <t>현장점검
(2/03)</t>
  </si>
  <si>
    <t>현장점검
(2/25)</t>
  </si>
  <si>
    <t>성과품보완
기술심의요청서작성
공구분할
DFS보완</t>
    <phoneticPr fontId="2" type="noConversion"/>
  </si>
  <si>
    <t>삼양통상사거리 설계지연 대기</t>
  </si>
  <si>
    <t>업무지원</t>
  </si>
  <si>
    <t>기본설계 마무리</t>
  </si>
  <si>
    <t>업무연락</t>
  </si>
  <si>
    <t>초기및중간단계자문 준비
사천시협의</t>
  </si>
  <si>
    <t>계약 및
착수</t>
    <phoneticPr fontId="2" type="noConversion"/>
  </si>
  <si>
    <t>21.02.01</t>
    <phoneticPr fontId="2" type="noConversion"/>
  </si>
  <si>
    <t>보완사항
검토제출</t>
  </si>
  <si>
    <t>과업추진
일정보고</t>
  </si>
  <si>
    <t>사천항공국가산단(2공구)진입도로건설공사 실시설계</t>
    <phoneticPr fontId="2" type="noConversion"/>
  </si>
  <si>
    <t>-사업추진  및 용역비
  계약 변경 협의 중</t>
    <phoneticPr fontId="2" type="noConversion"/>
  </si>
  <si>
    <t>초기및중간단계자문 제출(3/2)</t>
    <phoneticPr fontId="2" type="noConversion"/>
  </si>
  <si>
    <t>업무분담
협의(3/5)</t>
    <phoneticPr fontId="2" type="noConversion"/>
  </si>
  <si>
    <t>기본설계
검토
세부설계</t>
    <phoneticPr fontId="2" type="noConversion"/>
  </si>
  <si>
    <t>업무분담
및 기준
보완작성</t>
    <phoneticPr fontId="2" type="noConversion"/>
  </si>
  <si>
    <t>당진-아산 고속국도 건설공사 기본 및 실시설계(2공구)</t>
    <phoneticPr fontId="2" type="noConversion"/>
  </si>
  <si>
    <t>기술심의 성과품 준비
각종 행정처리</t>
    <phoneticPr fontId="2" type="noConversion"/>
  </si>
  <si>
    <t>업무지원</t>
    <phoneticPr fontId="2" type="noConversion"/>
  </si>
  <si>
    <t>업무지원</t>
    <phoneticPr fontId="2" type="noConversion"/>
  </si>
  <si>
    <t>업무연락</t>
    <phoneticPr fontId="2" type="noConversion"/>
  </si>
  <si>
    <t>실시설계
현황보고</t>
    <phoneticPr fontId="2" type="noConversion"/>
  </si>
  <si>
    <t>업무분담
협의중</t>
    <phoneticPr fontId="2" type="noConversion"/>
  </si>
  <si>
    <t>초기및중간단계자문수행중(3/17배포)</t>
    <phoneticPr fontId="2" type="noConversion"/>
  </si>
  <si>
    <t>업무분담
완료</t>
    <phoneticPr fontId="2" type="noConversion"/>
  </si>
  <si>
    <t>현황보고
관계기관
협의</t>
    <phoneticPr fontId="2" type="noConversion"/>
  </si>
  <si>
    <t>보완</t>
    <phoneticPr fontId="2" type="noConversion"/>
  </si>
  <si>
    <t>수원국토 관내 병목지점개선 실시설계용역</t>
    <phoneticPr fontId="2" type="noConversion"/>
  </si>
  <si>
    <t>21.03.24</t>
    <phoneticPr fontId="2" type="noConversion"/>
  </si>
  <si>
    <t>21-01</t>
    <phoneticPr fontId="2" type="noConversion"/>
  </si>
  <si>
    <t>21-03</t>
    <phoneticPr fontId="2" type="noConversion"/>
  </si>
  <si>
    <t>착수계제출</t>
    <phoneticPr fontId="2" type="noConversion"/>
  </si>
  <si>
    <t>-삼양통상 선형결정
-공공측량심의 완료
-삼양통상사거리
  지하차도 설계지연</t>
    <phoneticPr fontId="2" type="noConversion"/>
  </si>
  <si>
    <t>3차 착수 대기</t>
  </si>
  <si>
    <t>3차 착수 대기</t>
    <phoneticPr fontId="2" type="noConversion"/>
  </si>
  <si>
    <t>3차 착수 대기</t>
    <phoneticPr fontId="2" type="noConversion"/>
  </si>
  <si>
    <t>3차 착수 대기 해제 후 준공</t>
    <phoneticPr fontId="2" type="noConversion"/>
  </si>
  <si>
    <t>지방건설기술심의(4/27)</t>
    <phoneticPr fontId="2" type="noConversion"/>
  </si>
  <si>
    <t>중간자문
회의 준비</t>
    <phoneticPr fontId="2" type="noConversion"/>
  </si>
  <si>
    <t>상세설계
진행 중</t>
    <phoneticPr fontId="2" type="noConversion"/>
  </si>
  <si>
    <t>상세설계 변경사항 증액협의</t>
    <phoneticPr fontId="2" type="noConversion"/>
  </si>
  <si>
    <t>착수및중간단계자문수행중(3/17배포)</t>
    <phoneticPr fontId="2" type="noConversion"/>
  </si>
  <si>
    <t>착수및중간단계자문 조치결과 제출(4/23)</t>
  </si>
  <si>
    <t>착수및중간단계자문 조치결과 제출(4/23)</t>
    <phoneticPr fontId="2" type="noConversion"/>
  </si>
  <si>
    <t>업무분담
협의완료(4/23)</t>
    <phoneticPr fontId="2" type="noConversion"/>
  </si>
  <si>
    <t>WBS
전산화</t>
  </si>
  <si>
    <t>16-02</t>
    <phoneticPr fontId="2" type="noConversion"/>
  </si>
  <si>
    <t>중지</t>
    <phoneticPr fontId="2" type="noConversion"/>
  </si>
  <si>
    <t>잔액</t>
    <phoneticPr fontId="2" type="noConversion"/>
  </si>
  <si>
    <t>기타비용</t>
    <phoneticPr fontId="2" type="noConversion"/>
  </si>
  <si>
    <t>17-16</t>
    <phoneticPr fontId="2" type="noConversion"/>
  </si>
  <si>
    <t>구조독채</t>
    <phoneticPr fontId="2" type="noConversion"/>
  </si>
  <si>
    <t>지안</t>
    <phoneticPr fontId="2" type="noConversion"/>
  </si>
  <si>
    <t>서정</t>
    <phoneticPr fontId="2" type="noConversion"/>
  </si>
  <si>
    <t>18-12</t>
    <phoneticPr fontId="2" type="noConversion"/>
  </si>
  <si>
    <t>교통협조</t>
    <phoneticPr fontId="2" type="noConversion"/>
  </si>
  <si>
    <t>내역</t>
    <phoneticPr fontId="2" type="noConversion"/>
  </si>
  <si>
    <t>잔액</t>
    <phoneticPr fontId="2" type="noConversion"/>
  </si>
  <si>
    <t>각종기술
지원</t>
    <phoneticPr fontId="2" type="noConversion"/>
  </si>
  <si>
    <t>기타</t>
    <phoneticPr fontId="2" type="noConversion"/>
  </si>
  <si>
    <t>-현장 기술지원 업무</t>
  </si>
  <si>
    <t>설계지연
대기</t>
    <phoneticPr fontId="2" type="noConversion"/>
  </si>
  <si>
    <t>신궁교차로현황측량</t>
    <phoneticPr fontId="2" type="noConversion"/>
  </si>
  <si>
    <t>시설2과
팀장:조건희
감독:박경수
/도로:전훈
 지반:유승주</t>
    <phoneticPr fontId="2" type="noConversion"/>
  </si>
  <si>
    <t>도로계획과
과장:천경호
감독:장명규
/도로:전훈
 구조:이정봉</t>
    <phoneticPr fontId="2" type="noConversion"/>
  </si>
  <si>
    <t xml:space="preserve">충남종건
팀장:장원욱
담당:임정재
/도로:전훈
 </t>
    <phoneticPr fontId="2" type="noConversion"/>
  </si>
  <si>
    <t>도로계획과
계장:김용환
감독:송진우
/도로:전 훈
구조:양상훈
지반:이주희</t>
    <phoneticPr fontId="2" type="noConversion"/>
  </si>
  <si>
    <t>현장점검
(5/26)</t>
  </si>
  <si>
    <t>현장점검
(5/18)</t>
  </si>
  <si>
    <t>현장점검
(5/27)</t>
  </si>
  <si>
    <t>현장점검
(5/11)</t>
  </si>
  <si>
    <t>현장점검
(5/25)</t>
  </si>
  <si>
    <t>국도59호선 연곡~현북 도로건설공사 기본 및 실시설계 건설사업관리(설계단계)및 설계VE
[바우+천마]</t>
    <phoneticPr fontId="2" type="noConversion"/>
  </si>
  <si>
    <t>중지:
17.10.25</t>
    <phoneticPr fontId="2" type="noConversion"/>
  </si>
  <si>
    <t>용지경계
확정</t>
    <phoneticPr fontId="2" type="noConversion"/>
  </si>
  <si>
    <t>설계변경
검토</t>
    <phoneticPr fontId="2" type="noConversion"/>
  </si>
  <si>
    <t>특정공법 준비</t>
    <phoneticPr fontId="2" type="noConversion"/>
  </si>
  <si>
    <t>선형계획</t>
    <phoneticPr fontId="2" type="noConversion"/>
  </si>
  <si>
    <t>상세설계</t>
    <phoneticPr fontId="2" type="noConversion"/>
  </si>
  <si>
    <t>민원사항 선형변경</t>
    <phoneticPr fontId="2" type="noConversion"/>
  </si>
  <si>
    <t>선형계획 검토</t>
    <phoneticPr fontId="2" type="noConversion"/>
  </si>
  <si>
    <t>지방건설기술심의보고완료(5/27)</t>
    <phoneticPr fontId="2" type="noConversion"/>
  </si>
  <si>
    <t>3차분 착수
설계지연
대기</t>
    <phoneticPr fontId="2" type="noConversion"/>
  </si>
  <si>
    <t>상세설계
진행 중</t>
  </si>
  <si>
    <t>노선방침</t>
    <phoneticPr fontId="2" type="noConversion"/>
  </si>
  <si>
    <t>방침검토</t>
    <phoneticPr fontId="2" type="noConversion"/>
  </si>
  <si>
    <t>-계약기간변경
  (6/30 -&gt; 12/31)</t>
    <phoneticPr fontId="2" type="noConversion"/>
  </si>
  <si>
    <t>소장:이민용
과장:임승연
/도로:전훈
 구조:이정봉</t>
    <phoneticPr fontId="2" type="noConversion"/>
  </si>
  <si>
    <t>지방건설
기술심의
의견반영</t>
    <phoneticPr fontId="2" type="noConversion"/>
  </si>
  <si>
    <t>3차분 착수
설계지연
대기</t>
  </si>
  <si>
    <t>과업완료
대기 중</t>
    <phoneticPr fontId="2" type="noConversion"/>
  </si>
  <si>
    <t>원사업</t>
    <phoneticPr fontId="2" type="noConversion"/>
  </si>
  <si>
    <t>기타</t>
    <phoneticPr fontId="2" type="noConversion"/>
  </si>
  <si>
    <t>협조</t>
    <phoneticPr fontId="2" type="noConversion"/>
  </si>
  <si>
    <t>기타비용</t>
    <phoneticPr fontId="2" type="noConversion"/>
  </si>
  <si>
    <t>구조물과
팀장:김상대
감독:김광수
/도로:이규석
지반:이주희</t>
    <phoneticPr fontId="2" type="noConversion"/>
  </si>
  <si>
    <t>계획평면 및 횡단수정</t>
    <phoneticPr fontId="2" type="noConversion"/>
  </si>
  <si>
    <t>설계지연
대기</t>
  </si>
  <si>
    <t>과업완료
대기 중</t>
  </si>
  <si>
    <t>특정공법
완료(7/29)</t>
  </si>
  <si>
    <t>특정공법
완료(7/29)</t>
    <phoneticPr fontId="2" type="noConversion"/>
  </si>
  <si>
    <t>-기본설계 주)동명
※업무분장 협의 진행 중</t>
    <phoneticPr fontId="2" type="noConversion"/>
  </si>
  <si>
    <t>중간 자문
회의 준비</t>
    <phoneticPr fontId="2" type="noConversion"/>
  </si>
  <si>
    <t>과업 추진
방안 협의</t>
    <phoneticPr fontId="2" type="noConversion"/>
  </si>
  <si>
    <t>과업 추진
방안 협의</t>
    <phoneticPr fontId="2" type="noConversion"/>
  </si>
  <si>
    <t>1차
관계기관
협의완료</t>
    <phoneticPr fontId="2" type="noConversion"/>
  </si>
  <si>
    <t>중지:21.07.09</t>
    <phoneticPr fontId="2" type="noConversion"/>
  </si>
  <si>
    <t>중지</t>
    <phoneticPr fontId="2" type="noConversion"/>
  </si>
  <si>
    <t>성과품보완
지적중첩도
당진시협의</t>
    <phoneticPr fontId="2" type="noConversion"/>
  </si>
  <si>
    <t>과업완료
대기 중
기간변경</t>
    <phoneticPr fontId="2" type="noConversion"/>
  </si>
  <si>
    <t>과업중지
(신궁이외 설계추진)</t>
    <phoneticPr fontId="2" type="noConversion"/>
  </si>
  <si>
    <t>중지:21.08.03</t>
    <phoneticPr fontId="2" type="noConversion"/>
  </si>
  <si>
    <t>20.03.20</t>
    <phoneticPr fontId="2" type="noConversion"/>
  </si>
  <si>
    <t>상세설계
수공협의
상수도설계필요</t>
    <phoneticPr fontId="2" type="noConversion"/>
  </si>
  <si>
    <t>-서류준공(`20.12.23)
-지방건설심의 결과
   보고 완료(5/27)
-수량오류및 성과품보완
-도로구역관련협의</t>
    <phoneticPr fontId="2" type="noConversion"/>
  </si>
  <si>
    <t>중지:21.08.04</t>
    <phoneticPr fontId="2" type="noConversion"/>
  </si>
  <si>
    <t>과업중지
(8/11)
실시설계
인계</t>
    <phoneticPr fontId="2" type="noConversion"/>
  </si>
  <si>
    <t>-실정보고(6/18)
-과업중지(7/09)
   (관계기관협의)
-관계기관사전협의</t>
    <phoneticPr fontId="2" type="noConversion"/>
  </si>
  <si>
    <t>관계기관
사전협의</t>
    <phoneticPr fontId="2" type="noConversion"/>
  </si>
  <si>
    <t>도로부:전훈
지반:유승주</t>
    <phoneticPr fontId="2" type="noConversion"/>
  </si>
  <si>
    <t>상세설계
수공협의
소규모환경의견반영</t>
    <phoneticPr fontId="2" type="noConversion"/>
  </si>
  <si>
    <t>구조물과
계장:김회존
감독:최재훈
/도로:전훈</t>
    <phoneticPr fontId="2" type="noConversion"/>
  </si>
  <si>
    <t>현장점검
(8/24)</t>
  </si>
  <si>
    <t>준공</t>
    <phoneticPr fontId="2" type="noConversion"/>
  </si>
  <si>
    <t>수리수문
검토 시행</t>
    <phoneticPr fontId="2" type="noConversion"/>
  </si>
  <si>
    <t>공정잔액</t>
    <phoneticPr fontId="2" type="noConversion"/>
  </si>
  <si>
    <t>구조독채</t>
    <phoneticPr fontId="2" type="noConversion"/>
  </si>
  <si>
    <t>잔액</t>
    <phoneticPr fontId="2" type="noConversion"/>
  </si>
  <si>
    <t>설계도서
검토결과
회의</t>
    <phoneticPr fontId="2" type="noConversion"/>
  </si>
  <si>
    <t>기타비용</t>
    <phoneticPr fontId="2" type="noConversion"/>
  </si>
  <si>
    <t>다산</t>
    <phoneticPr fontId="2" type="noConversion"/>
  </si>
  <si>
    <t>이필</t>
    <phoneticPr fontId="2" type="noConversion"/>
  </si>
  <si>
    <t>미토</t>
    <phoneticPr fontId="2" type="noConversion"/>
  </si>
  <si>
    <t>문수</t>
    <phoneticPr fontId="2" type="noConversion"/>
  </si>
  <si>
    <t>공정잔액</t>
    <phoneticPr fontId="2" type="noConversion"/>
  </si>
  <si>
    <t>19-05</t>
    <phoneticPr fontId="2" type="noConversion"/>
  </si>
  <si>
    <t>20-01</t>
    <phoneticPr fontId="2" type="noConversion"/>
  </si>
  <si>
    <t>중지</t>
    <phoneticPr fontId="2" type="noConversion"/>
  </si>
  <si>
    <t>잔액</t>
    <phoneticPr fontId="2" type="noConversion"/>
  </si>
  <si>
    <t>기타비용</t>
    <phoneticPr fontId="2" type="noConversion"/>
  </si>
  <si>
    <t>남양주진접2 공공주택지구 주변도로 조사설계용역 중 도로설계(내각IC)</t>
    <phoneticPr fontId="2" type="noConversion"/>
  </si>
  <si>
    <t>당해공정금액</t>
    <phoneticPr fontId="2" type="noConversion"/>
  </si>
  <si>
    <t>21-03</t>
    <phoneticPr fontId="2" type="noConversion"/>
  </si>
  <si>
    <t>기타비용</t>
    <phoneticPr fontId="2" type="noConversion"/>
  </si>
  <si>
    <t>중지</t>
    <phoneticPr fontId="2" type="noConversion"/>
  </si>
  <si>
    <t>2차재착수
(9/13)</t>
    <phoneticPr fontId="2" type="noConversion"/>
  </si>
  <si>
    <t>- 2차 재착수(9/13)
- 3차 착수 실시설계 
   건설사업관리 수행 중
   (바우)</t>
    <phoneticPr fontId="2" type="noConversion"/>
  </si>
  <si>
    <t>성과품보완
지적중첩도
당진시협의</t>
  </si>
  <si>
    <t>중간 자문
회의 준비</t>
  </si>
  <si>
    <t>과업 추진
방안 협의</t>
  </si>
  <si>
    <t>수리수문
검토 시행</t>
  </si>
  <si>
    <t>21.04.29</t>
    <phoneticPr fontId="2" type="noConversion"/>
  </si>
  <si>
    <t>-</t>
    <phoneticPr fontId="2" type="noConversion"/>
  </si>
  <si>
    <t>수자:신우식
도로:이규석</t>
    <phoneticPr fontId="2" type="noConversion"/>
  </si>
  <si>
    <t>둔포천 하천기본계획
검토 및 실시설계용역</t>
    <phoneticPr fontId="2" type="noConversion"/>
  </si>
  <si>
    <t>총사업비
기재부협의</t>
    <phoneticPr fontId="2" type="noConversion"/>
  </si>
  <si>
    <t>20.09.01</t>
    <phoneticPr fontId="2" type="noConversion"/>
  </si>
  <si>
    <t>1차 준공
(9/17)
기본설계 마무리</t>
    <phoneticPr fontId="2" type="noConversion"/>
  </si>
  <si>
    <t>1차 준공
(9/17)
기본설계 마무리</t>
    <phoneticPr fontId="2" type="noConversion"/>
  </si>
  <si>
    <t>관계기관
사전협의
실정보고</t>
    <phoneticPr fontId="2" type="noConversion"/>
  </si>
  <si>
    <t>실시설계 진행 중</t>
    <phoneticPr fontId="2" type="noConversion"/>
  </si>
  <si>
    <t>중지:`21.09.30</t>
    <phoneticPr fontId="2" type="noConversion"/>
  </si>
  <si>
    <t>20.10.16</t>
    <phoneticPr fontId="2" type="noConversion"/>
  </si>
  <si>
    <t>중지:`21.10.04</t>
    <phoneticPr fontId="2" type="noConversion"/>
  </si>
  <si>
    <t>인허가서류작성
내역수정</t>
    <phoneticPr fontId="2" type="noConversion"/>
  </si>
  <si>
    <t>3차 착수 내역검토</t>
    <phoneticPr fontId="2" type="noConversion"/>
  </si>
  <si>
    <t>3차재착수</t>
    <phoneticPr fontId="2" type="noConversion"/>
  </si>
  <si>
    <t>2차착수
(10/27)</t>
    <phoneticPr fontId="2" type="noConversion"/>
  </si>
  <si>
    <t>과업중지 대기</t>
    <phoneticPr fontId="2" type="noConversion"/>
  </si>
  <si>
    <t>WBS
전산화</t>
    <phoneticPr fontId="2" type="noConversion"/>
  </si>
  <si>
    <t>국도23호(신공주대교)램프설치사업 실시설계용역
[천마]</t>
    <phoneticPr fontId="2" type="noConversion"/>
  </si>
  <si>
    <t>보완측량</t>
    <phoneticPr fontId="2" type="noConversion"/>
  </si>
  <si>
    <t>설계변경
보고</t>
    <phoneticPr fontId="2" type="noConversion"/>
  </si>
  <si>
    <t>실시설계(토공)</t>
    <phoneticPr fontId="2" type="noConversion"/>
  </si>
  <si>
    <t>상세설계
진행 중</t>
    <phoneticPr fontId="2" type="noConversion"/>
  </si>
  <si>
    <t xml:space="preserve">설계VE </t>
    <phoneticPr fontId="2" type="noConversion"/>
  </si>
  <si>
    <t>마무리자문
경관심의</t>
    <phoneticPr fontId="2" type="noConversion"/>
  </si>
  <si>
    <t>과장:유경재
감독:신윤철
/도로:김도환
구조:양상훈</t>
    <phoneticPr fontId="2" type="noConversion"/>
  </si>
  <si>
    <t>인허가
협의</t>
    <phoneticPr fontId="2" type="noConversion"/>
  </si>
  <si>
    <t>수공협의
반영
중복도측량</t>
    <phoneticPr fontId="2" type="noConversion"/>
  </si>
  <si>
    <t>-실시설계 성과품 작성
  (연약지반, 구조물기초,
  가시설, 비탈면 안정성)
-상수관로 이설 협조 필요
-추가 옹벽 및 가시설 계획
  검토</t>
    <phoneticPr fontId="2" type="noConversion"/>
  </si>
  <si>
    <t>관계기관
협의
교통성분석</t>
    <phoneticPr fontId="2" type="noConversion"/>
  </si>
  <si>
    <t>은현~봉암간 도로확포장공사 건설사업관리(시공단계)용역</t>
    <phoneticPr fontId="2" type="noConversion"/>
  </si>
  <si>
    <t>19.12.24</t>
    <phoneticPr fontId="2" type="noConversion"/>
  </si>
  <si>
    <t>협조</t>
    <phoneticPr fontId="2" type="noConversion"/>
  </si>
  <si>
    <t>협조</t>
    <phoneticPr fontId="2" type="noConversion"/>
  </si>
  <si>
    <t>수행</t>
    <phoneticPr fontId="2" type="noConversion"/>
  </si>
  <si>
    <t>-현장 기술지원 업무</t>
    <phoneticPr fontId="2" type="noConversion"/>
  </si>
  <si>
    <t>감리:김철수
구조:박철근</t>
    <phoneticPr fontId="2" type="noConversion"/>
  </si>
  <si>
    <t>당해공정금액</t>
    <phoneticPr fontId="2" type="noConversion"/>
  </si>
  <si>
    <t>공정잔액</t>
    <phoneticPr fontId="2" type="noConversion"/>
  </si>
  <si>
    <t>중지:</t>
    <phoneticPr fontId="2" type="noConversion"/>
  </si>
  <si>
    <t>원사업</t>
    <phoneticPr fontId="2" type="noConversion"/>
  </si>
  <si>
    <t>기타</t>
    <phoneticPr fontId="2" type="noConversion"/>
  </si>
  <si>
    <t>현장점검
(1/26)</t>
    <phoneticPr fontId="2" type="noConversion"/>
  </si>
  <si>
    <t>현장점검
(3/16)</t>
    <phoneticPr fontId="2" type="noConversion"/>
  </si>
  <si>
    <t>현장점검
(4/28)</t>
    <phoneticPr fontId="2" type="noConversion"/>
  </si>
  <si>
    <t>현장점검
(6/23)</t>
    <phoneticPr fontId="2" type="noConversion"/>
  </si>
  <si>
    <t>현장점검
(7/21)</t>
    <phoneticPr fontId="2" type="noConversion"/>
  </si>
  <si>
    <t>현장점검
(9/07)</t>
    <phoneticPr fontId="2" type="noConversion"/>
  </si>
  <si>
    <t>현장점검
(10/20)</t>
    <phoneticPr fontId="2" type="noConversion"/>
  </si>
  <si>
    <t>기타비용</t>
    <phoneticPr fontId="2" type="noConversion"/>
  </si>
  <si>
    <t>포산~서망 도로건설공사 등 4건 건설사업관리(설계단계) 및 설계VE용역
[천마+바우]</t>
    <phoneticPr fontId="2" type="noConversion"/>
  </si>
  <si>
    <t>16.05.30</t>
    <phoneticPr fontId="2" type="noConversion"/>
  </si>
  <si>
    <t>계약</t>
    <phoneticPr fontId="2" type="noConversion"/>
  </si>
  <si>
    <t>수행</t>
    <phoneticPr fontId="2" type="noConversion"/>
  </si>
  <si>
    <t>-완주~진안 미준공
-장기미집행사업
   (익산청 내부방침)</t>
    <phoneticPr fontId="2" type="noConversion"/>
  </si>
  <si>
    <t>도로계획과
과장:김창수
/도로:김도환
 지반:유승주</t>
    <phoneticPr fontId="2" type="noConversion"/>
  </si>
  <si>
    <t>-</t>
    <phoneticPr fontId="2" type="noConversion"/>
  </si>
  <si>
    <t>-</t>
    <phoneticPr fontId="2" type="noConversion"/>
  </si>
  <si>
    <t>장기
미집행사업</t>
    <phoneticPr fontId="2" type="noConversion"/>
  </si>
  <si>
    <t>영동고속국도(서창~안산간)확장공사 실시설계용역(제2공구)
[장맥+ksm+천마]</t>
    <phoneticPr fontId="2" type="noConversion"/>
  </si>
  <si>
    <t>17.12.21</t>
    <phoneticPr fontId="2" type="noConversion"/>
  </si>
  <si>
    <t>수행</t>
    <phoneticPr fontId="2" type="noConversion"/>
  </si>
  <si>
    <t xml:space="preserve"> -설계설명회 완료(11/10)
- 조치계획서 보완자료 제출 예정
(12/10)</t>
    <phoneticPr fontId="2" type="noConversion"/>
  </si>
  <si>
    <t>설계처
팀장:이영천
감독:김상대
/도로:김도환
 구조:양상훈
 지반:박정기</t>
    <phoneticPr fontId="2" type="noConversion"/>
  </si>
  <si>
    <t>잔액</t>
    <phoneticPr fontId="2" type="noConversion"/>
  </si>
  <si>
    <t>성과품
제본 및
납품</t>
    <phoneticPr fontId="2" type="noConversion"/>
  </si>
  <si>
    <t>설계도서
검토결과
보완</t>
    <phoneticPr fontId="2" type="noConversion"/>
  </si>
  <si>
    <t>설계설명회</t>
    <phoneticPr fontId="2" type="noConversion"/>
  </si>
  <si>
    <t>18.11.16</t>
    <phoneticPr fontId="2" type="noConversion"/>
  </si>
  <si>
    <t>-준공(`20/12/04)
  (서류준공)
-교차로변경 보고
  (11/15)
-상세설계 수행</t>
    <phoneticPr fontId="2" type="noConversion"/>
  </si>
  <si>
    <t>도로과
감독:이동후
/도로:김도환
구조:임성묵 
지반:유승주</t>
    <phoneticPr fontId="2" type="noConversion"/>
  </si>
  <si>
    <t>외주 등</t>
    <phoneticPr fontId="2" type="noConversion"/>
  </si>
  <si>
    <t>관련기관
협의(2차)
예정</t>
    <phoneticPr fontId="2" type="noConversion"/>
  </si>
  <si>
    <t>-</t>
    <phoneticPr fontId="2" type="noConversion"/>
  </si>
  <si>
    <t>방침대기</t>
    <phoneticPr fontId="2" type="noConversion"/>
  </si>
  <si>
    <t>국지도82호선 화성장지 ~ 용인남사 도로건설공사 기본및실시설계용역
[바우+천마+태조]</t>
    <phoneticPr fontId="2" type="noConversion"/>
  </si>
  <si>
    <t>19.05.22</t>
    <phoneticPr fontId="2" type="noConversion"/>
  </si>
  <si>
    <t>수행</t>
    <phoneticPr fontId="2" type="noConversion"/>
  </si>
  <si>
    <t>도로공사과
과장:안성철
계장:이규진
감독:김승환
/도로:김도환
 구조:장왕근</t>
    <phoneticPr fontId="2" type="noConversion"/>
  </si>
  <si>
    <t>중지:21.09.13</t>
    <phoneticPr fontId="2" type="noConversion"/>
  </si>
  <si>
    <t>잔액</t>
    <phoneticPr fontId="2" type="noConversion"/>
  </si>
  <si>
    <t>중간자문</t>
    <phoneticPr fontId="2" type="noConversion"/>
  </si>
  <si>
    <t>배수구조물 합동조사(4/28~29)</t>
    <phoneticPr fontId="2" type="noConversion"/>
  </si>
  <si>
    <t>총사업비
기재부협의</t>
    <phoneticPr fontId="2" type="noConversion"/>
  </si>
  <si>
    <t>군도21호(남성~가내) 위험도로 구조개선공사 실시설계용역
[천마]</t>
    <phoneticPr fontId="2" type="noConversion"/>
  </si>
  <si>
    <t>20.03.17</t>
    <phoneticPr fontId="2" type="noConversion"/>
  </si>
  <si>
    <t>계약</t>
    <phoneticPr fontId="2" type="noConversion"/>
  </si>
  <si>
    <t>-도로구역 결정 인가 조치결과서 제출(12/01)
-과업중지 해제요청 예정(12월 초)</t>
    <phoneticPr fontId="2" type="noConversion"/>
  </si>
  <si>
    <t>중지:20.06.17</t>
    <phoneticPr fontId="2" type="noConversion"/>
  </si>
  <si>
    <t>외주 등</t>
    <phoneticPr fontId="2" type="noConversion"/>
  </si>
  <si>
    <t>중심종횡단측량 시행</t>
    <phoneticPr fontId="2" type="noConversion"/>
  </si>
  <si>
    <t>최적노선도
작성</t>
    <phoneticPr fontId="2" type="noConversion"/>
  </si>
  <si>
    <t>-</t>
    <phoneticPr fontId="2" type="noConversion"/>
  </si>
  <si>
    <t>성과품
보완</t>
    <phoneticPr fontId="2" type="noConversion"/>
  </si>
  <si>
    <t>계약심사</t>
    <phoneticPr fontId="2" type="noConversion"/>
  </si>
  <si>
    <t>인허가</t>
    <phoneticPr fontId="2" type="noConversion"/>
  </si>
  <si>
    <t>인허가</t>
    <phoneticPr fontId="2" type="noConversion"/>
  </si>
  <si>
    <t>환경영향평가 결과제출</t>
    <phoneticPr fontId="2" type="noConversion"/>
  </si>
  <si>
    <t>21.05.11</t>
    <phoneticPr fontId="2" type="noConversion"/>
  </si>
  <si>
    <t>-실시설계 수행
  (외주:필광이엔씨(주))
-기술심의 예정(12월중)</t>
    <phoneticPr fontId="2" type="noConversion"/>
  </si>
  <si>
    <t>한국종합기술
송정훈 상무
이주동 부장
/도로:김도환</t>
    <phoneticPr fontId="2" type="noConversion"/>
  </si>
  <si>
    <t>중지:</t>
    <phoneticPr fontId="2" type="noConversion"/>
  </si>
  <si>
    <t>잔액</t>
    <phoneticPr fontId="2" type="noConversion"/>
  </si>
  <si>
    <t>외주 등</t>
    <phoneticPr fontId="2" type="noConversion"/>
  </si>
  <si>
    <t>-</t>
    <phoneticPr fontId="2" type="noConversion"/>
  </si>
  <si>
    <t>-</t>
    <phoneticPr fontId="2" type="noConversion"/>
  </si>
  <si>
    <t>실시설계
진행</t>
    <phoneticPr fontId="2" type="noConversion"/>
  </si>
  <si>
    <t>VE성과품준비</t>
    <phoneticPr fontId="2" type="noConversion"/>
  </si>
  <si>
    <t>설계VE 신청</t>
    <phoneticPr fontId="2" type="noConversion"/>
  </si>
  <si>
    <t>-실시설계(천마)투입
  코로나-19에 따른 관계
  기관 협의 지연
-실시설계 진행
- 12월 14~15 VE실행</t>
    <phoneticPr fontId="2" type="noConversion"/>
  </si>
  <si>
    <t>북부도로과
팀장:전성학
감독:김준범
/도로:이규석
구조:-
지반:유승주</t>
    <phoneticPr fontId="2" type="noConversion"/>
  </si>
  <si>
    <t>1차 과업 준공</t>
    <phoneticPr fontId="2" type="noConversion"/>
  </si>
  <si>
    <t>-구조물공,배수공 
-노선 자문조치계획
   작성중
-1차분 준공(11/27)</t>
    <phoneticPr fontId="2" type="noConversion"/>
  </si>
  <si>
    <t>인허가협의
공구분할</t>
    <phoneticPr fontId="2" type="noConversion"/>
  </si>
  <si>
    <t>성과품 제출및준공</t>
    <phoneticPr fontId="2" type="noConversion"/>
  </si>
  <si>
    <t>-과업 준공(11/24)
-시공사선정(반석건설)</t>
    <phoneticPr fontId="2" type="noConversion"/>
  </si>
  <si>
    <t>신설구간 발주공고 선정대기</t>
    <phoneticPr fontId="2" type="noConversion"/>
  </si>
  <si>
    <t>VE성과품 준비</t>
    <phoneticPr fontId="2" type="noConversion"/>
  </si>
  <si>
    <t>-특정공법 완료(7/29)
-실시설계 인계(8/30)
-2차분 착수(10/27)</t>
    <phoneticPr fontId="2" type="noConversion"/>
  </si>
  <si>
    <t>성과품작성
총사업비협의자료준비</t>
    <phoneticPr fontId="2" type="noConversion"/>
  </si>
  <si>
    <t>업무대기</t>
    <phoneticPr fontId="2" type="noConversion"/>
  </si>
  <si>
    <t>세도 반조원 농어촌마을하수도 및 노후하수관로정비사업 기본 및 실시설계 용역</t>
    <phoneticPr fontId="2" type="noConversion"/>
  </si>
  <si>
    <t>업무대기</t>
    <phoneticPr fontId="2" type="noConversion"/>
  </si>
  <si>
    <t>업무대기</t>
    <phoneticPr fontId="2" type="noConversion"/>
  </si>
  <si>
    <t>17.01.10</t>
    <phoneticPr fontId="2" type="noConversion"/>
  </si>
  <si>
    <t>협조</t>
    <phoneticPr fontId="2" type="noConversion"/>
  </si>
  <si>
    <t>-과업준공</t>
    <phoneticPr fontId="2" type="noConversion"/>
  </si>
  <si>
    <t>상하:주용남
구조:양상훈
지반:유승주</t>
    <phoneticPr fontId="2" type="noConversion"/>
  </si>
  <si>
    <t>당해공정금액</t>
    <phoneticPr fontId="2" type="noConversion"/>
  </si>
  <si>
    <t>공정잔액</t>
    <phoneticPr fontId="2" type="noConversion"/>
  </si>
  <si>
    <t>유곡1소하천정비사업 실시설계</t>
    <phoneticPr fontId="2" type="noConversion"/>
  </si>
  <si>
    <t>20.03.17</t>
    <phoneticPr fontId="2" type="noConversion"/>
  </si>
  <si>
    <t>-업무대기</t>
    <phoneticPr fontId="2" type="noConversion"/>
  </si>
  <si>
    <t>수자:강경호
지반:유승주</t>
    <phoneticPr fontId="2" type="noConversion"/>
  </si>
  <si>
    <t>당해공정금액</t>
    <phoneticPr fontId="2" type="noConversion"/>
  </si>
  <si>
    <t>업무대기</t>
    <phoneticPr fontId="2" type="noConversion"/>
  </si>
  <si>
    <t>업무대기</t>
    <phoneticPr fontId="2" type="noConversion"/>
  </si>
  <si>
    <t>제방안정성검토</t>
    <phoneticPr fontId="2" type="noConversion"/>
  </si>
  <si>
    <t>구조물기초 
안정성검토</t>
    <phoneticPr fontId="2" type="noConversion"/>
  </si>
  <si>
    <t>구조물기초 
안정성검토</t>
    <phoneticPr fontId="2" type="noConversion"/>
  </si>
  <si>
    <t>업무대기</t>
    <phoneticPr fontId="2" type="noConversion"/>
  </si>
  <si>
    <t>행안부
서면심의
(7/30)</t>
    <phoneticPr fontId="2" type="noConversion"/>
  </si>
  <si>
    <t>행안부심의
반영 성과품 완료</t>
    <phoneticPr fontId="2" type="noConversion"/>
  </si>
  <si>
    <t>업무대기</t>
    <phoneticPr fontId="2" type="noConversion"/>
  </si>
  <si>
    <t>업무대기</t>
    <phoneticPr fontId="2" type="noConversion"/>
  </si>
  <si>
    <t>업무대기</t>
    <phoneticPr fontId="2" type="noConversion"/>
  </si>
  <si>
    <t>기타비용</t>
    <phoneticPr fontId="2" type="noConversion"/>
  </si>
  <si>
    <t>-과업중지중</t>
    <phoneticPr fontId="2" type="noConversion"/>
  </si>
  <si>
    <t>토목:김대영
구조:양상훈
지반:유승주</t>
    <phoneticPr fontId="2" type="noConversion"/>
  </si>
  <si>
    <t>당해공정금액</t>
    <phoneticPr fontId="2" type="noConversion"/>
  </si>
  <si>
    <t>중지:
18.10.04</t>
    <phoneticPr fontId="2" type="noConversion"/>
  </si>
  <si>
    <t>업무대기</t>
    <phoneticPr fontId="2" type="noConversion"/>
  </si>
  <si>
    <t>업무대기</t>
    <phoneticPr fontId="2" type="noConversion"/>
  </si>
  <si>
    <t>왕길역, 광로2-4호선, 대로3-58호선변 보도육교(스카이파크워크)설계/인가 용역</t>
    <phoneticPr fontId="2" type="noConversion"/>
  </si>
  <si>
    <t>20.11.09</t>
    <phoneticPr fontId="2" type="noConversion"/>
  </si>
  <si>
    <t>협조</t>
    <phoneticPr fontId="2" type="noConversion"/>
  </si>
  <si>
    <t>수행</t>
    <phoneticPr fontId="2" type="noConversion"/>
  </si>
  <si>
    <t>-실시설계 (구조물 기초 안정성검토)</t>
    <phoneticPr fontId="2" type="noConversion"/>
  </si>
  <si>
    <t>토목:김대영
지반:이주희</t>
    <phoneticPr fontId="2" type="noConversion"/>
  </si>
  <si>
    <t>원사업</t>
    <phoneticPr fontId="2" type="noConversion"/>
  </si>
  <si>
    <t>기타</t>
    <phoneticPr fontId="2" type="noConversion"/>
  </si>
  <si>
    <t>지반조사 수행
(11공)</t>
    <phoneticPr fontId="2" type="noConversion"/>
  </si>
  <si>
    <t>실시설계</t>
    <phoneticPr fontId="2" type="noConversion"/>
  </si>
  <si>
    <t>업무대기</t>
    <phoneticPr fontId="2" type="noConversion"/>
  </si>
  <si>
    <t>화성(장안지구)
공동주택 신축사업
 지구단위계획 및
인허가 설계용역</t>
    <phoneticPr fontId="2" type="noConversion"/>
  </si>
  <si>
    <t>14.05.16</t>
    <phoneticPr fontId="2" type="noConversion"/>
  </si>
  <si>
    <t>-</t>
    <phoneticPr fontId="2" type="noConversion"/>
  </si>
  <si>
    <t>도시:김권수
지반:유승주</t>
    <phoneticPr fontId="2" type="noConversion"/>
  </si>
  <si>
    <t>당해공정금액</t>
    <phoneticPr fontId="2" type="noConversion"/>
  </si>
  <si>
    <t>공정잔액</t>
    <phoneticPr fontId="2" type="noConversion"/>
  </si>
  <si>
    <t>중지:</t>
    <phoneticPr fontId="2" type="noConversion"/>
  </si>
  <si>
    <t>원사업</t>
    <phoneticPr fontId="2" type="noConversion"/>
  </si>
  <si>
    <t>기타</t>
    <phoneticPr fontId="2" type="noConversion"/>
  </si>
  <si>
    <t>기타비용</t>
    <phoneticPr fontId="2" type="noConversion"/>
  </si>
  <si>
    <t>도시부</t>
    <phoneticPr fontId="2" type="noConversion"/>
  </si>
  <si>
    <t>20.12.03</t>
    <phoneticPr fontId="2" type="noConversion"/>
  </si>
  <si>
    <t>-주관부서 사업승인 접수(11/29)</t>
    <phoneticPr fontId="2" type="noConversion"/>
  </si>
  <si>
    <t>도시:유병진
지반:유승주</t>
    <phoneticPr fontId="2" type="noConversion"/>
  </si>
  <si>
    <t>시추조사(5공)수행</t>
    <phoneticPr fontId="2" type="noConversion"/>
  </si>
  <si>
    <t>실시설계</t>
    <phoneticPr fontId="2" type="noConversion"/>
  </si>
  <si>
    <t>사업승인접수용 성과품작성</t>
    <phoneticPr fontId="2" type="noConversion"/>
  </si>
  <si>
    <t>비탈면안정성 검토서 보완</t>
    <phoneticPr fontId="2" type="noConversion"/>
  </si>
  <si>
    <t>도시계획부</t>
    <phoneticPr fontId="2" type="noConversion"/>
  </si>
  <si>
    <t>천안시 성성동
34-4번지 일원
성성5지구 도시개발
사업 용역</t>
    <phoneticPr fontId="2" type="noConversion"/>
  </si>
  <si>
    <t>20.09.01</t>
    <phoneticPr fontId="2" type="noConversion"/>
  </si>
  <si>
    <t>-업무대기</t>
    <phoneticPr fontId="2" type="noConversion"/>
  </si>
  <si>
    <t>협조</t>
    <phoneticPr fontId="2" type="noConversion"/>
  </si>
  <si>
    <t>기타</t>
    <phoneticPr fontId="2" type="noConversion"/>
  </si>
  <si>
    <t>부서간업무
협의</t>
    <phoneticPr fontId="2" type="noConversion"/>
  </si>
  <si>
    <t>-소규모 환경영향평가관련 지반부야 보고서 작성</t>
    <phoneticPr fontId="2" type="noConversion"/>
  </si>
  <si>
    <t>원사업</t>
    <phoneticPr fontId="2" type="noConversion"/>
  </si>
  <si>
    <t>환경영향평가서 작성</t>
    <phoneticPr fontId="2" type="noConversion"/>
  </si>
  <si>
    <t>충남 천안시 성거읍 정촌리 73번지 일원 개발행위허가</t>
    <phoneticPr fontId="2" type="noConversion"/>
  </si>
  <si>
    <t>12.09.</t>
    <phoneticPr fontId="2" type="noConversion"/>
  </si>
  <si>
    <t>수행</t>
    <phoneticPr fontId="2" type="noConversion"/>
  </si>
  <si>
    <t>-장기 미진행 과업</t>
    <phoneticPr fontId="2" type="noConversion"/>
  </si>
  <si>
    <t>관리:간태웅
지반:유승주</t>
    <phoneticPr fontId="2" type="noConversion"/>
  </si>
  <si>
    <t>당해공정금액</t>
    <phoneticPr fontId="2" type="noConversion"/>
  </si>
  <si>
    <t>협조</t>
    <phoneticPr fontId="2" type="noConversion"/>
  </si>
  <si>
    <t>중지:</t>
    <phoneticPr fontId="2" type="noConversion"/>
  </si>
  <si>
    <t>업무대기</t>
    <phoneticPr fontId="2" type="noConversion"/>
  </si>
  <si>
    <t>근흥2 및 창기2지구 방조제 개보수사업 세부설계용역</t>
    <phoneticPr fontId="2" type="noConversion"/>
  </si>
  <si>
    <t>21.03.11</t>
    <phoneticPr fontId="2" type="noConversion"/>
  </si>
  <si>
    <t>-가도 및 가시설 안정성 검토</t>
    <phoneticPr fontId="2" type="noConversion"/>
  </si>
  <si>
    <t>항만:김철환
지반:유승주</t>
    <phoneticPr fontId="2" type="noConversion"/>
  </si>
  <si>
    <t>부서협조
대기</t>
    <phoneticPr fontId="2" type="noConversion"/>
  </si>
  <si>
    <t>가도 비탈면 안정성</t>
    <phoneticPr fontId="2" type="noConversion"/>
  </si>
  <si>
    <t>도척~실촌간 도로확장공사 감독권한대행 등 건설사업관리용역</t>
    <phoneticPr fontId="2" type="noConversion"/>
  </si>
  <si>
    <t>18.10.25</t>
    <phoneticPr fontId="2" type="noConversion"/>
  </si>
  <si>
    <t>협조</t>
    <phoneticPr fontId="2" type="noConversion"/>
  </si>
  <si>
    <t>수행</t>
    <phoneticPr fontId="2" type="noConversion"/>
  </si>
  <si>
    <t>-현장 기술지원 업무</t>
    <phoneticPr fontId="2" type="noConversion"/>
  </si>
  <si>
    <t>감리:김철수
도로:정범식
지반:최승락</t>
    <phoneticPr fontId="2" type="noConversion"/>
  </si>
  <si>
    <t>당해공정금액</t>
    <phoneticPr fontId="2" type="noConversion"/>
  </si>
  <si>
    <t>중지:</t>
    <phoneticPr fontId="2" type="noConversion"/>
  </si>
  <si>
    <t>원사업</t>
    <phoneticPr fontId="2" type="noConversion"/>
  </si>
  <si>
    <t>기타</t>
    <phoneticPr fontId="2" type="noConversion"/>
  </si>
  <si>
    <t>현장점검
(1/26)</t>
    <phoneticPr fontId="2" type="noConversion"/>
  </si>
  <si>
    <t>현장점검
(3/5, 3/25)</t>
    <phoneticPr fontId="2" type="noConversion"/>
  </si>
  <si>
    <t>현장점검
(4/1,
4/19)</t>
    <phoneticPr fontId="2" type="noConversion"/>
  </si>
  <si>
    <t>현장점검
(5/14)</t>
    <phoneticPr fontId="2" type="noConversion"/>
  </si>
  <si>
    <t>현장점검
(6/15)</t>
    <phoneticPr fontId="2" type="noConversion"/>
  </si>
  <si>
    <t>현장점검
(7/13)</t>
    <phoneticPr fontId="2" type="noConversion"/>
  </si>
  <si>
    <t>현장점검
(8/17)</t>
    <phoneticPr fontId="2" type="noConversion"/>
  </si>
  <si>
    <t>현장점검
(9/13)</t>
    <phoneticPr fontId="2" type="noConversion"/>
  </si>
  <si>
    <t>현장점검
(10/18)</t>
    <phoneticPr fontId="2" type="noConversion"/>
  </si>
  <si>
    <t>현장점검
(11/16)</t>
    <phoneticPr fontId="2" type="noConversion"/>
  </si>
  <si>
    <t>기타비용</t>
    <phoneticPr fontId="2" type="noConversion"/>
  </si>
  <si>
    <t>갈천~가수 도로확장공사 감독권한대행 등 건설사업관리용역</t>
    <phoneticPr fontId="2" type="noConversion"/>
  </si>
  <si>
    <t>19.01.31</t>
    <phoneticPr fontId="2" type="noConversion"/>
  </si>
  <si>
    <t>공정잔액</t>
    <phoneticPr fontId="2" type="noConversion"/>
  </si>
  <si>
    <t>현장점검
(1/20)</t>
    <phoneticPr fontId="2" type="noConversion"/>
  </si>
  <si>
    <t>현장점검
(3/23)</t>
    <phoneticPr fontId="2" type="noConversion"/>
  </si>
  <si>
    <t>현장점검
(4/20)</t>
    <phoneticPr fontId="2" type="noConversion"/>
  </si>
  <si>
    <t>현장점검
(5/25)</t>
    <phoneticPr fontId="2" type="noConversion"/>
  </si>
  <si>
    <t>현장점검
(6/4,6/11,6/17)</t>
    <phoneticPr fontId="2" type="noConversion"/>
  </si>
  <si>
    <t>현장점검
(7/15)</t>
    <phoneticPr fontId="2" type="noConversion"/>
  </si>
  <si>
    <t>현장점검
(8/18)</t>
    <phoneticPr fontId="2" type="noConversion"/>
  </si>
  <si>
    <t>현장점검
(9/8)</t>
    <phoneticPr fontId="2" type="noConversion"/>
  </si>
  <si>
    <t>현장점검
(10/21)</t>
    <phoneticPr fontId="2" type="noConversion"/>
  </si>
  <si>
    <t>현장점검
(11/24,
11/30)</t>
    <phoneticPr fontId="2" type="noConversion"/>
  </si>
  <si>
    <t>고창-내장IC(1공구)지방도 확포장공사 감독권한대행</t>
    <phoneticPr fontId="2" type="noConversion"/>
  </si>
  <si>
    <t>17.03.02</t>
    <phoneticPr fontId="2" type="noConversion"/>
  </si>
  <si>
    <t>감리:김철수
지반:최승락</t>
    <phoneticPr fontId="2" type="noConversion"/>
  </si>
  <si>
    <t>당해공정금액</t>
    <phoneticPr fontId="2" type="noConversion"/>
  </si>
  <si>
    <t>공정잔액</t>
    <phoneticPr fontId="2" type="noConversion"/>
  </si>
  <si>
    <t>중지:</t>
    <phoneticPr fontId="2" type="noConversion"/>
  </si>
  <si>
    <t>기타</t>
    <phoneticPr fontId="2" type="noConversion"/>
  </si>
  <si>
    <t>동절기휴무</t>
    <phoneticPr fontId="2" type="noConversion"/>
  </si>
  <si>
    <t>동절기휴무</t>
    <phoneticPr fontId="2" type="noConversion"/>
  </si>
  <si>
    <t>현장점검
(3/30)</t>
    <phoneticPr fontId="2" type="noConversion"/>
  </si>
  <si>
    <t>현장점검
(5/24
5/27)</t>
    <phoneticPr fontId="2" type="noConversion"/>
  </si>
  <si>
    <t>현장점검
(6/24)</t>
    <phoneticPr fontId="2" type="noConversion"/>
  </si>
  <si>
    <t>현장점검
(7/6,
7/21)</t>
    <phoneticPr fontId="2" type="noConversion"/>
  </si>
  <si>
    <t>현장점검
(8/24)</t>
    <phoneticPr fontId="2" type="noConversion"/>
  </si>
  <si>
    <t>현장점검
(9/14)</t>
    <phoneticPr fontId="2" type="noConversion"/>
  </si>
  <si>
    <t>현장점검
(10/19)</t>
    <phoneticPr fontId="2" type="noConversion"/>
  </si>
  <si>
    <t>현장점검
(11/23)</t>
    <phoneticPr fontId="2" type="noConversion"/>
  </si>
  <si>
    <t>음봉지구 농어촌생활용수개발사업 외 1개 통합건설사업관리용역</t>
    <phoneticPr fontId="2" type="noConversion"/>
  </si>
  <si>
    <t>18.05.14</t>
    <phoneticPr fontId="2" type="noConversion"/>
  </si>
  <si>
    <t>협조</t>
    <phoneticPr fontId="2" type="noConversion"/>
  </si>
  <si>
    <t>-현장 기술지원 업무</t>
    <phoneticPr fontId="2" type="noConversion"/>
  </si>
  <si>
    <t>협조</t>
    <phoneticPr fontId="2" type="noConversion"/>
  </si>
  <si>
    <t>현장점검
(3/9)</t>
    <phoneticPr fontId="2" type="noConversion"/>
  </si>
  <si>
    <t>현장점검
(4/9)</t>
    <phoneticPr fontId="2" type="noConversion"/>
  </si>
  <si>
    <t>현장점검
(5/26)</t>
    <phoneticPr fontId="2" type="noConversion"/>
  </si>
  <si>
    <t>현장점검
(6/30)</t>
    <phoneticPr fontId="2" type="noConversion"/>
  </si>
  <si>
    <t>현장점검
(7/30)</t>
    <phoneticPr fontId="2" type="noConversion"/>
  </si>
  <si>
    <t>현장점검
(8/26)</t>
    <phoneticPr fontId="2" type="noConversion"/>
  </si>
  <si>
    <t>현장점검
(9/30)</t>
    <phoneticPr fontId="2" type="noConversion"/>
  </si>
  <si>
    <t>현장점검
(10/6)</t>
    <phoneticPr fontId="2" type="noConversion"/>
  </si>
  <si>
    <t>현장점검
(11/10)</t>
    <phoneticPr fontId="2" type="noConversion"/>
  </si>
  <si>
    <t>기타비용</t>
    <phoneticPr fontId="2" type="noConversion"/>
  </si>
  <si>
    <t>의왕시 삼동처리분구 하수관로개량 및 분류식화 공사 통합건설사업관리용역</t>
    <phoneticPr fontId="2" type="noConversion"/>
  </si>
  <si>
    <t>20.03.</t>
    <phoneticPr fontId="2" type="noConversion"/>
  </si>
  <si>
    <t>수행</t>
    <phoneticPr fontId="2" type="noConversion"/>
  </si>
  <si>
    <t>감리:김철수
지반:박정기</t>
    <phoneticPr fontId="2" type="noConversion"/>
  </si>
  <si>
    <t>중지:</t>
    <phoneticPr fontId="2" type="noConversion"/>
  </si>
  <si>
    <t>원사업</t>
    <phoneticPr fontId="2" type="noConversion"/>
  </si>
  <si>
    <t>기타</t>
    <phoneticPr fontId="2" type="noConversion"/>
  </si>
  <si>
    <t>현장점검
(3/25)</t>
    <phoneticPr fontId="2" type="noConversion"/>
  </si>
  <si>
    <t>현장점검
(4/28)</t>
    <phoneticPr fontId="2" type="noConversion"/>
  </si>
  <si>
    <t>현장점검
(5/27)</t>
    <phoneticPr fontId="2" type="noConversion"/>
  </si>
  <si>
    <t>현장점검
(6/28)</t>
    <phoneticPr fontId="2" type="noConversion"/>
  </si>
  <si>
    <t>현장점검
(7/21)</t>
    <phoneticPr fontId="2" type="noConversion"/>
  </si>
  <si>
    <t>기성검사
(8/31)</t>
    <phoneticPr fontId="2" type="noConversion"/>
  </si>
  <si>
    <t>현장점검
(9/9)</t>
    <phoneticPr fontId="2" type="noConversion"/>
  </si>
  <si>
    <t>업무대기</t>
    <phoneticPr fontId="2" type="noConversion"/>
  </si>
  <si>
    <t>현장점검
(11/25)</t>
    <phoneticPr fontId="2" type="noConversion"/>
  </si>
  <si>
    <t>기타비용</t>
    <phoneticPr fontId="2" type="noConversion"/>
  </si>
  <si>
    <t>충청내륙고속화(제4공구) 도로건설공사 건설사업관리용역</t>
    <phoneticPr fontId="2" type="noConversion"/>
  </si>
  <si>
    <t>19.12.13</t>
    <phoneticPr fontId="2" type="noConversion"/>
  </si>
  <si>
    <t>수행</t>
    <phoneticPr fontId="2" type="noConversion"/>
  </si>
  <si>
    <t>감리:김철수
구조:윤남영
지반:최승락</t>
    <phoneticPr fontId="2" type="noConversion"/>
  </si>
  <si>
    <t>협조</t>
    <phoneticPr fontId="2" type="noConversion"/>
  </si>
  <si>
    <t>현장점검
(3/18)</t>
    <phoneticPr fontId="2" type="noConversion"/>
  </si>
  <si>
    <t>현장점검
(4/15)</t>
    <phoneticPr fontId="2" type="noConversion"/>
  </si>
  <si>
    <t>현장점검
(6/22)</t>
    <phoneticPr fontId="2" type="noConversion"/>
  </si>
  <si>
    <t>현장점검
(7/23)</t>
    <phoneticPr fontId="2" type="noConversion"/>
  </si>
  <si>
    <t>원박교 재설계 도서검토</t>
    <phoneticPr fontId="2" type="noConversion"/>
  </si>
  <si>
    <t>가설방음벽검토,
현장점검
(10/15)</t>
    <phoneticPr fontId="2" type="noConversion"/>
  </si>
  <si>
    <t>현장점검
(11/18)</t>
    <phoneticPr fontId="2" type="noConversion"/>
  </si>
  <si>
    <t>백화산 전망교량 
설치사업 비상주 
부분감리용역
(지반팀)</t>
    <phoneticPr fontId="2" type="noConversion"/>
  </si>
  <si>
    <t>21.8.31</t>
    <phoneticPr fontId="2" type="noConversion"/>
  </si>
  <si>
    <t>-현장점검(11/26)
-현장 기술지원 업무</t>
    <phoneticPr fontId="2" type="noConversion"/>
  </si>
  <si>
    <t>감리:김철수
지반:최승락</t>
    <phoneticPr fontId="2" type="noConversion"/>
  </si>
  <si>
    <t>당해공정금액</t>
    <phoneticPr fontId="2" type="noConversion"/>
  </si>
  <si>
    <t>중지:</t>
    <phoneticPr fontId="2" type="noConversion"/>
  </si>
  <si>
    <t>원사업</t>
    <phoneticPr fontId="2" type="noConversion"/>
  </si>
  <si>
    <t>기타</t>
    <phoneticPr fontId="2" type="noConversion"/>
  </si>
  <si>
    <t>계약추진</t>
    <phoneticPr fontId="2" type="noConversion"/>
  </si>
  <si>
    <t>부서협조 및
기존도서
검토</t>
    <phoneticPr fontId="2" type="noConversion"/>
  </si>
  <si>
    <t>현장점검
(10/27)</t>
    <phoneticPr fontId="2" type="noConversion"/>
  </si>
  <si>
    <t>현장점검
(11/26)</t>
    <phoneticPr fontId="2" type="noConversion"/>
  </si>
  <si>
    <t>현장점검
(11/26)</t>
    <phoneticPr fontId="2" type="noConversion"/>
  </si>
  <si>
    <t>기타비용</t>
    <phoneticPr fontId="2" type="noConversion"/>
  </si>
  <si>
    <t>지방하천(대학천,
제민천) 정비사업
통합건설사업관리용역</t>
    <phoneticPr fontId="2" type="noConversion"/>
  </si>
  <si>
    <t>20.08.24</t>
    <phoneticPr fontId="2" type="noConversion"/>
  </si>
  <si>
    <t>감리:김철수
구조:박철근</t>
    <phoneticPr fontId="2" type="noConversion"/>
  </si>
  <si>
    <t>중지:</t>
    <phoneticPr fontId="2" type="noConversion"/>
  </si>
  <si>
    <t>원사업</t>
    <phoneticPr fontId="2" type="noConversion"/>
  </si>
  <si>
    <t>기타</t>
    <phoneticPr fontId="2" type="noConversion"/>
  </si>
  <si>
    <t>설계사 
조치결과 검토</t>
    <phoneticPr fontId="2" type="noConversion"/>
  </si>
  <si>
    <t>현장점검
(3/25)</t>
    <phoneticPr fontId="2" type="noConversion"/>
  </si>
  <si>
    <t>설계사 
조치결과서 검토</t>
    <phoneticPr fontId="2" type="noConversion"/>
  </si>
  <si>
    <t>제민천
설계도서
검토</t>
    <phoneticPr fontId="2" type="noConversion"/>
  </si>
  <si>
    <t>대학천
설계변경
검토</t>
    <phoneticPr fontId="2" type="noConversion"/>
  </si>
  <si>
    <t>현장점검
(8/12)</t>
    <phoneticPr fontId="2" type="noConversion"/>
  </si>
  <si>
    <t>대학천 
교량변경
설계 검토</t>
    <phoneticPr fontId="2" type="noConversion"/>
  </si>
  <si>
    <t>제민천 
조치결과서 검토</t>
    <phoneticPr fontId="2" type="noConversion"/>
  </si>
  <si>
    <t>설계변경
자료검토
현장점검
(11/11)</t>
    <phoneticPr fontId="2" type="noConversion"/>
  </si>
  <si>
    <t>기타비용</t>
    <phoneticPr fontId="2" type="noConversion"/>
  </si>
  <si>
    <t>안성 공도~양성(1)간 도로확포장공사
건설사업관리 용역</t>
    <phoneticPr fontId="2" type="noConversion"/>
  </si>
  <si>
    <t>20.12.18</t>
    <phoneticPr fontId="2" type="noConversion"/>
  </si>
  <si>
    <t>협조</t>
    <phoneticPr fontId="2" type="noConversion"/>
  </si>
  <si>
    <t>수행</t>
    <phoneticPr fontId="2" type="noConversion"/>
  </si>
  <si>
    <t>감리:김철수
구조:윤남영</t>
    <phoneticPr fontId="2" type="noConversion"/>
  </si>
  <si>
    <t>당해공정금액</t>
    <phoneticPr fontId="2" type="noConversion"/>
  </si>
  <si>
    <t>공정잔액</t>
    <phoneticPr fontId="2" type="noConversion"/>
  </si>
  <si>
    <t>성과품검토</t>
    <phoneticPr fontId="2" type="noConversion"/>
  </si>
  <si>
    <t>현장점검
(6/16)</t>
    <phoneticPr fontId="2" type="noConversion"/>
  </si>
  <si>
    <t>현장점검
(7/7)</t>
    <phoneticPr fontId="2" type="noConversion"/>
  </si>
  <si>
    <t>현장점검
(8/18)</t>
    <phoneticPr fontId="2" type="noConversion"/>
  </si>
  <si>
    <t>업무대기</t>
    <phoneticPr fontId="2" type="noConversion"/>
  </si>
  <si>
    <t>만수육교 
상부관련 
검토의견서
 작성</t>
    <phoneticPr fontId="2" type="noConversion"/>
  </si>
  <si>
    <t>보령 창동정수장
개량공사 건설사업
관리용역</t>
    <phoneticPr fontId="2" type="noConversion"/>
  </si>
  <si>
    <t>20.12.09</t>
    <phoneticPr fontId="2" type="noConversion"/>
  </si>
  <si>
    <t>감리:김철수
구조:박철근</t>
    <phoneticPr fontId="2" type="noConversion"/>
  </si>
  <si>
    <t>현장점검
(6/29)</t>
    <phoneticPr fontId="2" type="noConversion"/>
  </si>
  <si>
    <t>현장점검
(7/27)</t>
    <phoneticPr fontId="2" type="noConversion"/>
  </si>
  <si>
    <t>현장점검
(8/25)</t>
    <phoneticPr fontId="2" type="noConversion"/>
  </si>
  <si>
    <t>현장점검
(9/09)</t>
    <phoneticPr fontId="2" type="noConversion"/>
  </si>
  <si>
    <t>현장점검
(10/21)</t>
    <phoneticPr fontId="2" type="noConversion"/>
  </si>
  <si>
    <t>가설구조물 
검토의견서 
작성</t>
    <phoneticPr fontId="2" type="noConversion"/>
  </si>
  <si>
    <t>국가하천 섬진강 
유지보수사업 
통합건설관리용역</t>
    <phoneticPr fontId="2" type="noConversion"/>
  </si>
  <si>
    <t>21.05.25</t>
    <phoneticPr fontId="2" type="noConversion"/>
  </si>
  <si>
    <t>순창무수리 인도교
 설계검토</t>
    <phoneticPr fontId="2" type="noConversion"/>
  </si>
  <si>
    <t>인도교 
설계변경 
검토</t>
    <phoneticPr fontId="2" type="noConversion"/>
  </si>
  <si>
    <t>구조물 
성과품 
검토</t>
    <phoneticPr fontId="2" type="noConversion"/>
  </si>
  <si>
    <t>백화산 전망교량 
설치사업 비상주 
부분감리용역
(구조팀)</t>
    <phoneticPr fontId="2" type="noConversion"/>
  </si>
  <si>
    <t>21.08.31</t>
    <phoneticPr fontId="2" type="noConversion"/>
  </si>
  <si>
    <t>-현장 기술지원 업무
 -발주청 요청으로 하부
  기초 성과품 작성</t>
    <phoneticPr fontId="2" type="noConversion"/>
  </si>
  <si>
    <t>중지:</t>
    <phoneticPr fontId="2" type="noConversion"/>
  </si>
  <si>
    <t>현장점검
(10/27)</t>
    <phoneticPr fontId="2" type="noConversion"/>
  </si>
  <si>
    <t>금산군 4개소 마을하수도 및 금성관로 토질조사</t>
    <phoneticPr fontId="2" type="noConversion"/>
  </si>
  <si>
    <t>계약</t>
    <phoneticPr fontId="2" type="noConversion"/>
  </si>
  <si>
    <t>-보광,상곡추가조사협의중
  (2022년 1월중 계획
   확정 예정)</t>
    <phoneticPr fontId="2" type="noConversion"/>
  </si>
  <si>
    <t>한국환경공단
계장:정해광
주임:옥주희
/지반:유승주</t>
    <phoneticPr fontId="2" type="noConversion"/>
  </si>
  <si>
    <t>중지</t>
    <phoneticPr fontId="2" type="noConversion"/>
  </si>
  <si>
    <t>외주 등</t>
    <phoneticPr fontId="2" type="noConversion"/>
  </si>
  <si>
    <t>업무대기</t>
    <phoneticPr fontId="2" type="noConversion"/>
  </si>
  <si>
    <t>잔액</t>
    <phoneticPr fontId="2" type="noConversion"/>
  </si>
  <si>
    <t>국도36호선 해남절토사면1 등 7개소 정밀안전점검용역</t>
    <phoneticPr fontId="2" type="noConversion"/>
  </si>
  <si>
    <t>21.03.30</t>
    <phoneticPr fontId="2" type="noConversion"/>
  </si>
  <si>
    <t>-정밀안전 보고서 보완</t>
    <phoneticPr fontId="2" type="noConversion"/>
  </si>
  <si>
    <t>논산국토관리사무소:박선근
/지반:이주희</t>
    <phoneticPr fontId="2" type="noConversion"/>
  </si>
  <si>
    <t>-</t>
    <phoneticPr fontId="2" type="noConversion"/>
  </si>
  <si>
    <t>착수계제출</t>
    <phoneticPr fontId="2" type="noConversion"/>
  </si>
  <si>
    <t>현장조사 및 기초자료 검토</t>
    <phoneticPr fontId="2" type="noConversion"/>
  </si>
  <si>
    <t>보고서
초안 작성</t>
    <phoneticPr fontId="2" type="noConversion"/>
  </si>
  <si>
    <t>기성신청
(6/23)</t>
    <phoneticPr fontId="2" type="noConversion"/>
  </si>
  <si>
    <t>현장조사
(7/28)</t>
    <phoneticPr fontId="2" type="noConversion"/>
  </si>
  <si>
    <t>보고서작성</t>
    <phoneticPr fontId="2" type="noConversion"/>
  </si>
  <si>
    <t>보고서
작성</t>
    <phoneticPr fontId="2" type="noConversion"/>
  </si>
  <si>
    <t>보고서
보완</t>
    <phoneticPr fontId="2" type="noConversion"/>
  </si>
  <si>
    <t>유량조절밸브실 흙막이가시설 검토</t>
    <phoneticPr fontId="2" type="noConversion"/>
  </si>
  <si>
    <t>21.06.30</t>
    <phoneticPr fontId="2" type="noConversion"/>
  </si>
  <si>
    <t>-과업준공
- 11/12 수금완료</t>
    <phoneticPr fontId="2" type="noConversion"/>
  </si>
  <si>
    <t>우석건설
/지반:이주희</t>
    <phoneticPr fontId="2" type="noConversion"/>
  </si>
  <si>
    <t>당해공정금액</t>
    <phoneticPr fontId="2" type="noConversion"/>
  </si>
  <si>
    <t>잔액</t>
    <phoneticPr fontId="2" type="noConversion"/>
  </si>
  <si>
    <t>계약진행
준공금청구</t>
    <phoneticPr fontId="2" type="noConversion"/>
  </si>
  <si>
    <t>준공대기</t>
    <phoneticPr fontId="2" type="noConversion"/>
  </si>
  <si>
    <t>과업준공</t>
    <phoneticPr fontId="2" type="noConversion"/>
  </si>
  <si>
    <t>21.08.27</t>
    <phoneticPr fontId="2" type="noConversion"/>
  </si>
  <si>
    <t>-준공대기</t>
    <phoneticPr fontId="2" type="noConversion"/>
  </si>
  <si>
    <t>청우엔지니어링/박진한
/지반:이주희</t>
    <phoneticPr fontId="2" type="noConversion"/>
  </si>
  <si>
    <t>당해공정금액</t>
    <phoneticPr fontId="2" type="noConversion"/>
  </si>
  <si>
    <t>부서협조</t>
    <phoneticPr fontId="2" type="noConversion"/>
  </si>
  <si>
    <t>계약협의</t>
    <phoneticPr fontId="2" type="noConversion"/>
  </si>
  <si>
    <t>계약진행</t>
    <phoneticPr fontId="2" type="noConversion"/>
  </si>
  <si>
    <t>2차 현장자문(10/25)</t>
    <phoneticPr fontId="2" type="noConversion"/>
  </si>
  <si>
    <t>12월</t>
    <phoneticPr fontId="2" type="noConversion"/>
  </si>
  <si>
    <t>총사업비
기재부협의</t>
    <phoneticPr fontId="2" type="noConversion"/>
  </si>
  <si>
    <t>실시설계진행</t>
    <phoneticPr fontId="2" type="noConversion"/>
  </si>
  <si>
    <t>은현~봉암 도로확포장공사 봉암교 설계변경 용역
(지반조사 내용검토 및 지반 지지력 검토)</t>
    <phoneticPr fontId="2" type="noConversion"/>
  </si>
  <si>
    <r>
      <t xml:space="preserve">주요보고사항
</t>
    </r>
    <r>
      <rPr>
        <sz val="10"/>
        <rFont val="HY신명조"/>
        <family val="1"/>
        <charset val="129"/>
      </rPr>
      <t>(공정-수금 차액)</t>
    </r>
    <phoneticPr fontId="2" type="noConversion"/>
  </si>
  <si>
    <r>
      <t xml:space="preserve">`-마무리자문, 경관심의
   조치결과 제출(12/03)
</t>
    </r>
    <r>
      <rPr>
        <b/>
        <sz val="10"/>
        <rFont val="HY신명조"/>
        <family val="1"/>
        <charset val="129"/>
      </rPr>
      <t xml:space="preserve"> -총사업비 협의
    (기재부)(12/06)</t>
    </r>
    <r>
      <rPr>
        <sz val="10"/>
        <rFont val="HY신명조"/>
        <family val="1"/>
        <charset val="129"/>
      </rPr>
      <t xml:space="preserve">
 -과업중지(9/13)</t>
    </r>
    <phoneticPr fontId="2" type="noConversion"/>
  </si>
  <si>
    <t>012016-02</t>
    <phoneticPr fontId="2" type="noConversion"/>
  </si>
  <si>
    <t>012017-07</t>
    <phoneticPr fontId="2" type="noConversion"/>
  </si>
  <si>
    <t>012017-14</t>
    <phoneticPr fontId="2" type="noConversion"/>
  </si>
  <si>
    <t>012017-16</t>
    <phoneticPr fontId="2" type="noConversion"/>
  </si>
  <si>
    <t>012018-05</t>
    <phoneticPr fontId="2" type="noConversion"/>
  </si>
  <si>
    <t>012018-10</t>
    <phoneticPr fontId="2" type="noConversion"/>
  </si>
  <si>
    <t>012018-12</t>
    <phoneticPr fontId="2" type="noConversion"/>
  </si>
  <si>
    <t>013011-05</t>
    <phoneticPr fontId="2" type="noConversion"/>
  </si>
  <si>
    <t>012019-05</t>
    <phoneticPr fontId="2" type="noConversion"/>
  </si>
  <si>
    <t>012019-07</t>
    <phoneticPr fontId="2" type="noConversion"/>
  </si>
  <si>
    <t>012019-11</t>
    <phoneticPr fontId="2" type="noConversion"/>
  </si>
  <si>
    <t>012019-12</t>
    <phoneticPr fontId="2" type="noConversion"/>
  </si>
  <si>
    <t>012019-13</t>
    <phoneticPr fontId="2" type="noConversion"/>
  </si>
  <si>
    <t>012020-01</t>
    <phoneticPr fontId="2" type="noConversion"/>
  </si>
  <si>
    <t>012020-07</t>
    <phoneticPr fontId="2" type="noConversion"/>
  </si>
  <si>
    <t>012020-10</t>
    <phoneticPr fontId="2" type="noConversion"/>
  </si>
  <si>
    <t>012021-01</t>
    <phoneticPr fontId="2" type="noConversion"/>
  </si>
  <si>
    <t>012021-03</t>
    <phoneticPr fontId="2" type="noConversion"/>
  </si>
  <si>
    <t>012021-04</t>
    <phoneticPr fontId="2" type="noConversion"/>
  </si>
  <si>
    <t>032018-02</t>
    <phoneticPr fontId="2" type="noConversion"/>
  </si>
  <si>
    <t>032021-01</t>
    <phoneticPr fontId="2" type="noConversion"/>
  </si>
  <si>
    <t>032021-02</t>
    <phoneticPr fontId="2" type="noConversion"/>
  </si>
  <si>
    <t>032021-04</t>
    <phoneticPr fontId="2" type="noConversion"/>
  </si>
  <si>
    <t>112020-03</t>
    <phoneticPr fontId="2" type="noConversion"/>
  </si>
  <si>
    <t>102017-01</t>
    <phoneticPr fontId="2" type="noConversion"/>
  </si>
  <si>
    <t>092015-05</t>
    <phoneticPr fontId="2" type="noConversion"/>
  </si>
  <si>
    <t>092020-04</t>
    <phoneticPr fontId="2" type="noConversion"/>
  </si>
  <si>
    <t>092020-12</t>
    <phoneticPr fontId="2" type="noConversion"/>
  </si>
  <si>
    <t>042014-05</t>
    <phoneticPr fontId="2" type="noConversion"/>
  </si>
  <si>
    <t>042020-16</t>
    <phoneticPr fontId="2" type="noConversion"/>
  </si>
  <si>
    <t>042020-13</t>
    <phoneticPr fontId="2" type="noConversion"/>
  </si>
  <si>
    <t>042020-12</t>
    <phoneticPr fontId="2" type="noConversion"/>
  </si>
  <si>
    <t>012012-31</t>
    <phoneticPr fontId="2" type="noConversion"/>
  </si>
  <si>
    <t>172021-12</t>
    <phoneticPr fontId="2" type="noConversion"/>
  </si>
  <si>
    <t>072019-02</t>
    <phoneticPr fontId="2" type="noConversion"/>
  </si>
  <si>
    <t>072019-01</t>
    <phoneticPr fontId="2" type="noConversion"/>
  </si>
  <si>
    <t>072019-08</t>
    <phoneticPr fontId="2" type="noConversion"/>
  </si>
  <si>
    <t>072017-01</t>
    <phoneticPr fontId="2" type="noConversion"/>
  </si>
  <si>
    <t>072018-05</t>
    <phoneticPr fontId="2" type="noConversion"/>
  </si>
  <si>
    <t>072020-02</t>
    <phoneticPr fontId="2" type="noConversion"/>
  </si>
  <si>
    <t>072019-07</t>
    <phoneticPr fontId="2" type="noConversion"/>
  </si>
  <si>
    <t>072020-05</t>
    <phoneticPr fontId="2" type="noConversion"/>
  </si>
  <si>
    <t>072020-09</t>
    <phoneticPr fontId="2" type="noConversion"/>
  </si>
  <si>
    <t>072020-08</t>
    <phoneticPr fontId="2" type="noConversion"/>
  </si>
  <si>
    <t>072021-03</t>
    <phoneticPr fontId="2" type="noConversion"/>
  </si>
  <si>
    <t>072021-06</t>
    <phoneticPr fontId="2" type="noConversion"/>
  </si>
  <si>
    <t>아산시 음봉면 동암리 아산 제2디지털
일반산업단지
조사설계 용역</t>
    <phoneticPr fontId="2" type="noConversion"/>
  </si>
  <si>
    <t>천안시 부대동 408번지 일원 성성6지구 도시개발사업 용역</t>
    <phoneticPr fontId="2" type="noConversion"/>
  </si>
  <si>
    <t>1월</t>
    <phoneticPr fontId="2" type="noConversion"/>
  </si>
  <si>
    <t>2월</t>
    <phoneticPr fontId="2" type="noConversion"/>
  </si>
  <si>
    <t>3월</t>
  </si>
  <si>
    <t>4월</t>
  </si>
  <si>
    <t>5월</t>
  </si>
  <si>
    <t>6월</t>
  </si>
  <si>
    <t>7월</t>
  </si>
  <si>
    <t>8월</t>
  </si>
  <si>
    <t>9월</t>
  </si>
  <si>
    <t>10월</t>
  </si>
  <si>
    <t>11월</t>
  </si>
  <si>
    <t>12월</t>
  </si>
  <si>
    <t>1월</t>
    <phoneticPr fontId="2" type="noConversion"/>
  </si>
  <si>
    <t>2월</t>
    <phoneticPr fontId="2" type="noConversion"/>
  </si>
  <si>
    <t>부서명</t>
    <phoneticPr fontId="2" type="noConversion"/>
  </si>
  <si>
    <t>지반부</t>
    <phoneticPr fontId="2" type="noConversion"/>
  </si>
  <si>
    <t>협조ID</t>
    <phoneticPr fontId="2" type="noConversion"/>
  </si>
  <si>
    <t>구조부</t>
    <phoneticPr fontId="2" type="noConversion"/>
  </si>
  <si>
    <t>112021-11</t>
    <phoneticPr fontId="2" type="noConversion"/>
  </si>
  <si>
    <t>지반부</t>
    <phoneticPr fontId="2" type="noConversion"/>
  </si>
  <si>
    <t>지반부</t>
    <phoneticPr fontId="2" type="noConversion"/>
  </si>
  <si>
    <t>미입력</t>
    <phoneticPr fontId="2" type="noConversion"/>
  </si>
  <si>
    <t>급액 상이</t>
    <phoneticPr fontId="2" type="noConversion"/>
  </si>
  <si>
    <t>금액 상이</t>
    <phoneticPr fontId="2" type="noConversion"/>
  </si>
  <si>
    <t>도로부</t>
    <phoneticPr fontId="2" type="noConversion"/>
  </si>
  <si>
    <t>금액 상이(도로+지반)</t>
    <phoneticPr fontId="2" type="noConversion"/>
  </si>
  <si>
    <t>감리:김철수
구조:박철근</t>
    <phoneticPr fontId="2" type="noConversion"/>
  </si>
  <si>
    <t>관리부</t>
    <phoneticPr fontId="2" type="noConversion"/>
  </si>
  <si>
    <t>월 간  공 정  보 고 ( 도시계획부 )</t>
    <phoneticPr fontId="2" type="noConversion"/>
  </si>
  <si>
    <t>(단위: 백만원)</t>
    <phoneticPr fontId="2" type="noConversion"/>
  </si>
  <si>
    <t>순서</t>
    <phoneticPr fontId="2" type="noConversion"/>
  </si>
  <si>
    <t>사 업 명 [발주처]</t>
    <phoneticPr fontId="2" type="noConversion"/>
  </si>
  <si>
    <t>금 액 현 황</t>
    <phoneticPr fontId="2" type="noConversion"/>
  </si>
  <si>
    <r>
      <t xml:space="preserve">주요보고사항
</t>
    </r>
    <r>
      <rPr>
        <sz val="9"/>
        <rFont val="HY신명조"/>
        <family val="1"/>
        <charset val="129"/>
      </rPr>
      <t>(공정-수금 차액)</t>
    </r>
    <phoneticPr fontId="2" type="noConversion"/>
  </si>
  <si>
    <t>화성(장안지구)공동주택 신축사업 지구단위계획 및 인허가 설계</t>
    <phoneticPr fontId="2" type="noConversion"/>
  </si>
  <si>
    <t>사업승인완료</t>
    <phoneticPr fontId="2" type="noConversion"/>
  </si>
  <si>
    <t>박승철회장/김권수이사</t>
    <phoneticPr fontId="2" type="noConversion"/>
  </si>
  <si>
    <t>토목</t>
    <phoneticPr fontId="2" type="noConversion"/>
  </si>
  <si>
    <t>단지</t>
    <phoneticPr fontId="2" type="noConversion"/>
  </si>
  <si>
    <t>지반(외주)</t>
    <phoneticPr fontId="2" type="noConversion"/>
  </si>
  <si>
    <t>수자원</t>
    <phoneticPr fontId="2" type="noConversion"/>
  </si>
  <si>
    <t>환경부</t>
    <phoneticPr fontId="2" type="noConversion"/>
  </si>
  <si>
    <t>수금</t>
    <phoneticPr fontId="2" type="noConversion"/>
  </si>
  <si>
    <t>협조</t>
    <phoneticPr fontId="2" type="noConversion"/>
  </si>
  <si>
    <t>수금협의중</t>
    <phoneticPr fontId="2" type="noConversion"/>
  </si>
  <si>
    <t>외주처리</t>
    <phoneticPr fontId="2" type="noConversion"/>
  </si>
  <si>
    <t>PM사업무지원</t>
    <phoneticPr fontId="2" type="noConversion"/>
  </si>
  <si>
    <t>화성시협의</t>
    <phoneticPr fontId="2" type="noConversion"/>
  </si>
  <si>
    <t>사업승인협의</t>
    <phoneticPr fontId="2" type="noConversion"/>
  </si>
  <si>
    <t>변경검토</t>
    <phoneticPr fontId="2" type="noConversion"/>
  </si>
  <si>
    <t>대기중</t>
    <phoneticPr fontId="2" type="noConversion"/>
  </si>
  <si>
    <t>수금대기중</t>
    <phoneticPr fontId="2" type="noConversion"/>
  </si>
  <si>
    <t>042018-01</t>
    <phoneticPr fontId="2" type="noConversion"/>
  </si>
  <si>
    <t>안성 강문일반산업단지 개발사업 변경용역</t>
    <phoneticPr fontId="2" type="noConversion"/>
  </si>
  <si>
    <t>18.01.</t>
    <phoneticPr fontId="2" type="noConversion"/>
  </si>
  <si>
    <t>김국운대표/
이용희과장</t>
    <phoneticPr fontId="2" type="noConversion"/>
  </si>
  <si>
    <t>당해공정금액</t>
    <phoneticPr fontId="2" type="noConversion"/>
  </si>
  <si>
    <t>공정잔액</t>
    <phoneticPr fontId="2" type="noConversion"/>
  </si>
  <si>
    <t>계약</t>
    <phoneticPr fontId="2" type="noConversion"/>
  </si>
  <si>
    <t>교통</t>
    <phoneticPr fontId="2" type="noConversion"/>
  </si>
  <si>
    <t>중지:</t>
    <phoneticPr fontId="2" type="noConversion"/>
  </si>
  <si>
    <t>잔액</t>
    <phoneticPr fontId="2" type="noConversion"/>
  </si>
  <si>
    <t>외주 등</t>
    <phoneticPr fontId="2" type="noConversion"/>
  </si>
  <si>
    <t>변경검토</t>
    <phoneticPr fontId="2" type="noConversion"/>
  </si>
  <si>
    <t>변경신청</t>
    <phoneticPr fontId="2" type="noConversion"/>
  </si>
  <si>
    <t>대기중</t>
    <phoneticPr fontId="2" type="noConversion"/>
  </si>
  <si>
    <t>변경서류작성</t>
    <phoneticPr fontId="2" type="noConversion"/>
  </si>
  <si>
    <t>사업시행자변경</t>
    <phoneticPr fontId="2" type="noConversion"/>
  </si>
  <si>
    <t>기타비용</t>
    <phoneticPr fontId="2" type="noConversion"/>
  </si>
  <si>
    <t>잔여:</t>
    <phoneticPr fontId="2" type="noConversion"/>
  </si>
  <si>
    <t>수금율</t>
    <phoneticPr fontId="2" type="noConversion"/>
  </si>
  <si>
    <t>수행율</t>
    <phoneticPr fontId="2" type="noConversion"/>
  </si>
  <si>
    <t>합  계</t>
    <phoneticPr fontId="2" type="noConversion"/>
  </si>
  <si>
    <t>042018-09</t>
    <phoneticPr fontId="2" type="noConversion"/>
  </si>
  <si>
    <t>인주 일반산업단지(3공구) 지구외 사업 실시설계용역</t>
    <phoneticPr fontId="2" type="noConversion"/>
  </si>
  <si>
    <t>18.06.21</t>
    <phoneticPr fontId="2" type="noConversion"/>
  </si>
  <si>
    <t>수행</t>
    <phoneticPr fontId="2" type="noConversion"/>
  </si>
  <si>
    <t>실행검토</t>
    <phoneticPr fontId="2" type="noConversion"/>
  </si>
  <si>
    <t>김정태부장/
유병진부장</t>
    <phoneticPr fontId="2" type="noConversion"/>
  </si>
  <si>
    <t>공공하수처리시설 실시설계</t>
    <phoneticPr fontId="2" type="noConversion"/>
  </si>
  <si>
    <t>걸매리 하수관로 정비사업</t>
    <phoneticPr fontId="2" type="noConversion"/>
  </si>
  <si>
    <t>대청3 광역상수관로 이설</t>
    <phoneticPr fontId="2" type="noConversion"/>
  </si>
  <si>
    <t>공업용수 배수지 증설 실시설계</t>
    <phoneticPr fontId="2" type="noConversion"/>
  </si>
  <si>
    <t>아산시 하수도정비기본계획</t>
    <phoneticPr fontId="2" type="noConversion"/>
  </si>
  <si>
    <t>환경영향평가</t>
    <phoneticPr fontId="2" type="noConversion"/>
  </si>
  <si>
    <t>타당성조사</t>
    <phoneticPr fontId="2" type="noConversion"/>
  </si>
  <si>
    <t>변경계약</t>
    <phoneticPr fontId="2" type="noConversion"/>
  </si>
  <si>
    <t>산업단지변경</t>
    <phoneticPr fontId="2" type="noConversion"/>
  </si>
  <si>
    <t>산업단지 변경검토</t>
    <phoneticPr fontId="2" type="noConversion"/>
  </si>
  <si>
    <t>변경검토중</t>
    <phoneticPr fontId="2" type="noConversion"/>
  </si>
  <si>
    <t>업종변경검토</t>
    <phoneticPr fontId="2" type="noConversion"/>
  </si>
  <si>
    <t>사업추진방안협의</t>
    <phoneticPr fontId="2" type="noConversion"/>
  </si>
  <si>
    <t>042018-13</t>
    <phoneticPr fontId="2" type="noConversion"/>
  </si>
  <si>
    <t>아산 북수리 공공지원민간임대주택사업 지구단위계획용역</t>
    <phoneticPr fontId="2" type="noConversion"/>
  </si>
  <si>
    <t>18.09.18</t>
    <phoneticPr fontId="2" type="noConversion"/>
  </si>
  <si>
    <t>김정훈팀장/
신민호부장</t>
    <phoneticPr fontId="2" type="noConversion"/>
  </si>
  <si>
    <t>단지</t>
    <phoneticPr fontId="2" type="noConversion"/>
  </si>
  <si>
    <t>환경</t>
    <phoneticPr fontId="2" type="noConversion"/>
  </si>
  <si>
    <t>중지:</t>
    <phoneticPr fontId="2" type="noConversion"/>
  </si>
  <si>
    <t>잔액</t>
    <phoneticPr fontId="2" type="noConversion"/>
  </si>
  <si>
    <t>외주 등</t>
    <phoneticPr fontId="2" type="noConversion"/>
  </si>
  <si>
    <t>승인</t>
    <phoneticPr fontId="2" type="noConversion"/>
  </si>
  <si>
    <t>변경신청(2차)</t>
    <phoneticPr fontId="2" type="noConversion"/>
  </si>
  <si>
    <t>주택과협의</t>
    <phoneticPr fontId="2" type="noConversion"/>
  </si>
  <si>
    <t>시행자업무지원</t>
    <phoneticPr fontId="2" type="noConversion"/>
  </si>
  <si>
    <t>대기중</t>
    <phoneticPr fontId="2" type="noConversion"/>
  </si>
  <si>
    <t>결정고시</t>
    <phoneticPr fontId="2" type="noConversion"/>
  </si>
  <si>
    <t>기타비용</t>
    <phoneticPr fontId="2" type="noConversion"/>
  </si>
  <si>
    <t>042019-06</t>
    <phoneticPr fontId="2" type="noConversion"/>
  </si>
  <si>
    <t>원주 동서울레스피아 지구단위계획 결정(변경), 기본 및 실시설계</t>
    <phoneticPr fontId="2" type="noConversion"/>
  </si>
  <si>
    <t>계약체결일</t>
    <phoneticPr fontId="2" type="noConversion"/>
  </si>
  <si>
    <t>계약</t>
    <phoneticPr fontId="2" type="noConversion"/>
  </si>
  <si>
    <t>수행</t>
    <phoneticPr fontId="2" type="noConversion"/>
  </si>
  <si>
    <t>수금협의중</t>
    <phoneticPr fontId="2" type="noConversion"/>
  </si>
  <si>
    <t>신민호부장</t>
    <phoneticPr fontId="2" type="noConversion"/>
  </si>
  <si>
    <t>당해공정금액</t>
    <phoneticPr fontId="2" type="noConversion"/>
  </si>
  <si>
    <t>공정잔액</t>
    <phoneticPr fontId="2" type="noConversion"/>
  </si>
  <si>
    <t>부서협조</t>
    <phoneticPr fontId="2" type="noConversion"/>
  </si>
  <si>
    <t>교통</t>
    <phoneticPr fontId="2" type="noConversion"/>
  </si>
  <si>
    <t>재해영향평가</t>
    <phoneticPr fontId="2" type="noConversion"/>
  </si>
  <si>
    <t>실시계획인가</t>
    <phoneticPr fontId="2" type="noConversion"/>
  </si>
  <si>
    <t>자문준비</t>
    <phoneticPr fontId="2" type="noConversion"/>
  </si>
  <si>
    <t>재자문준비</t>
    <phoneticPr fontId="2" type="noConversion"/>
  </si>
  <si>
    <t>제안서제출
(시행자)</t>
    <phoneticPr fontId="2" type="noConversion"/>
  </si>
  <si>
    <t>제안서작성중</t>
    <phoneticPr fontId="2" type="noConversion"/>
  </si>
  <si>
    <t>관련부서협의</t>
    <phoneticPr fontId="2" type="noConversion"/>
  </si>
  <si>
    <t>입안</t>
    <phoneticPr fontId="2" type="noConversion"/>
  </si>
  <si>
    <t>재입안</t>
    <phoneticPr fontId="2" type="noConversion"/>
  </si>
  <si>
    <t>심의준비</t>
    <phoneticPr fontId="2" type="noConversion"/>
  </si>
  <si>
    <t>042019-08</t>
    <phoneticPr fontId="2" type="noConversion"/>
  </si>
  <si>
    <t>천안 도시관리계획(재정비)결정(변경) 용역</t>
    <phoneticPr fontId="2" type="noConversion"/>
  </si>
  <si>
    <t>19.10.15</t>
    <phoneticPr fontId="2" type="noConversion"/>
  </si>
  <si>
    <t>관련부서협의</t>
    <phoneticPr fontId="2" type="noConversion"/>
  </si>
  <si>
    <t>도시계획과이장주주무관/이용희과장</t>
    <phoneticPr fontId="2" type="noConversion"/>
  </si>
  <si>
    <t>경관</t>
    <phoneticPr fontId="2" type="noConversion"/>
  </si>
  <si>
    <t>업무보고</t>
    <phoneticPr fontId="2" type="noConversion"/>
  </si>
  <si>
    <t>국장보고</t>
    <phoneticPr fontId="2" type="noConversion"/>
  </si>
  <si>
    <t>기초자료검토</t>
    <phoneticPr fontId="2" type="noConversion"/>
  </si>
  <si>
    <t>입안도서작성</t>
    <phoneticPr fontId="2" type="noConversion"/>
  </si>
  <si>
    <t>중간보고</t>
    <phoneticPr fontId="2" type="noConversion"/>
  </si>
  <si>
    <t>주민공람</t>
    <phoneticPr fontId="2" type="noConversion"/>
  </si>
  <si>
    <t>주민공람</t>
    <phoneticPr fontId="2" type="noConversion"/>
  </si>
  <si>
    <t>주민공람중</t>
    <phoneticPr fontId="2" type="noConversion"/>
  </si>
  <si>
    <t>관렵부서협의</t>
    <phoneticPr fontId="2" type="noConversion"/>
  </si>
  <si>
    <t>자문준비</t>
    <phoneticPr fontId="2" type="noConversion"/>
  </si>
  <si>
    <t>04202-03</t>
    <phoneticPr fontId="2" type="noConversion"/>
  </si>
  <si>
    <t>안산시 상록구 이동 산21-18번지 개발행위허가 및 조사설계 용역</t>
    <phoneticPr fontId="2" type="noConversion"/>
  </si>
  <si>
    <t>계약체결일</t>
    <phoneticPr fontId="2" type="noConversion"/>
  </si>
  <si>
    <t>타절검토</t>
    <phoneticPr fontId="2" type="noConversion"/>
  </si>
  <si>
    <t>차광호실장/유병진부장</t>
    <phoneticPr fontId="2" type="noConversion"/>
  </si>
  <si>
    <t>심의준비중</t>
    <phoneticPr fontId="2" type="noConversion"/>
  </si>
  <si>
    <t>심의(부결)</t>
    <phoneticPr fontId="2" type="noConversion"/>
  </si>
  <si>
    <t>재접수</t>
    <phoneticPr fontId="2" type="noConversion"/>
  </si>
  <si>
    <t>신청서접수</t>
    <phoneticPr fontId="2" type="noConversion"/>
  </si>
  <si>
    <t>재접수 준비중</t>
    <phoneticPr fontId="2" type="noConversion"/>
  </si>
  <si>
    <t>3차접수</t>
    <phoneticPr fontId="2" type="noConversion"/>
  </si>
  <si>
    <t>심의상정</t>
    <phoneticPr fontId="2" type="noConversion"/>
  </si>
  <si>
    <t>재심의</t>
    <phoneticPr fontId="2" type="noConversion"/>
  </si>
  <si>
    <t>심의대기중</t>
    <phoneticPr fontId="2" type="noConversion"/>
  </si>
  <si>
    <t>042020-07</t>
    <phoneticPr fontId="2" type="noConversion"/>
  </si>
  <si>
    <t>부여 군관리계획(문화예술교육종합타운) 결정 및 기본ㆍ실시설계 용역</t>
    <phoneticPr fontId="2" type="noConversion"/>
  </si>
  <si>
    <t>20.04.27</t>
    <phoneticPr fontId="2" type="noConversion"/>
  </si>
  <si>
    <t>전략사업과 김성민주무관/유병진부장</t>
    <phoneticPr fontId="2" type="noConversion"/>
  </si>
  <si>
    <t>입안서작성</t>
    <phoneticPr fontId="2" type="noConversion"/>
  </si>
  <si>
    <t>업무분장</t>
    <phoneticPr fontId="2" type="noConversion"/>
  </si>
  <si>
    <t>농지협의</t>
    <phoneticPr fontId="2" type="noConversion"/>
  </si>
  <si>
    <t>문화재형상변경협의</t>
    <phoneticPr fontId="2" type="noConversion"/>
  </si>
  <si>
    <t>문화재셩상변경협의</t>
    <phoneticPr fontId="2" type="noConversion"/>
  </si>
  <si>
    <t>042020-09</t>
    <phoneticPr fontId="2" type="noConversion"/>
  </si>
  <si>
    <t>온양중심상권 재정비촉진지구 변경(결정)등 수립용역</t>
    <phoneticPr fontId="2" type="noConversion"/>
  </si>
  <si>
    <t>20.06.24</t>
    <phoneticPr fontId="2" type="noConversion"/>
  </si>
  <si>
    <t>충청남도상정</t>
    <phoneticPr fontId="2" type="noConversion"/>
  </si>
  <si>
    <t>도시재생과 임용훈주무관/신민호부장</t>
    <phoneticPr fontId="2" type="noConversion"/>
  </si>
  <si>
    <t>중지:
21.10.01</t>
    <phoneticPr fontId="2" type="noConversion"/>
  </si>
  <si>
    <t>관련부서협의중</t>
    <phoneticPr fontId="2" type="noConversion"/>
  </si>
  <si>
    <t>충남도상정</t>
    <phoneticPr fontId="2" type="noConversion"/>
  </si>
  <si>
    <t>심의접수</t>
    <phoneticPr fontId="2" type="noConversion"/>
  </si>
  <si>
    <t>042020-10</t>
    <phoneticPr fontId="2" type="noConversion"/>
  </si>
  <si>
    <t>평택시 팽성읍 원정리 산46번지 일원 지구단위계획 용역</t>
    <phoneticPr fontId="2" type="noConversion"/>
  </si>
  <si>
    <t>20.07.08</t>
    <phoneticPr fontId="2" type="noConversion"/>
  </si>
  <si>
    <t>수금완료</t>
    <phoneticPr fontId="2" type="noConversion"/>
  </si>
  <si>
    <t>세라핌 박세연이사/유병진부장</t>
    <phoneticPr fontId="2" type="noConversion"/>
  </si>
  <si>
    <t>공람중</t>
    <phoneticPr fontId="2" type="noConversion"/>
  </si>
  <si>
    <t>심의준비</t>
    <phoneticPr fontId="2" type="noConversion"/>
  </si>
  <si>
    <t>고시준비</t>
    <phoneticPr fontId="2" type="noConversion"/>
  </si>
  <si>
    <t>수금협의중</t>
    <phoneticPr fontId="2" type="noConversion"/>
  </si>
  <si>
    <t>042020-13</t>
    <phoneticPr fontId="2" type="noConversion"/>
  </si>
  <si>
    <t>천안시 성성동 34-4번지 일원 성성5지구 도시개발사업 용역</t>
    <phoneticPr fontId="2" type="noConversion"/>
  </si>
  <si>
    <t>20.09.</t>
    <phoneticPr fontId="2" type="noConversion"/>
  </si>
  <si>
    <t>SW 김종승부사장/유병진부장</t>
    <phoneticPr fontId="2" type="noConversion"/>
  </si>
  <si>
    <t>재해</t>
    <phoneticPr fontId="2" type="noConversion"/>
  </si>
  <si>
    <t>공원조성계획및설계</t>
    <phoneticPr fontId="2" type="noConversion"/>
  </si>
  <si>
    <t>자문(수용)</t>
    <phoneticPr fontId="2" type="noConversion"/>
  </si>
  <si>
    <t>입안서작성</t>
    <phoneticPr fontId="2" type="noConversion"/>
  </si>
  <si>
    <t>입안도서작성</t>
    <phoneticPr fontId="2" type="noConversion"/>
  </si>
  <si>
    <t>제안서작성</t>
    <phoneticPr fontId="2" type="noConversion"/>
  </si>
  <si>
    <t>042020-12</t>
    <phoneticPr fontId="2" type="noConversion"/>
  </si>
  <si>
    <t>SW 김종승부사장/신민호부장</t>
    <phoneticPr fontId="2" type="noConversion"/>
  </si>
  <si>
    <t>관련부서협의중</t>
    <phoneticPr fontId="2" type="noConversion"/>
  </si>
  <si>
    <t>위원회자문</t>
    <phoneticPr fontId="2" type="noConversion"/>
  </si>
  <si>
    <t>수용통보대기</t>
    <phoneticPr fontId="2" type="noConversion"/>
  </si>
  <si>
    <t>입안</t>
    <phoneticPr fontId="2" type="noConversion"/>
  </si>
  <si>
    <t>입안서작성중</t>
    <phoneticPr fontId="2" type="noConversion"/>
  </si>
  <si>
    <t>042020-16</t>
    <phoneticPr fontId="2" type="noConversion"/>
  </si>
  <si>
    <t>아산시 음봉면 동암리 아산 제2디지털 일반산업단지 조사설계 용역</t>
    <phoneticPr fontId="2" type="noConversion"/>
  </si>
  <si>
    <t>유토플렉스 김현태부장/유병진부장</t>
    <phoneticPr fontId="2" type="noConversion"/>
  </si>
  <si>
    <t>신청서작성</t>
    <phoneticPr fontId="2" type="noConversion"/>
  </si>
  <si>
    <t>승인신청서작성</t>
    <phoneticPr fontId="2" type="noConversion"/>
  </si>
  <si>
    <t>지정계획접수</t>
    <phoneticPr fontId="2" type="noConversion"/>
  </si>
  <si>
    <t>신청서작성중</t>
    <phoneticPr fontId="2" type="noConversion"/>
  </si>
  <si>
    <t>승인신청서접수</t>
    <phoneticPr fontId="2" type="noConversion"/>
  </si>
  <si>
    <t>042021-01</t>
    <phoneticPr fontId="2" type="noConversion"/>
  </si>
  <si>
    <t>남양주 오남3지구 도시관리계획(지구단위계획)결정(변경), 기본및실시설계 등 용역</t>
    <phoneticPr fontId="2" type="noConversion"/>
  </si>
  <si>
    <t>21.01.00</t>
    <phoneticPr fontId="2" type="noConversion"/>
  </si>
  <si>
    <t>리치월드 이명석대표/이용희과장</t>
    <phoneticPr fontId="2" type="noConversion"/>
  </si>
  <si>
    <t>착수</t>
    <phoneticPr fontId="2" type="noConversion"/>
  </si>
  <si>
    <t>검토중</t>
    <phoneticPr fontId="2" type="noConversion"/>
  </si>
  <si>
    <t>시행사 협의중</t>
    <phoneticPr fontId="2" type="noConversion"/>
  </si>
  <si>
    <t>㈜리치월드아이앤씨</t>
    <phoneticPr fontId="2" type="noConversion"/>
  </si>
  <si>
    <t>042021-02</t>
    <phoneticPr fontId="2" type="noConversion"/>
  </si>
  <si>
    <t>안산시 국제문화센터 도시관리계획 변경</t>
    <phoneticPr fontId="2" type="noConversion"/>
  </si>
  <si>
    <t>21.02.28</t>
    <phoneticPr fontId="2" type="noConversion"/>
  </si>
  <si>
    <t>심의</t>
    <phoneticPr fontId="2" type="noConversion"/>
  </si>
  <si>
    <t>민경성대표/김지현대리</t>
    <phoneticPr fontId="2" type="noConversion"/>
  </si>
  <si>
    <t>심의상정</t>
    <phoneticPr fontId="2" type="noConversion"/>
  </si>
  <si>
    <t>고시및성과품제출</t>
    <phoneticPr fontId="2" type="noConversion"/>
  </si>
  <si>
    <t>과업완료</t>
    <phoneticPr fontId="2" type="noConversion"/>
  </si>
  <si>
    <t>042021-04</t>
    <phoneticPr fontId="2" type="noConversion"/>
  </si>
  <si>
    <t>예산군관리계획(군계획시설:도로)결정(변경)용역</t>
    <phoneticPr fontId="2" type="noConversion"/>
  </si>
  <si>
    <t>21.04.16</t>
    <phoneticPr fontId="2" type="noConversion"/>
  </si>
  <si>
    <t>과업중지</t>
    <phoneticPr fontId="2" type="noConversion"/>
  </si>
  <si>
    <t>최병수사원</t>
    <phoneticPr fontId="2" type="noConversion"/>
  </si>
  <si>
    <t>재해</t>
    <phoneticPr fontId="2" type="noConversion"/>
  </si>
  <si>
    <t>착수</t>
    <phoneticPr fontId="2" type="noConversion"/>
  </si>
  <si>
    <t>방침대기</t>
    <phoneticPr fontId="2" type="noConversion"/>
  </si>
  <si>
    <t>과업중지</t>
    <phoneticPr fontId="2" type="noConversion"/>
  </si>
  <si>
    <t>042021-05</t>
    <phoneticPr fontId="2" type="noConversion"/>
  </si>
  <si>
    <t>군관리계획(공공청사)결정용역</t>
    <phoneticPr fontId="2" type="noConversion"/>
  </si>
  <si>
    <t>21.06.29</t>
    <phoneticPr fontId="2" type="noConversion"/>
  </si>
  <si>
    <t>이용희과장</t>
    <phoneticPr fontId="2" type="noConversion"/>
  </si>
  <si>
    <t>-</t>
    <phoneticPr fontId="2" type="noConversion"/>
  </si>
  <si>
    <t>입안서작성중</t>
    <phoneticPr fontId="2" type="noConversion"/>
  </si>
  <si>
    <t>입안및보고준비</t>
    <phoneticPr fontId="2" type="noConversion"/>
  </si>
  <si>
    <t>042021-07</t>
    <phoneticPr fontId="2" type="noConversion"/>
  </si>
  <si>
    <t>탕정중로 1-8호선 도시관리계획 변경 및 실시계획인가 용역</t>
    <phoneticPr fontId="2" type="noConversion"/>
  </si>
  <si>
    <t>이효정사원</t>
    <phoneticPr fontId="2" type="noConversion"/>
  </si>
  <si>
    <t>042021-09</t>
    <phoneticPr fontId="2" type="noConversion"/>
  </si>
  <si>
    <t>천안 성성동 1-7번지 일원 성성6지구 도시개발사업 용역</t>
    <phoneticPr fontId="2" type="noConversion"/>
  </si>
  <si>
    <t>이용희과장</t>
    <phoneticPr fontId="2" type="noConversion"/>
  </si>
  <si>
    <t>2. 부 서 협 조</t>
    <phoneticPr fontId="2" type="noConversion"/>
  </si>
  <si>
    <t>협조금액</t>
    <phoneticPr fontId="2" type="noConversion"/>
  </si>
  <si>
    <t>8월</t>
    <phoneticPr fontId="2" type="noConversion"/>
  </si>
  <si>
    <t>주요보고사항</t>
    <phoneticPr fontId="2" type="noConversion"/>
  </si>
  <si>
    <t>담당자</t>
    <phoneticPr fontId="2" type="noConversion"/>
  </si>
  <si>
    <t>162019-02</t>
    <phoneticPr fontId="2" type="noConversion"/>
  </si>
  <si>
    <t>평택 팽성읍 원정리 산46번지일원 개발행위허가 및 조사설계용역
(위원회 심의지원)</t>
    <phoneticPr fontId="2" type="noConversion"/>
  </si>
  <si>
    <t>19.02.12</t>
    <phoneticPr fontId="2" type="noConversion"/>
  </si>
  <si>
    <t>이희교상무/김지현과장</t>
    <phoneticPr fontId="2" type="noConversion"/>
  </si>
  <si>
    <t>0 0 검토
0 0 산출</t>
    <phoneticPr fontId="2" type="noConversion"/>
  </si>
  <si>
    <t>102019-09</t>
    <phoneticPr fontId="2" type="noConversion"/>
  </si>
  <si>
    <t>외산면 전장~수산외 1개소 농촌지방상수도 확충사업 기본 및 실시설계
(도시계획시설결정)</t>
    <phoneticPr fontId="2" type="noConversion"/>
  </si>
  <si>
    <t>20.05.19</t>
    <phoneticPr fontId="2" type="noConversion"/>
  </si>
  <si>
    <t>최승용대리/이용희과장</t>
    <phoneticPr fontId="2" type="noConversion"/>
  </si>
  <si>
    <t>입안도서작성중</t>
    <phoneticPr fontId="2" type="noConversion"/>
  </si>
  <si>
    <t>092019-01</t>
    <phoneticPr fontId="2" type="noConversion"/>
  </si>
  <si>
    <t>예산군 낙후지역형 지역개발계획(변경)수립 용역
(일괄)</t>
    <phoneticPr fontId="2" type="noConversion"/>
  </si>
  <si>
    <t>충청남도입안</t>
    <phoneticPr fontId="2" type="noConversion"/>
  </si>
  <si>
    <t>박찬용부장/최병수사원</t>
    <phoneticPr fontId="2" type="noConversion"/>
  </si>
  <si>
    <t>변경도서작성중</t>
    <phoneticPr fontId="2" type="noConversion"/>
  </si>
  <si>
    <t>국토부협의</t>
    <phoneticPr fontId="2" type="noConversion"/>
  </si>
  <si>
    <t>092020-05</t>
    <phoneticPr fontId="2" type="noConversion"/>
  </si>
  <si>
    <t>한용운생가지 역사공원 조성계획(변경) 및 실시설계용역
(용도지구결정)</t>
    <phoneticPr fontId="2" type="noConversion"/>
  </si>
  <si>
    <t>김대영이사/신민호부장</t>
    <phoneticPr fontId="2" type="noConversion"/>
  </si>
  <si>
    <t>3. 외 주 관 리</t>
    <phoneticPr fontId="2" type="noConversion"/>
  </si>
  <si>
    <t>(단위: 백만원)</t>
    <phoneticPr fontId="2" type="noConversion"/>
  </si>
  <si>
    <t>순서</t>
    <phoneticPr fontId="2" type="noConversion"/>
  </si>
  <si>
    <t>사 업 명 [주관부서]</t>
    <phoneticPr fontId="2" type="noConversion"/>
  </si>
  <si>
    <t>과업기간</t>
    <phoneticPr fontId="2" type="noConversion"/>
  </si>
  <si>
    <t>금액현황</t>
    <phoneticPr fontId="2" type="noConversion"/>
  </si>
  <si>
    <t>외주금액</t>
    <phoneticPr fontId="2" type="noConversion"/>
  </si>
  <si>
    <t>전년
공정</t>
    <phoneticPr fontId="2" type="noConversion"/>
  </si>
  <si>
    <t>당해
공정</t>
    <phoneticPr fontId="2" type="noConversion"/>
  </si>
  <si>
    <t>주요보고사항</t>
    <phoneticPr fontId="2" type="noConversion"/>
  </si>
  <si>
    <t>발주처/
담당자</t>
    <phoneticPr fontId="2" type="noConversion"/>
  </si>
  <si>
    <t>JOB NO</t>
    <phoneticPr fontId="2" type="noConversion"/>
  </si>
  <si>
    <t>042020-06</t>
    <phoneticPr fontId="2" type="noConversion"/>
  </si>
  <si>
    <t>2035년 천안시 공원녹지기본계획 수립용역</t>
    <phoneticPr fontId="2" type="noConversion"/>
  </si>
  <si>
    <t>외주</t>
    <phoneticPr fontId="2" type="noConversion"/>
  </si>
  <si>
    <t>공원녹지과 서정현주무관/김지현 과장</t>
    <phoneticPr fontId="2" type="noConversion"/>
  </si>
  <si>
    <t>지급</t>
    <phoneticPr fontId="2" type="noConversion"/>
  </si>
  <si>
    <t>042021-03</t>
    <phoneticPr fontId="2" type="noConversion"/>
  </si>
  <si>
    <t>2021 백의종군 둘레길(단계별) 조성사업 실시설계용역</t>
    <phoneticPr fontId="2" type="noConversion"/>
  </si>
  <si>
    <t>21.03.18</t>
    <phoneticPr fontId="2" type="noConversion"/>
  </si>
  <si>
    <t>산림녹지과/이용희 과장</t>
    <phoneticPr fontId="2" type="noConversion"/>
  </si>
  <si>
    <t>과업준공</t>
    <phoneticPr fontId="2" type="noConversion"/>
  </si>
  <si>
    <t>지급</t>
    <phoneticPr fontId="2" type="noConversion"/>
  </si>
  <si>
    <t>2월</t>
    <phoneticPr fontId="2" type="noConversion"/>
  </si>
  <si>
    <t>4월</t>
    <phoneticPr fontId="2" type="noConversion"/>
  </si>
  <si>
    <t>5월</t>
    <phoneticPr fontId="2" type="noConversion"/>
  </si>
  <si>
    <t>3월</t>
    <phoneticPr fontId="2" type="noConversion"/>
  </si>
  <si>
    <t>11월</t>
    <phoneticPr fontId="2" type="noConversion"/>
  </si>
  <si>
    <t>10월</t>
    <phoneticPr fontId="2" type="noConversion"/>
  </si>
  <si>
    <t>6월</t>
    <phoneticPr fontId="2" type="noConversion"/>
  </si>
  <si>
    <t>7월</t>
    <phoneticPr fontId="2" type="noConversion"/>
  </si>
  <si>
    <t>9월</t>
    <phoneticPr fontId="2" type="noConversion"/>
  </si>
  <si>
    <t>미입력</t>
    <phoneticPr fontId="2" type="noConversion"/>
  </si>
  <si>
    <t>1월</t>
    <phoneticPr fontId="2" type="noConversion"/>
  </si>
  <si>
    <t>2월</t>
    <phoneticPr fontId="2" type="noConversion"/>
  </si>
  <si>
    <t>월 간  공 정  보 고 ( 토 목 부 )</t>
    <phoneticPr fontId="2" type="noConversion"/>
  </si>
  <si>
    <t>1. 수행업무</t>
    <phoneticPr fontId="2" type="noConversion"/>
  </si>
  <si>
    <t>금 액 현 황</t>
    <phoneticPr fontId="2" type="noConversion"/>
  </si>
  <si>
    <t>수행금액</t>
    <phoneticPr fontId="2" type="noConversion"/>
  </si>
  <si>
    <r>
      <t xml:space="preserve">주요보고사항
</t>
    </r>
    <r>
      <rPr>
        <sz val="10"/>
        <color theme="1"/>
        <rFont val="HY신명조"/>
        <family val="1"/>
        <charset val="129"/>
      </rPr>
      <t>(공정-수금 차액)</t>
    </r>
  </si>
  <si>
    <t>VAT 포함</t>
    <phoneticPr fontId="2" type="noConversion"/>
  </si>
  <si>
    <t>VAT 별도 분석</t>
    <phoneticPr fontId="2" type="noConversion"/>
  </si>
  <si>
    <t>092015-05</t>
    <phoneticPr fontId="2" type="noConversion"/>
  </si>
  <si>
    <t>용인 역삼구역 도시개발사업 실시설계(변경) 용역</t>
    <phoneticPr fontId="2" type="noConversion"/>
  </si>
  <si>
    <t>16.08.01</t>
    <phoneticPr fontId="2" type="noConversion"/>
  </si>
  <si>
    <t>역삼조합
조합장: 원종남
국장: 김기두
/
토목:문일형
구조:양상훈
지반:유승주</t>
    <phoneticPr fontId="2" type="noConversion"/>
  </si>
  <si>
    <t>당해공정금액</t>
  </si>
  <si>
    <t>공정잔액</t>
  </si>
  <si>
    <t>15-05</t>
    <phoneticPr fontId="2" type="noConversion"/>
  </si>
  <si>
    <t>지반협조</t>
    <phoneticPr fontId="2" type="noConversion"/>
  </si>
  <si>
    <t>구조협조</t>
    <phoneticPr fontId="2" type="noConversion"/>
  </si>
  <si>
    <t>기타</t>
    <phoneticPr fontId="2" type="noConversion"/>
  </si>
  <si>
    <t>상하수도</t>
    <phoneticPr fontId="2" type="noConversion"/>
  </si>
  <si>
    <t>중지:
18.10.04</t>
    <phoneticPr fontId="2" type="noConversion"/>
  </si>
  <si>
    <t>업무대기</t>
    <phoneticPr fontId="2" type="noConversion"/>
  </si>
  <si>
    <t>092017-04</t>
    <phoneticPr fontId="2" type="noConversion"/>
  </si>
  <si>
    <t>용인 역삼구역 기술지원관리 용역</t>
    <phoneticPr fontId="2" type="noConversion"/>
  </si>
  <si>
    <t>17.08.</t>
    <phoneticPr fontId="2" type="noConversion"/>
  </si>
  <si>
    <t>역삼조합
조합장: 원종남
국장: 김기두
/
문일형,김대영,주성완,박찬용,박민규,최진현</t>
    <phoneticPr fontId="2" type="noConversion"/>
  </si>
  <si>
    <t>17-04</t>
    <phoneticPr fontId="2" type="noConversion"/>
  </si>
  <si>
    <t>내역</t>
    <phoneticPr fontId="2" type="noConversion"/>
  </si>
  <si>
    <t>용지</t>
    <phoneticPr fontId="2" type="noConversion"/>
  </si>
  <si>
    <t>조합및시행사 업무지원</t>
    <phoneticPr fontId="2" type="noConversion"/>
  </si>
  <si>
    <t>092016-07</t>
    <phoneticPr fontId="2" type="noConversion"/>
  </si>
  <si>
    <t>용인 역삼구역 하수처리장 건설공사 기본 및 실시설계 용역</t>
    <phoneticPr fontId="2" type="noConversion"/>
  </si>
  <si>
    <t>16.08.01</t>
    <phoneticPr fontId="2" type="noConversion"/>
  </si>
  <si>
    <t>16-07</t>
    <phoneticPr fontId="2" type="noConversion"/>
  </si>
  <si>
    <t>중지:
18.10.01</t>
    <phoneticPr fontId="2" type="noConversion"/>
  </si>
  <si>
    <t>과업재착수 통보</t>
    <phoneticPr fontId="2" type="noConversion"/>
  </si>
  <si>
    <t>재착수통보회신</t>
    <phoneticPr fontId="2" type="noConversion"/>
  </si>
  <si>
    <t>092016-12</t>
    <phoneticPr fontId="2" type="noConversion"/>
  </si>
  <si>
    <t>용인 역삼구역 금학천 하천기본계획검토용역</t>
    <phoneticPr fontId="2" type="noConversion"/>
  </si>
  <si>
    <t>16.11.01</t>
    <phoneticPr fontId="2" type="noConversion"/>
  </si>
  <si>
    <t>역삼조합
조합장: 원종남
국장: 김기두
/
문일형,김대영,주성완,박찬용,박민규,최진현</t>
    <phoneticPr fontId="2" type="noConversion"/>
  </si>
  <si>
    <t>16-12</t>
    <phoneticPr fontId="2" type="noConversion"/>
  </si>
  <si>
    <t>지반협조</t>
    <phoneticPr fontId="2" type="noConversion"/>
  </si>
  <si>
    <t>구조협조</t>
    <phoneticPr fontId="2" type="noConversion"/>
  </si>
  <si>
    <t>092018-04</t>
    <phoneticPr fontId="2" type="noConversion"/>
  </si>
  <si>
    <t>예당호 착한농촌체험세상 기본 및 실시설계 용역</t>
    <phoneticPr fontId="2" type="noConversion"/>
  </si>
  <si>
    <t>18.12.21</t>
    <phoneticPr fontId="2" type="noConversion"/>
  </si>
  <si>
    <t>용역준공</t>
    <phoneticPr fontId="2" type="noConversion"/>
  </si>
  <si>
    <t>문화관광과
팀장:정택규
감독:박창현
/
토목:주성완
수자:박가영
교통:김영준</t>
    <phoneticPr fontId="2" type="noConversion"/>
  </si>
  <si>
    <t>18-04</t>
    <phoneticPr fontId="2" type="noConversion"/>
  </si>
  <si>
    <t>교통협조</t>
    <phoneticPr fontId="2" type="noConversion"/>
  </si>
  <si>
    <t>수자원협조</t>
    <phoneticPr fontId="2" type="noConversion"/>
  </si>
  <si>
    <t>기술심의 완료 및 3차설계적정성 성과품 작성</t>
    <phoneticPr fontId="2" type="noConversion"/>
  </si>
  <si>
    <t>3차설계적정성 진행</t>
    <phoneticPr fontId="2" type="noConversion"/>
  </si>
  <si>
    <t>3차설계적정성  완료</t>
    <phoneticPr fontId="2" type="noConversion"/>
  </si>
  <si>
    <t>최종보고 및 조달발주서류제출</t>
    <phoneticPr fontId="2" type="noConversion"/>
  </si>
  <si>
    <t>준공성과품작성</t>
    <phoneticPr fontId="2" type="noConversion"/>
  </si>
  <si>
    <t>준공성과품작성</t>
    <phoneticPr fontId="2" type="noConversion"/>
  </si>
  <si>
    <t>용역준공</t>
    <phoneticPr fontId="2" type="noConversion"/>
  </si>
  <si>
    <t>준공완료</t>
    <phoneticPr fontId="2" type="noConversion"/>
  </si>
  <si>
    <t>092019-03</t>
    <phoneticPr fontId="2" type="noConversion"/>
  </si>
  <si>
    <t>태조산공원 산림레포츠시설 조성사업 실시설계 및 공원조성계획(변경)용역</t>
    <phoneticPr fontId="2" type="noConversion"/>
  </si>
  <si>
    <t>19.02.28</t>
    <phoneticPr fontId="2" type="noConversion"/>
  </si>
  <si>
    <t>산림휴양과
팀장:김주식
감독:권민혜
/
토목:김대영
수자:박가영
지반:유승주</t>
    <phoneticPr fontId="2" type="noConversion"/>
  </si>
  <si>
    <t>19-03</t>
    <phoneticPr fontId="2" type="noConversion"/>
  </si>
  <si>
    <t>세부설계진행</t>
    <phoneticPr fontId="2" type="noConversion"/>
  </si>
  <si>
    <t>세부설계 및 행정인가완료</t>
    <phoneticPr fontId="2" type="noConversion"/>
  </si>
  <si>
    <t>계약심사 완료</t>
    <phoneticPr fontId="2" type="noConversion"/>
  </si>
  <si>
    <t>092019-08</t>
    <phoneticPr fontId="2" type="noConversion"/>
  </si>
  <si>
    <t>신성리갈대밭 관광지 지정 및 조성계획 수립용역</t>
    <phoneticPr fontId="2" type="noConversion"/>
  </si>
  <si>
    <t>19.08.22</t>
    <phoneticPr fontId="2" type="noConversion"/>
  </si>
  <si>
    <t>관광축제과
팀장:최순우
감독:이강복
/
토목:김대영
수자:박가영</t>
    <phoneticPr fontId="2" type="noConversion"/>
  </si>
  <si>
    <t>중지:
 20.7.20</t>
    <phoneticPr fontId="2" type="noConversion"/>
  </si>
  <si>
    <t>사업진행 발주처 내부검토</t>
    <phoneticPr fontId="2" type="noConversion"/>
  </si>
  <si>
    <t>과업재개</t>
    <phoneticPr fontId="2" type="noConversion"/>
  </si>
  <si>
    <t>092019-03</t>
    <phoneticPr fontId="2" type="noConversion"/>
  </si>
  <si>
    <t>대부황금로 도로(자전거)확포장공사</t>
    <phoneticPr fontId="2" type="noConversion"/>
  </si>
  <si>
    <t>16.03.29</t>
    <phoneticPr fontId="2" type="noConversion"/>
  </si>
  <si>
    <t>건설도로과
팀장:이문희
감독:김지현
/
박찬용</t>
    <phoneticPr fontId="2" type="noConversion"/>
  </si>
  <si>
    <t>16-03</t>
    <phoneticPr fontId="2" type="noConversion"/>
  </si>
  <si>
    <t>용역중지중</t>
    <phoneticPr fontId="2" type="noConversion"/>
  </si>
  <si>
    <t>092019-01</t>
    <phoneticPr fontId="2" type="noConversion"/>
  </si>
  <si>
    <t>예산군 낙후지역형 지역개발계획(변경)수립용역</t>
    <phoneticPr fontId="2" type="noConversion"/>
  </si>
  <si>
    <t>19.01.29</t>
    <phoneticPr fontId="2" type="noConversion"/>
  </si>
  <si>
    <t>도시재생과
팀장:김상혁
감독:전태준
/
토목:박찬용
도시:김권수</t>
    <phoneticPr fontId="2" type="noConversion"/>
  </si>
  <si>
    <t>19-01</t>
    <phoneticPr fontId="2" type="noConversion"/>
  </si>
  <si>
    <t>도시계획부</t>
    <phoneticPr fontId="2" type="noConversion"/>
  </si>
  <si>
    <t>중지:
19.07.12</t>
    <phoneticPr fontId="2" type="noConversion"/>
  </si>
  <si>
    <t>업무재개</t>
    <phoneticPr fontId="2" type="noConversion"/>
  </si>
  <si>
    <t>군관리계획변경</t>
    <phoneticPr fontId="2" type="noConversion"/>
  </si>
  <si>
    <t>11/25준공계제출</t>
    <phoneticPr fontId="2" type="noConversion"/>
  </si>
  <si>
    <t>예산군</t>
    <phoneticPr fontId="2" type="noConversion"/>
  </si>
  <si>
    <t>092020-05</t>
    <phoneticPr fontId="2" type="noConversion"/>
  </si>
  <si>
    <t>한용운생가지 역사공원 조성계획(변경) 및 실시설계용역</t>
    <phoneticPr fontId="2" type="noConversion"/>
  </si>
  <si>
    <t>20.03.20</t>
    <phoneticPr fontId="2" type="noConversion"/>
  </si>
  <si>
    <t>문화관광과
팀장:조귀형
감독:김환수
/
문일형
주성완</t>
    <phoneticPr fontId="2" type="noConversion"/>
  </si>
  <si>
    <t>중지:
20.09.23</t>
    <phoneticPr fontId="2" type="noConversion"/>
  </si>
  <si>
    <t>군관리계획시설 서류작성</t>
    <phoneticPr fontId="2" type="noConversion"/>
  </si>
  <si>
    <t>각종행정인허가 및 세부설계진행</t>
    <phoneticPr fontId="2" type="noConversion"/>
  </si>
  <si>
    <t>문화재심의</t>
    <phoneticPr fontId="2" type="noConversion"/>
  </si>
  <si>
    <t>문화재심의의견보완</t>
    <phoneticPr fontId="2" type="noConversion"/>
  </si>
  <si>
    <t>사전실과부서의견검토</t>
    <phoneticPr fontId="2" type="noConversion"/>
  </si>
  <si>
    <t>개별인허가진행</t>
    <phoneticPr fontId="2" type="noConversion"/>
  </si>
  <si>
    <t>군관리계획변경(설계변경협의)</t>
    <phoneticPr fontId="2" type="noConversion"/>
  </si>
  <si>
    <t>군관리계획 및 실시설계</t>
    <phoneticPr fontId="2" type="noConversion"/>
  </si>
  <si>
    <t>도계약심사 및 군관리계획 심의준비</t>
    <phoneticPr fontId="2" type="noConversion"/>
  </si>
  <si>
    <t>잔액</t>
    <phoneticPr fontId="2" type="noConversion"/>
  </si>
  <si>
    <t>기타비용</t>
    <phoneticPr fontId="2" type="noConversion"/>
  </si>
  <si>
    <t>092020-06</t>
    <phoneticPr fontId="2" type="noConversion"/>
  </si>
  <si>
    <t>산노리 자연문화예술촌 조성사업 조사설계용역</t>
    <phoneticPr fontId="2" type="noConversion"/>
  </si>
  <si>
    <t>20.05.13</t>
    <phoneticPr fontId="2" type="noConversion"/>
  </si>
  <si>
    <t>계약</t>
    <phoneticPr fontId="2" type="noConversion"/>
  </si>
  <si>
    <t>수행</t>
    <phoneticPr fontId="2" type="noConversion"/>
  </si>
  <si>
    <t>미래사업과
팀장:이민구
감독:도관철
/
문일형
주성완</t>
    <phoneticPr fontId="2" type="noConversion"/>
  </si>
  <si>
    <t>중지:
21.08.25</t>
    <phoneticPr fontId="2" type="noConversion"/>
  </si>
  <si>
    <t>외주 등</t>
    <phoneticPr fontId="2" type="noConversion"/>
  </si>
  <si>
    <t>군관리계획시설 서류작성</t>
    <phoneticPr fontId="2" type="noConversion"/>
  </si>
  <si>
    <t>중간보고 서류작성</t>
    <phoneticPr fontId="2" type="noConversion"/>
  </si>
  <si>
    <t>중간보고 보완</t>
    <phoneticPr fontId="2" type="noConversion"/>
  </si>
  <si>
    <t>경관심의서 작성</t>
    <phoneticPr fontId="2" type="noConversion"/>
  </si>
  <si>
    <t>토지적정성평가</t>
    <phoneticPr fontId="2" type="noConversion"/>
  </si>
  <si>
    <t>기본계획 관계기관 협의</t>
    <phoneticPr fontId="2" type="noConversion"/>
  </si>
  <si>
    <t>기본계획(안)작성</t>
    <phoneticPr fontId="2" type="noConversion"/>
  </si>
  <si>
    <t>지구단위계획(용도지역)입안서류 작성</t>
    <phoneticPr fontId="2" type="noConversion"/>
  </si>
  <si>
    <t>092020-08</t>
    <phoneticPr fontId="2" type="noConversion"/>
  </si>
  <si>
    <t>강화대교 관문 상징조형물 디자인 및 설계용역</t>
    <phoneticPr fontId="2" type="noConversion"/>
  </si>
  <si>
    <t>20.08.06</t>
    <phoneticPr fontId="2" type="noConversion"/>
  </si>
  <si>
    <t>문화관광과
팀장:노봉환
감독:유재흥
/
문일형
박민규</t>
    <phoneticPr fontId="2" type="noConversion"/>
  </si>
  <si>
    <t>일상감사 제출</t>
    <phoneticPr fontId="2" type="noConversion"/>
  </si>
  <si>
    <t>도계약심사 완료</t>
    <phoneticPr fontId="2" type="noConversion"/>
  </si>
  <si>
    <t>토목 공사발주</t>
    <phoneticPr fontId="2" type="noConversion"/>
  </si>
  <si>
    <t>준공완료</t>
    <phoneticPr fontId="2" type="noConversion"/>
  </si>
  <si>
    <t>092020-12</t>
    <phoneticPr fontId="2" type="noConversion"/>
  </si>
  <si>
    <t>왕길역, 광로2-4호선,대로3-58호선변 보도육교(스카이파크워크)설계/인가 용역</t>
    <phoneticPr fontId="2" type="noConversion"/>
  </si>
  <si>
    <t>20.11.09</t>
    <phoneticPr fontId="2" type="noConversion"/>
  </si>
  <si>
    <t>디케이퍼스트
부장:이태현
/
문일형
박민규</t>
    <phoneticPr fontId="2" type="noConversion"/>
  </si>
  <si>
    <t>인허가 실과부서 협의 및 세부설계진행</t>
    <phoneticPr fontId="2" type="noConversion"/>
  </si>
  <si>
    <t>사업제안서 완료</t>
    <phoneticPr fontId="2" type="noConversion"/>
  </si>
  <si>
    <t>개발계획변경 업무협의</t>
    <phoneticPr fontId="2" type="noConversion"/>
  </si>
  <si>
    <t>개발계획변경 진행</t>
    <phoneticPr fontId="2" type="noConversion"/>
  </si>
  <si>
    <t>주민제안서 작성및접수</t>
    <phoneticPr fontId="2" type="noConversion"/>
  </si>
  <si>
    <t>092020-14</t>
    <phoneticPr fontId="2" type="noConversion"/>
  </si>
  <si>
    <t>덕산온천 휴양마을 조성사업 기본 및 실시설계용역</t>
    <phoneticPr fontId="2" type="noConversion"/>
  </si>
  <si>
    <t>20.11.24</t>
    <phoneticPr fontId="2" type="noConversion"/>
  </si>
  <si>
    <t>문화관광과
팀장:정택규
감독:김진환
/
문일형
주성완</t>
    <phoneticPr fontId="2" type="noConversion"/>
  </si>
  <si>
    <t>기본계획(안)작성</t>
    <phoneticPr fontId="2" type="noConversion"/>
  </si>
  <si>
    <t>측량시행 및 기본계획(안)작성</t>
    <phoneticPr fontId="2" type="noConversion"/>
  </si>
  <si>
    <t>기본계획(안) 작성 및 건축공모 준비</t>
    <phoneticPr fontId="2" type="noConversion"/>
  </si>
  <si>
    <t>건축사 선정에 다른 업무협의</t>
    <phoneticPr fontId="2" type="noConversion"/>
  </si>
  <si>
    <t>기본계획(안)작성</t>
    <phoneticPr fontId="2" type="noConversion"/>
  </si>
  <si>
    <t>092020-13</t>
    <phoneticPr fontId="2" type="noConversion"/>
  </si>
  <si>
    <t>추사서예 창의마을 조성사업 기본 및 실시설계용역</t>
    <phoneticPr fontId="2" type="noConversion"/>
  </si>
  <si>
    <t>20.11.17</t>
    <phoneticPr fontId="2" type="noConversion"/>
  </si>
  <si>
    <t>문화관광과
팀장:성호기
감독:김지은
/
문일형
주성완</t>
    <phoneticPr fontId="2" type="noConversion"/>
  </si>
  <si>
    <t>중지:
21.11.04</t>
    <phoneticPr fontId="2" type="noConversion"/>
  </si>
  <si>
    <t>건축 부지조성안 작성</t>
    <phoneticPr fontId="2" type="noConversion"/>
  </si>
  <si>
    <t>092020-15</t>
    <phoneticPr fontId="2" type="noConversion"/>
  </si>
  <si>
    <t>중로2-84호선(횡) 실시설계(변경) 및 용대천 하천정비기본계획(변경) 용역</t>
    <phoneticPr fontId="2" type="noConversion"/>
  </si>
  <si>
    <t>20.12.04</t>
    <phoneticPr fontId="2" type="noConversion"/>
  </si>
  <si>
    <t>임시도로 성과품 작성</t>
    <phoneticPr fontId="2" type="noConversion"/>
  </si>
  <si>
    <t>관련실과부서 협의 및 성과품작성</t>
    <phoneticPr fontId="2" type="noConversion"/>
  </si>
  <si>
    <t>중로1-16호선 실시계획인가 서류접수</t>
    <phoneticPr fontId="2" type="noConversion"/>
  </si>
  <si>
    <t>092020-16</t>
    <phoneticPr fontId="2" type="noConversion"/>
  </si>
  <si>
    <t>경안천·곤지암천 도시관리계획(시설:공원) 결정(변경) 및 공원조성계획 수립용역</t>
    <phoneticPr fontId="2" type="noConversion"/>
  </si>
  <si>
    <t>20.12.10</t>
    <phoneticPr fontId="2" type="noConversion"/>
  </si>
  <si>
    <t>공원정책과
팀장:홍석봉
감독:오동민
/
문일형
주성완</t>
    <phoneticPr fontId="2" type="noConversion"/>
  </si>
  <si>
    <t>공원조성계획(안)작성</t>
    <phoneticPr fontId="2" type="noConversion"/>
  </si>
  <si>
    <t>092021-03</t>
    <phoneticPr fontId="2" type="noConversion"/>
  </si>
  <si>
    <t>092021-03</t>
    <phoneticPr fontId="2" type="noConversion"/>
  </si>
  <si>
    <t>삽교천 체육공원 조성사업 기본 및 실시설계용역</t>
    <phoneticPr fontId="2" type="noConversion"/>
  </si>
  <si>
    <t>21.06.10</t>
    <phoneticPr fontId="2" type="noConversion"/>
  </si>
  <si>
    <t>교육체육과
팀장:정명규
감독:김호중
/
문일형
박찬용</t>
    <phoneticPr fontId="2" type="noConversion"/>
  </si>
  <si>
    <t>착수계제출 및 현장조사</t>
    <phoneticPr fontId="2" type="noConversion"/>
  </si>
  <si>
    <t>관련부서 사전협의</t>
    <phoneticPr fontId="2" type="noConversion"/>
  </si>
  <si>
    <t>군수보고및기본계획(안)작성</t>
    <phoneticPr fontId="2" type="noConversion"/>
  </si>
  <si>
    <t>092021-04</t>
    <phoneticPr fontId="2" type="noConversion"/>
  </si>
  <si>
    <t>예산황새고향 친환경 생태단지 인공경관폭포 및 분수대 조성사업 기본 및 실시설계용역</t>
    <phoneticPr fontId="2" type="noConversion"/>
  </si>
  <si>
    <t>21.06.18</t>
    <phoneticPr fontId="2" type="noConversion"/>
  </si>
  <si>
    <t>문화관광과 
팀장:윤동한
감독:정우리
/
문일형
박찬용</t>
    <phoneticPr fontId="2" type="noConversion"/>
  </si>
  <si>
    <t>착수계제출</t>
    <phoneticPr fontId="2" type="noConversion"/>
  </si>
  <si>
    <t>기술제안서 공고</t>
    <phoneticPr fontId="2" type="noConversion"/>
  </si>
  <si>
    <t>기술제안서 심의</t>
    <phoneticPr fontId="2" type="noConversion"/>
  </si>
  <si>
    <t>실시설계도서작성</t>
    <phoneticPr fontId="2" type="noConversion"/>
  </si>
  <si>
    <t>최종성과품 보고</t>
    <phoneticPr fontId="2" type="noConversion"/>
  </si>
  <si>
    <t>092021-05</t>
    <phoneticPr fontId="2" type="noConversion"/>
  </si>
  <si>
    <t>예당호 워터프론트 조성사업(전기) 실시설계용역</t>
    <phoneticPr fontId="2" type="noConversion"/>
  </si>
  <si>
    <t>21.06.25</t>
    <phoneticPr fontId="2" type="noConversion"/>
  </si>
  <si>
    <t>문화관광과 
팀장:성호기
감독:박창현
/
문일형
박찬용</t>
    <phoneticPr fontId="2" type="noConversion"/>
  </si>
  <si>
    <t>중지:09/15</t>
    <phoneticPr fontId="2" type="noConversion"/>
  </si>
  <si>
    <t>무대제작설치 업체선정</t>
    <phoneticPr fontId="2" type="noConversion"/>
  </si>
  <si>
    <t>상위계획 진행</t>
    <phoneticPr fontId="2" type="noConversion"/>
  </si>
  <si>
    <t>총괄 업무협의</t>
    <phoneticPr fontId="2" type="noConversion"/>
  </si>
  <si>
    <t>디자인 시안작성</t>
    <phoneticPr fontId="2" type="noConversion"/>
  </si>
  <si>
    <t>준공예정수금액</t>
    <phoneticPr fontId="2" type="noConversion"/>
  </si>
  <si>
    <t>2020년도</t>
    <phoneticPr fontId="2" type="noConversion"/>
  </si>
  <si>
    <t>외주비</t>
    <phoneticPr fontId="2" type="noConversion"/>
  </si>
  <si>
    <t>2020년 수주액 총계</t>
    <phoneticPr fontId="2" type="noConversion"/>
  </si>
  <si>
    <t>목표액</t>
    <phoneticPr fontId="2" type="noConversion"/>
  </si>
  <si>
    <t>부족액</t>
    <phoneticPr fontId="2" type="noConversion"/>
  </si>
  <si>
    <t>2020년 수금액 총계</t>
    <phoneticPr fontId="2" type="noConversion"/>
  </si>
  <si>
    <t>이월사업포함</t>
    <phoneticPr fontId="2" type="noConversion"/>
  </si>
  <si>
    <t>2020년 수금예상상황</t>
    <phoneticPr fontId="2" type="noConversion"/>
  </si>
  <si>
    <t>이윤</t>
    <phoneticPr fontId="2" type="noConversion"/>
  </si>
  <si>
    <t>2. 부서협조</t>
    <phoneticPr fontId="2" type="noConversion"/>
  </si>
  <si>
    <t>부가세 제외</t>
    <phoneticPr fontId="2" type="noConversion"/>
  </si>
  <si>
    <t>부가세포함</t>
    <phoneticPr fontId="2" type="noConversion"/>
  </si>
  <si>
    <t>042015-10</t>
    <phoneticPr fontId="2" type="noConversion"/>
  </si>
  <si>
    <t>남양주 오남3지구 도시관리계획(지구단위계획)결정(변경), 기본 및 실시설계(기반시설) 등 용역</t>
    <phoneticPr fontId="2" type="noConversion"/>
  </si>
  <si>
    <t>진행중지중</t>
    <phoneticPr fontId="2" type="noConversion"/>
  </si>
  <si>
    <t>김권수이사</t>
    <phoneticPr fontId="2" type="noConversion"/>
  </si>
  <si>
    <t>042014-05</t>
    <phoneticPr fontId="2" type="noConversion"/>
  </si>
  <si>
    <t>화성(장안지구)공동주택 신축사업 지구단위계획 및 인허가 설계 용역</t>
    <phoneticPr fontId="2" type="noConversion"/>
  </si>
  <si>
    <t>14.05.16</t>
    <phoneticPr fontId="2" type="noConversion"/>
  </si>
  <si>
    <t>2020년 단지부이관사업 
(2019년 수금율 기준 협조금액 정산)</t>
    <phoneticPr fontId="2" type="noConversion"/>
  </si>
  <si>
    <t>김권수이사</t>
    <phoneticPr fontId="2" type="noConversion"/>
  </si>
  <si>
    <t>원사업</t>
    <phoneticPr fontId="2" type="noConversion"/>
  </si>
  <si>
    <t>112018-17</t>
    <phoneticPr fontId="2" type="noConversion"/>
  </si>
  <si>
    <t>강진천 지방하천정비사업 실시설계용역</t>
    <phoneticPr fontId="2" type="noConversion"/>
  </si>
  <si>
    <t>18.10.15</t>
    <phoneticPr fontId="2" type="noConversion"/>
  </si>
  <si>
    <t>사업준공</t>
    <phoneticPr fontId="2" type="noConversion"/>
  </si>
  <si>
    <t>강경호상무</t>
    <phoneticPr fontId="2" type="noConversion"/>
  </si>
  <si>
    <t>수자원부</t>
    <phoneticPr fontId="2" type="noConversion"/>
  </si>
  <si>
    <t>실시설계 업무협조</t>
    <phoneticPr fontId="2" type="noConversion"/>
  </si>
  <si>
    <t>토목부 정산액</t>
    <phoneticPr fontId="2" type="noConversion"/>
  </si>
  <si>
    <t>단지부 정산액</t>
    <phoneticPr fontId="2" type="noConversion"/>
  </si>
  <si>
    <t>장안지구 4억3천 수금</t>
    <phoneticPr fontId="2" type="noConversion"/>
  </si>
  <si>
    <t xml:space="preserve">강진천 2월준공 </t>
    <phoneticPr fontId="2" type="noConversion"/>
  </si>
  <si>
    <t>토목</t>
    <phoneticPr fontId="2" type="noConversion"/>
  </si>
  <si>
    <t>도로</t>
    <phoneticPr fontId="2" type="noConversion"/>
  </si>
  <si>
    <t>도시</t>
    <phoneticPr fontId="2" type="noConversion"/>
  </si>
  <si>
    <t>토목</t>
    <phoneticPr fontId="2" type="noConversion"/>
  </si>
  <si>
    <t>월 간  공 정  보 고 ( 교 통 계 획 부 )</t>
    <phoneticPr fontId="2" type="noConversion"/>
  </si>
  <si>
    <r>
      <t xml:space="preserve">주요보고사항
</t>
    </r>
    <r>
      <rPr>
        <sz val="10"/>
        <color theme="1"/>
        <rFont val="HY신명조"/>
        <family val="1"/>
        <charset val="129"/>
      </rPr>
      <t>(공정-수금 차액)</t>
    </r>
    <phoneticPr fontId="2" type="noConversion"/>
  </si>
  <si>
    <t>052020-06</t>
    <phoneticPr fontId="2" type="noConversion"/>
  </si>
  <si>
    <t>만리포 해수욕장 조성사업 교통영향평가(변경심의)용역</t>
    <phoneticPr fontId="2" type="noConversion"/>
  </si>
  <si>
    <t>2020.06.04</t>
    <phoneticPr fontId="2" type="noConversion"/>
  </si>
  <si>
    <t>12월 준공 예정
과업중지
(2020/10/26)</t>
    <phoneticPr fontId="2" type="noConversion"/>
  </si>
  <si>
    <t>관광과
이호천
/
김종우</t>
    <phoneticPr fontId="2" type="noConversion"/>
  </si>
  <si>
    <t>중지:10/26</t>
    <phoneticPr fontId="2" type="noConversion"/>
  </si>
  <si>
    <t>보고서
 작성</t>
    <phoneticPr fontId="2" type="noConversion"/>
  </si>
  <si>
    <t>태안군</t>
    <phoneticPr fontId="2" type="noConversion"/>
  </si>
  <si>
    <t>052020-07</t>
    <phoneticPr fontId="2" type="noConversion"/>
  </si>
  <si>
    <t>평택고덕 광역 2AB노선 일반교통안전진단용역</t>
    <phoneticPr fontId="2" type="noConversion"/>
  </si>
  <si>
    <t>2020.06.29</t>
    <phoneticPr fontId="2" type="noConversion"/>
  </si>
  <si>
    <t>12월 준공 예정
과업중지
(2020/12/4)</t>
    <phoneticPr fontId="2" type="noConversion"/>
  </si>
  <si>
    <t>유원상
/
김종우</t>
    <phoneticPr fontId="2" type="noConversion"/>
  </si>
  <si>
    <t>중지:12/4</t>
    <phoneticPr fontId="2" type="noConversion"/>
  </si>
  <si>
    <t>052020-08</t>
    <phoneticPr fontId="2" type="noConversion"/>
  </si>
  <si>
    <t>안산시 교통약자보호구역 실태조사 용역</t>
    <phoneticPr fontId="2" type="noConversion"/>
  </si>
  <si>
    <t>2020.10.</t>
    <phoneticPr fontId="2" type="noConversion"/>
  </si>
  <si>
    <t>민경성
/
김종우</t>
    <phoneticPr fontId="2" type="noConversion"/>
  </si>
  <si>
    <t>052019-04</t>
    <phoneticPr fontId="2" type="noConversion"/>
  </si>
  <si>
    <t>화성시 공동주택신축 교통영향평가 용역</t>
    <phoneticPr fontId="2" type="noConversion"/>
  </si>
  <si>
    <t>19.07.25</t>
  </si>
  <si>
    <t>과업 완료</t>
    <phoneticPr fontId="2" type="noConversion"/>
  </si>
  <si>
    <r>
      <t xml:space="preserve">주요보고사항
</t>
    </r>
    <r>
      <rPr>
        <sz val="10"/>
        <color theme="1"/>
        <rFont val="HY신명조"/>
        <family val="1"/>
        <charset val="129"/>
      </rPr>
      <t>(공정-수금 차액)</t>
    </r>
    <phoneticPr fontId="2" type="noConversion"/>
  </si>
  <si>
    <t>052021-04</t>
    <phoneticPr fontId="2" type="noConversion"/>
  </si>
  <si>
    <t>시흥시 주차수급실태조사</t>
    <phoneticPr fontId="2" type="noConversion"/>
  </si>
  <si>
    <t>21.04.21</t>
    <phoneticPr fontId="2" type="noConversion"/>
  </si>
  <si>
    <t>수급실태 분석</t>
    <phoneticPr fontId="2" type="noConversion"/>
  </si>
  <si>
    <t>16-02</t>
    <phoneticPr fontId="2" type="noConversion"/>
  </si>
  <si>
    <t>조사</t>
    <phoneticPr fontId="2" type="noConversion"/>
  </si>
  <si>
    <t>현황조사</t>
    <phoneticPr fontId="2" type="noConversion"/>
  </si>
  <si>
    <t>천안 성성동 지식산업센터 교통영향평가</t>
    <phoneticPr fontId="2" type="noConversion"/>
  </si>
  <si>
    <t>보고서 작성</t>
    <phoneticPr fontId="2" type="noConversion"/>
  </si>
  <si>
    <t>보고서 작성</t>
    <phoneticPr fontId="2" type="noConversion"/>
  </si>
  <si>
    <t>남양주 도농1-1 재건축 교통성 검토</t>
    <phoneticPr fontId="2" type="noConversion"/>
  </si>
  <si>
    <t>교통성 검토서 보완</t>
    <phoneticPr fontId="2" type="noConversion"/>
  </si>
  <si>
    <t>관련부서
협의</t>
    <phoneticPr fontId="2" type="noConversion"/>
  </si>
  <si>
    <t>052021-06</t>
    <phoneticPr fontId="2" type="noConversion"/>
  </si>
  <si>
    <t>전주시관내 국도대체우회도로(용진-우아) 건설공사 교통안전진단</t>
    <phoneticPr fontId="2" type="noConversion"/>
  </si>
  <si>
    <t>자료 정리</t>
    <phoneticPr fontId="2" type="noConversion"/>
  </si>
  <si>
    <t>자료 수집</t>
    <phoneticPr fontId="2" type="noConversion"/>
  </si>
  <si>
    <t>2. 부 서 협 조</t>
    <phoneticPr fontId="2" type="noConversion"/>
  </si>
  <si>
    <t>협조금액</t>
    <phoneticPr fontId="2" type="noConversion"/>
  </si>
  <si>
    <t>담당자</t>
    <phoneticPr fontId="2" type="noConversion"/>
  </si>
  <si>
    <t>온양중심상권 재정비촉진지구 변경(결정) 등 수립용역</t>
    <phoneticPr fontId="2" type="noConversion"/>
  </si>
  <si>
    <t>김종우</t>
    <phoneticPr fontId="2" type="noConversion"/>
  </si>
  <si>
    <t>평택 원정리 지구단위계획</t>
    <phoneticPr fontId="2" type="noConversion"/>
  </si>
  <si>
    <t>김종우</t>
    <phoneticPr fontId="2" type="noConversion"/>
  </si>
  <si>
    <t>102020-04</t>
    <phoneticPr fontId="2" type="noConversion"/>
  </si>
  <si>
    <t>인천시 서구 왕길동 사업지 개발 및 물류센터 개발사업</t>
    <phoneticPr fontId="2" type="noConversion"/>
  </si>
  <si>
    <t>외산면 전장~수산외 1개소 농촌지방상수도 확충사업 기본 및 실시설계 교통성 검토</t>
    <phoneticPr fontId="2" type="noConversion"/>
  </si>
  <si>
    <t>보고서
작성</t>
    <phoneticPr fontId="2" type="noConversion"/>
  </si>
  <si>
    <t>042020-03</t>
    <phoneticPr fontId="2" type="noConversion"/>
  </si>
  <si>
    <t>안산시 상록구 이동 산21-18번지 개발행위허가 및 조사설계 용역</t>
    <phoneticPr fontId="2" type="noConversion"/>
  </si>
  <si>
    <t>국도21호선 아산배방 은수교차로 개선공사 실시설계용역</t>
    <phoneticPr fontId="2" type="noConversion"/>
  </si>
  <si>
    <t>042019-06</t>
    <phoneticPr fontId="2" type="noConversion"/>
  </si>
  <si>
    <t>원주 동서울레스피아 지구단위계획 결정(변경) 기본 및 실시설계용역</t>
    <phoneticPr fontId="2" type="noConversion"/>
  </si>
  <si>
    <t>042019-08</t>
    <phoneticPr fontId="2" type="noConversion"/>
  </si>
  <si>
    <t>2030년 천안시 도시관리계획(재정비)결정(변경)용역</t>
    <phoneticPr fontId="2" type="noConversion"/>
  </si>
  <si>
    <t>한동일</t>
    <phoneticPr fontId="2" type="noConversion"/>
  </si>
  <si>
    <t>협조</t>
    <phoneticPr fontId="2" type="noConversion"/>
  </si>
  <si>
    <t>수행</t>
    <phoneticPr fontId="2" type="noConversion"/>
  </si>
  <si>
    <t>당해공정금액</t>
    <phoneticPr fontId="2" type="noConversion"/>
  </si>
  <si>
    <t>공정잔액</t>
    <phoneticPr fontId="2" type="noConversion"/>
  </si>
  <si>
    <t>기타비용</t>
    <phoneticPr fontId="2" type="noConversion"/>
  </si>
  <si>
    <t>042017-04</t>
    <phoneticPr fontId="2" type="noConversion"/>
  </si>
  <si>
    <t>아산 제2디지털 일반산업단지 조성사업 기초조사 및 실시설계 용역</t>
    <phoneticPr fontId="2" type="noConversion"/>
  </si>
  <si>
    <t>김종우</t>
  </si>
  <si>
    <t>042018-11</t>
    <phoneticPr fontId="2" type="noConversion"/>
  </si>
  <si>
    <t>성남시 이매동 산29-1번지 일원 기업형 임대주택 조성사업 용역</t>
  </si>
  <si>
    <t>042021-02</t>
    <phoneticPr fontId="2" type="noConversion"/>
  </si>
  <si>
    <t>안산 국제문화센터 도시관리계획 변경 용역</t>
    <phoneticPr fontId="2" type="noConversion"/>
  </si>
  <si>
    <t>한동일</t>
    <phoneticPr fontId="2" type="noConversion"/>
  </si>
  <si>
    <t>남양주 오남3지구 도시관리계획(지구단위계획) 결정(변경)</t>
    <phoneticPr fontId="2" type="noConversion"/>
  </si>
  <si>
    <t>자료수집</t>
    <phoneticPr fontId="2" type="noConversion"/>
  </si>
  <si>
    <t>자료수집</t>
    <phoneticPr fontId="2" type="noConversion"/>
  </si>
  <si>
    <t>삽교천 체육공원 조성사업 기본 및 실시설계 용역</t>
    <phoneticPr fontId="2" type="noConversion"/>
  </si>
  <si>
    <t>교통처리 계획도 작성</t>
    <phoneticPr fontId="2" type="noConversion"/>
  </si>
  <si>
    <t>교통분석</t>
    <phoneticPr fontId="2" type="noConversion"/>
  </si>
  <si>
    <t>042021-05</t>
    <phoneticPr fontId="2" type="noConversion"/>
  </si>
  <si>
    <t>군 관리계획(공공청사) 결정 용역</t>
    <phoneticPr fontId="2" type="noConversion"/>
  </si>
  <si>
    <t>금액현황</t>
    <phoneticPr fontId="2" type="noConversion"/>
  </si>
  <si>
    <t>외주금액</t>
    <phoneticPr fontId="2" type="noConversion"/>
  </si>
  <si>
    <t>부가세 포함</t>
    <phoneticPr fontId="2" type="noConversion"/>
  </si>
  <si>
    <t>052019-06</t>
    <phoneticPr fontId="2" type="noConversion"/>
  </si>
  <si>
    <t>충남도청(내포)신도시 및 도시첨단산업단지 교통영향평가, 사전재해영향성 검토 변경용역</t>
    <phoneticPr fontId="2" type="noConversion"/>
  </si>
  <si>
    <t>19.09.17</t>
    <phoneticPr fontId="2" type="noConversion"/>
  </si>
  <si>
    <t>1</t>
    <phoneticPr fontId="2" type="noConversion"/>
  </si>
  <si>
    <t>중지:'05/13</t>
    <phoneticPr fontId="2" type="noConversion"/>
  </si>
  <si>
    <t>052019-08</t>
    <phoneticPr fontId="2" type="noConversion"/>
  </si>
  <si>
    <t>국도3호선 김천-교리1 등 6개 국도건설공사 사후평가용역(1차)</t>
    <phoneticPr fontId="2" type="noConversion"/>
  </si>
  <si>
    <t>19.12.20</t>
    <phoneticPr fontId="2" type="noConversion"/>
  </si>
  <si>
    <t>준공금 지급
(6/3)</t>
    <phoneticPr fontId="2" type="noConversion"/>
  </si>
  <si>
    <t>1</t>
    <phoneticPr fontId="2" type="noConversion"/>
  </si>
  <si>
    <t>중지:01/01</t>
    <phoneticPr fontId="2" type="noConversion"/>
  </si>
  <si>
    <t>교통부</t>
    <phoneticPr fontId="2" type="noConversion"/>
  </si>
  <si>
    <t>발주처및금액상이</t>
    <phoneticPr fontId="2" type="noConversion"/>
  </si>
  <si>
    <t>교통</t>
    <phoneticPr fontId="2" type="noConversion"/>
  </si>
  <si>
    <t>월 간  공 정  보 고</t>
    <phoneticPr fontId="2" type="noConversion"/>
  </si>
  <si>
    <r>
      <t xml:space="preserve">주요보고사항
</t>
    </r>
    <r>
      <rPr>
        <sz val="9"/>
        <color theme="1"/>
        <rFont val="HY신명조"/>
        <family val="1"/>
        <charset val="129"/>
      </rPr>
      <t>(공정-수금차액)</t>
    </r>
    <phoneticPr fontId="2" type="noConversion"/>
  </si>
  <si>
    <t>063011-07</t>
    <phoneticPr fontId="2" type="noConversion"/>
  </si>
  <si>
    <t>위례신도시
주변도로건설사업
조사설계
사전환경성검토</t>
    <phoneticPr fontId="2" type="noConversion"/>
  </si>
  <si>
    <t>위례신도시
주변도로건설사업
조사설계
사전환경성검토</t>
    <phoneticPr fontId="2" type="noConversion"/>
  </si>
  <si>
    <t>09.09.01</t>
    <phoneticPr fontId="2" type="noConversion"/>
  </si>
  <si>
    <t>- 기수금 35%
- 기성 50%
    청구중(2월)</t>
    <phoneticPr fontId="2" type="noConversion"/>
  </si>
  <si>
    <t>(주)이산
과장:김상옥
담당:김은수</t>
    <phoneticPr fontId="2" type="noConversion"/>
  </si>
  <si>
    <t>성과품제출</t>
    <phoneticPr fontId="2" type="noConversion"/>
  </si>
  <si>
    <t>기성청구
(9,513,000)</t>
    <phoneticPr fontId="2" type="noConversion"/>
  </si>
  <si>
    <t>063011-09</t>
    <phoneticPr fontId="2" type="noConversion"/>
  </si>
  <si>
    <t>09.09.01</t>
    <phoneticPr fontId="2" type="noConversion"/>
  </si>
  <si>
    <t>-준공완료
  (21. 02. 25)</t>
    <phoneticPr fontId="2" type="noConversion"/>
  </si>
  <si>
    <t>㈜용마
대리:신재우
담당:김은수</t>
    <phoneticPr fontId="2" type="noConversion"/>
  </si>
  <si>
    <r>
      <t>변경계약
이소</t>
    </r>
    <r>
      <rPr>
        <sz val="10"/>
        <color theme="1"/>
        <rFont val="굴림"/>
        <family val="3"/>
        <charset val="129"/>
      </rPr>
      <t>→</t>
    </r>
    <r>
      <rPr>
        <sz val="10"/>
        <color theme="1"/>
        <rFont val="HY신명조"/>
        <family val="1"/>
        <charset val="129"/>
      </rPr>
      <t>천마
성과품제출</t>
    </r>
    <phoneticPr fontId="2" type="noConversion"/>
  </si>
  <si>
    <t>준공
준공금수금
(2/25)</t>
    <phoneticPr fontId="2" type="noConversion"/>
  </si>
  <si>
    <t>062015-03</t>
    <phoneticPr fontId="2" type="noConversion"/>
  </si>
  <si>
    <t>명성산 케이블카 
조성사업 
소규모
환경평가용역</t>
    <phoneticPr fontId="2" type="noConversion"/>
  </si>
  <si>
    <t>15.04.01</t>
    <phoneticPr fontId="2" type="noConversion"/>
  </si>
  <si>
    <t>-타절준공완료
 (21. 02. 19)</t>
    <phoneticPr fontId="2" type="noConversion"/>
  </si>
  <si>
    <t>나라씨앤디
이덕성부사장
담당:김은수</t>
    <phoneticPr fontId="2" type="noConversion"/>
  </si>
  <si>
    <t>15-003</t>
    <phoneticPr fontId="2" type="noConversion"/>
  </si>
  <si>
    <t>타절준공
협의 중</t>
    <phoneticPr fontId="2" type="noConversion"/>
  </si>
  <si>
    <t xml:space="preserve">당초 4천4백
타절 8.8백
타절준공 </t>
    <phoneticPr fontId="2" type="noConversion"/>
  </si>
  <si>
    <t>062018-03</t>
    <phoneticPr fontId="2" type="noConversion"/>
  </si>
  <si>
    <t>군포송정 공공주택
사후환경영향조사
(운영시) 용역</t>
    <phoneticPr fontId="2" type="noConversion"/>
  </si>
  <si>
    <t>18.10.02</t>
    <phoneticPr fontId="2" type="noConversion"/>
  </si>
  <si>
    <t>-특이사항없음</t>
    <phoneticPr fontId="2" type="noConversion"/>
  </si>
  <si>
    <t>경기지역
본부
단지사업1부
과장:최회권
담당: 허창호</t>
    <phoneticPr fontId="2" type="noConversion"/>
  </si>
  <si>
    <t>18-03</t>
    <phoneticPr fontId="2" type="noConversion"/>
  </si>
  <si>
    <t>중지:</t>
    <phoneticPr fontId="2" type="noConversion"/>
  </si>
  <si>
    <t>잔액</t>
    <phoneticPr fontId="2" type="noConversion"/>
  </si>
  <si>
    <t>외주 등</t>
    <phoneticPr fontId="2" type="noConversion"/>
  </si>
  <si>
    <t>전파년간측정
'19년하반기
성과품납품</t>
    <phoneticPr fontId="2" type="noConversion"/>
  </si>
  <si>
    <t>연간통보서
작성</t>
    <phoneticPr fontId="2" type="noConversion"/>
  </si>
  <si>
    <t>분기수질측정
연간통보서
작성</t>
    <phoneticPr fontId="2" type="noConversion"/>
  </si>
  <si>
    <t>연간 통보서
납품</t>
    <phoneticPr fontId="2" type="noConversion"/>
  </si>
  <si>
    <t>분기측정
분기현장
분기생태</t>
    <phoneticPr fontId="2" type="noConversion"/>
  </si>
  <si>
    <t>성과품 납품
준공(6/30)</t>
    <phoneticPr fontId="2" type="noConversion"/>
  </si>
  <si>
    <t>준공금
수금</t>
    <phoneticPr fontId="2" type="noConversion"/>
  </si>
  <si>
    <t>실적증명수급
협회신고</t>
    <phoneticPr fontId="2" type="noConversion"/>
  </si>
  <si>
    <t>-</t>
    <phoneticPr fontId="2" type="noConversion"/>
  </si>
  <si>
    <t>기타비용</t>
    <phoneticPr fontId="2" type="noConversion"/>
  </si>
  <si>
    <t>20년부터 반기 17%</t>
    <phoneticPr fontId="2" type="noConversion"/>
  </si>
  <si>
    <t>062019-05</t>
    <phoneticPr fontId="2" type="noConversion"/>
  </si>
  <si>
    <t>대경대학 도시관리
계획 결정 및 실시
계획인가(변경)
소규모
환경평가용역</t>
    <phoneticPr fontId="2" type="noConversion"/>
  </si>
  <si>
    <t>19.06.27</t>
    <phoneticPr fontId="2" type="noConversion"/>
  </si>
  <si>
    <t>계약</t>
    <phoneticPr fontId="2" type="noConversion"/>
  </si>
  <si>
    <t>수행</t>
    <phoneticPr fontId="2" type="noConversion"/>
  </si>
  <si>
    <t>-외주예상
   공급가액
27,300천원</t>
    <phoneticPr fontId="2" type="noConversion"/>
  </si>
  <si>
    <t>대경대
부총장김흥태
/D&amp;C이엔지
대표 김태용
담당: 김은수</t>
    <phoneticPr fontId="2" type="noConversion"/>
  </si>
  <si>
    <t>당해공정금액</t>
    <phoneticPr fontId="2" type="noConversion"/>
  </si>
  <si>
    <t>공정잔액</t>
    <phoneticPr fontId="2" type="noConversion"/>
  </si>
  <si>
    <t>19-05</t>
    <phoneticPr fontId="2" type="noConversion"/>
  </si>
  <si>
    <t>부서협조</t>
    <phoneticPr fontId="2" type="noConversion"/>
  </si>
  <si>
    <t>지반협조</t>
    <phoneticPr fontId="2" type="noConversion"/>
  </si>
  <si>
    <t>구조협조</t>
    <phoneticPr fontId="2" type="noConversion"/>
  </si>
  <si>
    <t>기타</t>
    <phoneticPr fontId="2" type="noConversion"/>
  </si>
  <si>
    <t>환평, 사후
발주서류
제출</t>
    <phoneticPr fontId="2" type="noConversion"/>
  </si>
  <si>
    <t>대기중</t>
    <phoneticPr fontId="2" type="noConversion"/>
  </si>
  <si>
    <t>062020-02</t>
    <phoneticPr fontId="2" type="noConversion"/>
  </si>
  <si>
    <t>용궁천 외 3개하천 
기본계획 전략 환경영향평가</t>
    <phoneticPr fontId="2" type="noConversion"/>
  </si>
  <si>
    <t>20.02.24</t>
    <phoneticPr fontId="2" type="noConversion"/>
  </si>
  <si>
    <t>-준공완료
 (2021.02.18)</t>
    <phoneticPr fontId="2" type="noConversion"/>
  </si>
  <si>
    <t>충청남도 재난안전실/하천과
감독:최양진
담당:김은수</t>
    <phoneticPr fontId="2" type="noConversion"/>
  </si>
  <si>
    <t>19-06</t>
    <phoneticPr fontId="2" type="noConversion"/>
  </si>
  <si>
    <t>19-06</t>
    <phoneticPr fontId="2" type="noConversion"/>
  </si>
  <si>
    <t>금강정
협의의견
조치계획작성</t>
    <phoneticPr fontId="2" type="noConversion"/>
  </si>
  <si>
    <t>준공
준공금수금
(2/25)</t>
    <phoneticPr fontId="2" type="noConversion"/>
  </si>
  <si>
    <t>062020-03</t>
    <phoneticPr fontId="2" type="noConversion"/>
  </si>
  <si>
    <t>2020아산 염치일반
산업단지 진입도로
소규모
환경영향평가</t>
    <phoneticPr fontId="2" type="noConversion"/>
  </si>
  <si>
    <t>20.04.07</t>
    <phoneticPr fontId="2" type="noConversion"/>
  </si>
  <si>
    <t>-준공완료
 (2021.12.12)</t>
    <phoneticPr fontId="2" type="noConversion"/>
  </si>
  <si>
    <t>아산시
기업경제과
감독:박상국
담당:김은수</t>
    <phoneticPr fontId="2" type="noConversion"/>
  </si>
  <si>
    <t>준공금청구
협의의견
조치계획작성</t>
    <phoneticPr fontId="2" type="noConversion"/>
  </si>
  <si>
    <t>준공금수금
(2/9)</t>
    <phoneticPr fontId="2" type="noConversion"/>
  </si>
  <si>
    <t>062020-05</t>
    <phoneticPr fontId="2" type="noConversion"/>
  </si>
  <si>
    <t>당진시 장기미집행
도시계획도로
소규모
환경영향평가</t>
    <phoneticPr fontId="2" type="noConversion"/>
  </si>
  <si>
    <t>20.05.06</t>
    <phoneticPr fontId="2" type="noConversion"/>
  </si>
  <si>
    <t>-준공완료
 (2021.06.04)</t>
    <phoneticPr fontId="2" type="noConversion"/>
  </si>
  <si>
    <t>당진시
도로과
감독:이한범
담당:허창호</t>
    <phoneticPr fontId="2" type="noConversion"/>
  </si>
  <si>
    <t>중지:
'20.07.28</t>
    <phoneticPr fontId="2" type="noConversion"/>
  </si>
  <si>
    <t>보완작성
금강청
사전협의</t>
    <phoneticPr fontId="2" type="noConversion"/>
  </si>
  <si>
    <t>보완작성</t>
    <phoneticPr fontId="2" type="noConversion"/>
  </si>
  <si>
    <t>보완협의
요청</t>
    <phoneticPr fontId="2" type="noConversion"/>
  </si>
  <si>
    <t>보완협의
재착수</t>
    <phoneticPr fontId="2" type="noConversion"/>
  </si>
  <si>
    <t>준공완료
수금완료
실적증명</t>
    <phoneticPr fontId="2" type="noConversion"/>
  </si>
  <si>
    <t>062020-06</t>
    <phoneticPr fontId="2" type="noConversion"/>
  </si>
  <si>
    <t>어청도 집입도로
개설공사 소규모
환경영향평가</t>
    <phoneticPr fontId="2" type="noConversion"/>
  </si>
  <si>
    <t>20.06.30</t>
    <phoneticPr fontId="2" type="noConversion"/>
  </si>
  <si>
    <t>-준공완료
 (2021.05.12)</t>
    <phoneticPr fontId="2" type="noConversion"/>
  </si>
  <si>
    <t>국방과학
연구소
자산장비팀
이종언
담당:허창호</t>
    <phoneticPr fontId="2" type="noConversion"/>
  </si>
  <si>
    <t>전북환경청
협의 중</t>
    <phoneticPr fontId="2" type="noConversion"/>
  </si>
  <si>
    <t>보완협의
과업연장
~'21.05.30.</t>
    <phoneticPr fontId="2" type="noConversion"/>
  </si>
  <si>
    <t>전북청
협의완료</t>
    <phoneticPr fontId="2" type="noConversion"/>
  </si>
  <si>
    <t>준공
청구</t>
    <phoneticPr fontId="2" type="noConversion"/>
  </si>
  <si>
    <t>수금완료
실적증명</t>
    <phoneticPr fontId="2" type="noConversion"/>
  </si>
  <si>
    <t>062020-07</t>
    <phoneticPr fontId="2" type="noConversion"/>
  </si>
  <si>
    <t>기흥수지
도시고속도로
민간투자시설사업
제안 환경성검토</t>
    <phoneticPr fontId="2" type="noConversion"/>
  </si>
  <si>
    <t>20.08.06</t>
    <phoneticPr fontId="2" type="noConversion"/>
  </si>
  <si>
    <t>-50%수금완료</t>
    <phoneticPr fontId="2" type="noConversion"/>
  </si>
  <si>
    <t>용마엔지
도로팀
박길규 전무
담당:허창호</t>
    <phoneticPr fontId="2" type="noConversion"/>
  </si>
  <si>
    <t>환경성수정</t>
    <phoneticPr fontId="2" type="noConversion"/>
  </si>
  <si>
    <t>기성금
50% 수금
(2/26)</t>
    <phoneticPr fontId="2" type="noConversion"/>
  </si>
  <si>
    <t>설계변경
업무협의</t>
    <phoneticPr fontId="2" type="noConversion"/>
  </si>
  <si>
    <t>062021-01</t>
    <phoneticPr fontId="2" type="noConversion"/>
  </si>
  <si>
    <t>복수~진산간
지방도 확포장공사
전략 및 환경영향
평가 용역</t>
    <phoneticPr fontId="2" type="noConversion"/>
  </si>
  <si>
    <t>21.01.15</t>
    <phoneticPr fontId="2" type="noConversion"/>
  </si>
  <si>
    <t>-특이사항없음</t>
    <phoneticPr fontId="2" type="noConversion"/>
  </si>
  <si>
    <t>도화 : 55%
천마 : 30%
라임 : 15%
도로건설과
감독 : 이완철
계장 : 조건희
담당 : 허창호</t>
    <phoneticPr fontId="2" type="noConversion"/>
  </si>
  <si>
    <t>21-01</t>
    <phoneticPr fontId="2" type="noConversion"/>
  </si>
  <si>
    <t>착수
업무분장</t>
    <phoneticPr fontId="2" type="noConversion"/>
  </si>
  <si>
    <t>업무분장
평가준비서
작성</t>
    <phoneticPr fontId="2" type="noConversion"/>
  </si>
  <si>
    <t>실행계획
현장조사
평가준비서</t>
    <phoneticPr fontId="2" type="noConversion"/>
  </si>
  <si>
    <t>전략
평가준비서</t>
    <phoneticPr fontId="2" type="noConversion"/>
  </si>
  <si>
    <t>현장조사
평가준비서</t>
    <phoneticPr fontId="2" type="noConversion"/>
  </si>
  <si>
    <t>평가준비서
협의</t>
    <phoneticPr fontId="2" type="noConversion"/>
  </si>
  <si>
    <t>노선선정
현장조사</t>
    <phoneticPr fontId="2" type="noConversion"/>
  </si>
  <si>
    <t>노선민원
환경검토</t>
    <phoneticPr fontId="2" type="noConversion"/>
  </si>
  <si>
    <t>평가준비서
수정검토</t>
    <phoneticPr fontId="2" type="noConversion"/>
  </si>
  <si>
    <t>평가준비서
수정</t>
    <phoneticPr fontId="2" type="noConversion"/>
  </si>
  <si>
    <t>062021-02</t>
    <phoneticPr fontId="2" type="noConversion"/>
  </si>
  <si>
    <t>양주 용암2지구
도시관리계획변경
전략환경영향평가
변경협의 및
재해영향성검토</t>
    <phoneticPr fontId="2" type="noConversion"/>
  </si>
  <si>
    <t>21.03.10</t>
    <phoneticPr fontId="2" type="noConversion"/>
  </si>
  <si>
    <t>㈜정준
김광호 대표
담당:허창호</t>
    <phoneticPr fontId="2" type="noConversion"/>
  </si>
  <si>
    <t>21-02</t>
    <phoneticPr fontId="2" type="noConversion"/>
  </si>
  <si>
    <t>21-02</t>
    <phoneticPr fontId="2" type="noConversion"/>
  </si>
  <si>
    <t>계약/착수
계약금 수금
실행/현장</t>
    <phoneticPr fontId="2" type="noConversion"/>
  </si>
  <si>
    <t>전략/재해
납품
협의요청</t>
    <phoneticPr fontId="2" type="noConversion"/>
  </si>
  <si>
    <t>전략협의</t>
    <phoneticPr fontId="2" type="noConversion"/>
  </si>
  <si>
    <t>전략협의
완료</t>
    <phoneticPr fontId="2" type="noConversion"/>
  </si>
  <si>
    <t>도시계획
심의지원</t>
    <phoneticPr fontId="2" type="noConversion"/>
  </si>
  <si>
    <t>협의내용
조치계획
수정</t>
    <phoneticPr fontId="2" type="noConversion"/>
  </si>
  <si>
    <t>062021-03</t>
    <phoneticPr fontId="2" type="noConversion"/>
  </si>
  <si>
    <t>도화수급
도화 : 김성근
담당 : 허창호</t>
    <phoneticPr fontId="2" type="noConversion"/>
  </si>
  <si>
    <t>062021-04</t>
    <phoneticPr fontId="2" type="noConversion"/>
  </si>
  <si>
    <t>아산시내륙어촌재생
사업 커뮤니티센터
및 생태체험장 소평</t>
    <phoneticPr fontId="2" type="noConversion"/>
  </si>
  <si>
    <t>21.06.23</t>
    <phoneticPr fontId="2" type="noConversion"/>
  </si>
  <si>
    <t>어촌해양
개발팀
감독 : 장재준
담당 : 김은수</t>
    <phoneticPr fontId="2" type="noConversion"/>
  </si>
  <si>
    <t>21-03</t>
    <phoneticPr fontId="2" type="noConversion"/>
  </si>
  <si>
    <t>계약(6/22)
착수(6/23)</t>
    <phoneticPr fontId="2" type="noConversion"/>
  </si>
  <si>
    <t>실행계획
현장조사</t>
    <phoneticPr fontId="2" type="noConversion"/>
  </si>
  <si>
    <t>소규모
환평작성</t>
    <phoneticPr fontId="2" type="noConversion"/>
  </si>
  <si>
    <t>소규모
환평작성
협의요청</t>
    <phoneticPr fontId="2" type="noConversion"/>
  </si>
  <si>
    <t>소규모
환평작성
협의</t>
    <phoneticPr fontId="2" type="noConversion"/>
  </si>
  <si>
    <t>조기준공
수금</t>
    <phoneticPr fontId="2" type="noConversion"/>
  </si>
  <si>
    <t>062021-05</t>
    <phoneticPr fontId="2" type="noConversion"/>
  </si>
  <si>
    <t>지석천 오계지구
외1개소
소규모환경영향평가</t>
    <phoneticPr fontId="2" type="noConversion"/>
  </si>
  <si>
    <t>21.09.28</t>
    <phoneticPr fontId="2" type="noConversion"/>
  </si>
  <si>
    <t>익산국토청
하천공사팀
감독 : 최우진
담당 : 허창호</t>
    <phoneticPr fontId="2" type="noConversion"/>
  </si>
  <si>
    <t>계약(9/28)
착수(9/28)</t>
    <phoneticPr fontId="2" type="noConversion"/>
  </si>
  <si>
    <t>현장조사
1차성과품
작성</t>
    <phoneticPr fontId="2" type="noConversion"/>
  </si>
  <si>
    <t>1차분 납품
준공</t>
    <phoneticPr fontId="2" type="noConversion"/>
  </si>
  <si>
    <t>화성(장안지구)
공동주택 신축사업
전략환경영향평가</t>
    <phoneticPr fontId="2" type="noConversion"/>
  </si>
  <si>
    <t>-협조
(97,500천원)
-협조미정산
(26,592천원)</t>
    <phoneticPr fontId="2" type="noConversion"/>
  </si>
  <si>
    <t>도시:김권수
환경:소은미</t>
    <phoneticPr fontId="2" type="noConversion"/>
  </si>
  <si>
    <t>협조검토</t>
    <phoneticPr fontId="2" type="noConversion"/>
  </si>
  <si>
    <t>협조분담
대기중</t>
    <phoneticPr fontId="2" type="noConversion"/>
  </si>
  <si>
    <t>042015-06</t>
    <phoneticPr fontId="2" type="noConversion"/>
  </si>
  <si>
    <t>홍성군 갈산면
갈산지구 관리계획
환경성검토</t>
    <phoneticPr fontId="2" type="noConversion"/>
  </si>
  <si>
    <t>15.02.25</t>
    <phoneticPr fontId="2" type="noConversion"/>
  </si>
  <si>
    <t>-협조
(10,000천원)
-협조미정산
(8,000천원)
-외주는 도시
-대기(15.05)</t>
    <phoneticPr fontId="2" type="noConversion"/>
  </si>
  <si>
    <t>분담</t>
    <phoneticPr fontId="2" type="noConversion"/>
  </si>
  <si>
    <t>아산 인주산업단지
3공구 지구외 사업
인허가</t>
    <phoneticPr fontId="2" type="noConversion"/>
  </si>
  <si>
    <t>-협조
(81,000천원)
-협조미정산
(72,900천원)</t>
    <phoneticPr fontId="2" type="noConversion"/>
  </si>
  <si>
    <t>도시:김권수
환경:소은미</t>
    <phoneticPr fontId="2" type="noConversion"/>
  </si>
  <si>
    <t>협조
정산 중</t>
    <phoneticPr fontId="2" type="noConversion"/>
  </si>
  <si>
    <t>협조분담
대기중</t>
    <phoneticPr fontId="2" type="noConversion"/>
  </si>
  <si>
    <t>아산북수리공공
민간임대주택사업
지구단위계획
환경성/소평</t>
    <phoneticPr fontId="2" type="noConversion"/>
  </si>
  <si>
    <t>18.10.24</t>
    <phoneticPr fontId="2" type="noConversion"/>
  </si>
  <si>
    <t>-협조
(19,250천원)
-협조미정산
(19,250천원)
환경성제출('19.3.20)</t>
    <phoneticPr fontId="2" type="noConversion"/>
  </si>
  <si>
    <t>5</t>
    <phoneticPr fontId="2" type="noConversion"/>
  </si>
  <si>
    <t>정산
완료</t>
    <phoneticPr fontId="2" type="noConversion"/>
  </si>
  <si>
    <t>042017-05</t>
    <phoneticPr fontId="2" type="noConversion"/>
  </si>
  <si>
    <t>청주흥덕 강서지구
강서동40-41일원 
도시개발사업 용역</t>
    <phoneticPr fontId="2" type="noConversion"/>
  </si>
  <si>
    <t>19.03.04</t>
    <phoneticPr fontId="2" type="noConversion"/>
  </si>
  <si>
    <t>-협조미등록
-협조분담금
(35,000천원)</t>
    <phoneticPr fontId="2" type="noConversion"/>
  </si>
  <si>
    <t>도시:이용희
환경:허창호</t>
    <phoneticPr fontId="2" type="noConversion"/>
  </si>
  <si>
    <t>기타</t>
    <phoneticPr fontId="2" type="noConversion"/>
  </si>
  <si>
    <t>중지:</t>
    <phoneticPr fontId="2" type="noConversion"/>
  </si>
  <si>
    <t>원사업</t>
    <phoneticPr fontId="2" type="noConversion"/>
  </si>
  <si>
    <t>환경성제출
협조미등록</t>
    <phoneticPr fontId="2" type="noConversion"/>
  </si>
  <si>
    <t>대기중</t>
    <phoneticPr fontId="2" type="noConversion"/>
  </si>
  <si>
    <t>잔액</t>
    <phoneticPr fontId="2" type="noConversion"/>
  </si>
  <si>
    <t>042017-03</t>
    <phoneticPr fontId="2" type="noConversion"/>
  </si>
  <si>
    <t xml:space="preserve">아산배방 북수지구 도시개발사업
환경성/소평 </t>
    <phoneticPr fontId="2" type="noConversion"/>
  </si>
  <si>
    <t>19.03.27</t>
    <phoneticPr fontId="2" type="noConversion"/>
  </si>
  <si>
    <t>-협조
(35,000천원)
-협조미정산
(17,500천원)
환경성제출
('19.5.10)</t>
    <phoneticPr fontId="2" type="noConversion"/>
  </si>
  <si>
    <t>도시:김권수
환경:김은수</t>
    <phoneticPr fontId="2" type="noConversion"/>
  </si>
  <si>
    <t>042020-16</t>
    <phoneticPr fontId="2" type="noConversion"/>
  </si>
  <si>
    <t>음봉면 동암리
아산 제2디지털
일반산업단지
조성사업
환경영향평가</t>
    <phoneticPr fontId="2" type="noConversion"/>
  </si>
  <si>
    <t>20.12.04</t>
    <phoneticPr fontId="2" type="noConversion"/>
  </si>
  <si>
    <t>-대기중</t>
    <phoneticPr fontId="2" type="noConversion"/>
  </si>
  <si>
    <t>중지:`</t>
    <phoneticPr fontId="2" type="noConversion"/>
  </si>
  <si>
    <t>외주시행
초안작성</t>
    <phoneticPr fontId="2" type="noConversion"/>
  </si>
  <si>
    <t>초안작성</t>
    <phoneticPr fontId="2" type="noConversion"/>
  </si>
  <si>
    <t>초안검토
일정검토</t>
    <phoneticPr fontId="2" type="noConversion"/>
  </si>
  <si>
    <t>초안재작성</t>
    <phoneticPr fontId="2" type="noConversion"/>
  </si>
  <si>
    <t>초안평가
작성</t>
    <phoneticPr fontId="2" type="noConversion"/>
  </si>
  <si>
    <t>초안평가
수정</t>
    <phoneticPr fontId="2" type="noConversion"/>
  </si>
  <si>
    <t>초안평가
수정/제출</t>
    <phoneticPr fontId="2" type="noConversion"/>
  </si>
  <si>
    <t>102019-07</t>
    <phoneticPr fontId="2" type="noConversion"/>
  </si>
  <si>
    <t>102019-07</t>
    <phoneticPr fontId="2" type="noConversion"/>
  </si>
  <si>
    <t>울산미포국가산단
공업용수 통합공급
환경분야 설계</t>
    <phoneticPr fontId="2" type="noConversion"/>
  </si>
  <si>
    <t>20.02.15</t>
    <phoneticPr fontId="2" type="noConversion"/>
  </si>
  <si>
    <t>-협조
(10,000천원)
-협조미정산
(9,000천원)</t>
    <phoneticPr fontId="2" type="noConversion"/>
  </si>
  <si>
    <t>상하:주용남
환경:허창호</t>
    <phoneticPr fontId="2" type="noConversion"/>
  </si>
  <si>
    <t>준공지원</t>
    <phoneticPr fontId="2" type="noConversion"/>
  </si>
  <si>
    <t>102019-09</t>
    <phoneticPr fontId="2" type="noConversion"/>
  </si>
  <si>
    <t>외산면 전장-수산외 농촌지방상수도 배수지 환경성검토</t>
    <phoneticPr fontId="2" type="noConversion"/>
  </si>
  <si>
    <t>계약체결</t>
    <phoneticPr fontId="2" type="noConversion"/>
  </si>
  <si>
    <t>-협조
(4,000천원)
-협조미정산
(4,000천원)</t>
    <phoneticPr fontId="2" type="noConversion"/>
  </si>
  <si>
    <t>상하:하용균
환경:김은수</t>
    <phoneticPr fontId="2" type="noConversion"/>
  </si>
  <si>
    <t>과업검토</t>
    <phoneticPr fontId="2" type="noConversion"/>
  </si>
  <si>
    <t>현장조사</t>
    <phoneticPr fontId="2" type="noConversion"/>
  </si>
  <si>
    <t>환경성
검토서
작성</t>
    <phoneticPr fontId="2" type="noConversion"/>
  </si>
  <si>
    <t>042020-10</t>
    <phoneticPr fontId="2" type="noConversion"/>
  </si>
  <si>
    <t>평택팽성읍원정리
산46번지
지구단위계획
전략 및 소규모
환경평가</t>
    <phoneticPr fontId="2" type="noConversion"/>
  </si>
  <si>
    <t>20.03.00</t>
    <phoneticPr fontId="2" type="noConversion"/>
  </si>
  <si>
    <t>-협조
(50,000천원)
'-협조미등록</t>
    <phoneticPr fontId="2" type="noConversion"/>
  </si>
  <si>
    <t>도시:유병진
환경:김은수</t>
    <phoneticPr fontId="2" type="noConversion"/>
  </si>
  <si>
    <t>초안평가서
협의</t>
    <phoneticPr fontId="2" type="noConversion"/>
  </si>
  <si>
    <t>본평가서
납품</t>
    <phoneticPr fontId="2" type="noConversion"/>
  </si>
  <si>
    <t>한강청협의</t>
    <phoneticPr fontId="2" type="noConversion"/>
  </si>
  <si>
    <t>환경완료
정산남음</t>
    <phoneticPr fontId="2" type="noConversion"/>
  </si>
  <si>
    <t>준공금
수금완료</t>
    <phoneticPr fontId="2" type="noConversion"/>
  </si>
  <si>
    <t>042021-01</t>
    <phoneticPr fontId="2" type="noConversion"/>
  </si>
  <si>
    <t>남양주 오남3지구 (지구단위계획) 기본 및 실시설계(기반시설) 등 환경성</t>
    <phoneticPr fontId="2" type="noConversion"/>
  </si>
  <si>
    <t>21.01.01</t>
    <phoneticPr fontId="2" type="noConversion"/>
  </si>
  <si>
    <t>-협조
(6,000천원)
'-협조미등록
-외주:소평때</t>
    <phoneticPr fontId="2" type="noConversion"/>
  </si>
  <si>
    <t>발주처:
㈜리치월드
아이앤씨
도시:유병진
환경:소은미</t>
    <phoneticPr fontId="2" type="noConversion"/>
  </si>
  <si>
    <t>업무분장
과업개요</t>
    <phoneticPr fontId="2" type="noConversion"/>
  </si>
  <si>
    <t>과업개요</t>
    <phoneticPr fontId="2" type="noConversion"/>
  </si>
  <si>
    <t>기초조사</t>
    <phoneticPr fontId="2" type="noConversion"/>
  </si>
  <si>
    <t>환경성
검토서
수정</t>
    <phoneticPr fontId="2" type="noConversion"/>
  </si>
  <si>
    <t>042020-13</t>
    <phoneticPr fontId="2" type="noConversion"/>
  </si>
  <si>
    <t>천안시 성성동
34-4번지 일원
 성성5지구
도시개발사업 용역
환경성, 소규모환경</t>
    <phoneticPr fontId="2" type="noConversion"/>
  </si>
  <si>
    <t>20.09.01</t>
    <phoneticPr fontId="2" type="noConversion"/>
  </si>
  <si>
    <t>-협조
(70,000천원)
'-협조미등록
-외주:소평때</t>
    <phoneticPr fontId="2" type="noConversion"/>
  </si>
  <si>
    <t>발주처:
㈜제이에스도시개발
도시:유병진
환경:김은수</t>
    <phoneticPr fontId="2" type="noConversion"/>
  </si>
  <si>
    <t>업무분장
환경성검토</t>
    <phoneticPr fontId="2" type="noConversion"/>
  </si>
  <si>
    <t>환경성
작성</t>
    <phoneticPr fontId="2" type="noConversion"/>
  </si>
  <si>
    <t>환경성
수정</t>
    <phoneticPr fontId="2" type="noConversion"/>
  </si>
  <si>
    <t>102020-05</t>
    <phoneticPr fontId="2" type="noConversion"/>
  </si>
  <si>
    <t>인천광역시 서구
왕길동 물류센터
개발사업
환경영향평가</t>
    <phoneticPr fontId="2" type="noConversion"/>
  </si>
  <si>
    <t>인천광역시 서구
왕길동 물류센터
개발사업
환경영향평가</t>
    <phoneticPr fontId="2" type="noConversion"/>
  </si>
  <si>
    <t>21.01.00</t>
    <phoneticPr fontId="2" type="noConversion"/>
  </si>
  <si>
    <t>-협조
(284,000천원)
-외주예상
(110,000천원)</t>
    <phoneticPr fontId="2" type="noConversion"/>
  </si>
  <si>
    <t>-협조
(284,000천원)
-외주예상
(110,000천원)</t>
    <phoneticPr fontId="2" type="noConversion"/>
  </si>
  <si>
    <t>상하:하용균
환경:허창호</t>
    <phoneticPr fontId="2" type="noConversion"/>
  </si>
  <si>
    <t>생태검토</t>
    <phoneticPr fontId="2" type="noConversion"/>
  </si>
  <si>
    <t>생태검토</t>
    <phoneticPr fontId="2" type="noConversion"/>
  </si>
  <si>
    <t>042020-12</t>
    <phoneticPr fontId="2" type="noConversion"/>
  </si>
  <si>
    <r>
      <t>천안시 부대동 
408번지 일원 
부대1(</t>
    </r>
    <r>
      <rPr>
        <b/>
        <strike/>
        <sz val="10"/>
        <rFont val="HY신명조"/>
        <family val="1"/>
        <charset val="129"/>
      </rPr>
      <t>성성6지구</t>
    </r>
    <r>
      <rPr>
        <b/>
        <sz val="10"/>
        <rFont val="HY신명조"/>
        <family val="1"/>
        <charset val="129"/>
      </rPr>
      <t>) 
도시개발사업 용역
환경성, 소규모평가</t>
    </r>
    <phoneticPr fontId="2" type="noConversion"/>
  </si>
  <si>
    <t>-협조분담
 : '21. 7. 6.
-외주
 :33,000천원</t>
    <phoneticPr fontId="2" type="noConversion"/>
  </si>
  <si>
    <t>발주처:
㈜씨더블유제이
도시:유병진
환경:김은수</t>
    <phoneticPr fontId="2" type="noConversion"/>
  </si>
  <si>
    <t>실행계획
현장조사
소규모작성</t>
    <phoneticPr fontId="2" type="noConversion"/>
  </si>
  <si>
    <t>환경성검토
보고서작성</t>
    <phoneticPr fontId="2" type="noConversion"/>
  </si>
  <si>
    <t>소규모환평
보고서작성</t>
    <phoneticPr fontId="2" type="noConversion"/>
  </si>
  <si>
    <t>태안군 군관리계획(공공청사) 결정 용역환경성검토</t>
    <phoneticPr fontId="2" type="noConversion"/>
  </si>
  <si>
    <t>-협조분담
 : '21. 7. 29.
-외주없음</t>
    <phoneticPr fontId="2" type="noConversion"/>
  </si>
  <si>
    <t>발주처:
태안군
도시:유병진
환경:김은수</t>
    <phoneticPr fontId="2" type="noConversion"/>
  </si>
  <si>
    <t>실행계획</t>
    <phoneticPr fontId="2" type="noConversion"/>
  </si>
  <si>
    <t>상하:하용균
환경:허창호</t>
    <phoneticPr fontId="2" type="noConversion"/>
  </si>
  <si>
    <t>고시일</t>
    <phoneticPr fontId="2" type="noConversion"/>
  </si>
  <si>
    <t>외주처리없음</t>
    <phoneticPr fontId="2" type="noConversion"/>
  </si>
  <si>
    <t>생태계조사</t>
    <phoneticPr fontId="2" type="noConversion"/>
  </si>
  <si>
    <t>환경질측정</t>
    <phoneticPr fontId="2" type="noConversion"/>
  </si>
  <si>
    <t>0 0 설계</t>
    <phoneticPr fontId="2" type="noConversion"/>
  </si>
  <si>
    <t>수행: 
(계약금액-부가세)×0.75-(협조+외주)/1.1+기타</t>
    <phoneticPr fontId="2" type="noConversion"/>
  </si>
  <si>
    <t>00시</t>
    <phoneticPr fontId="2" type="noConversion"/>
  </si>
  <si>
    <t>수행율: 
[계약금액 - 
(협조+외주+기타)/70%]
 / 계약금액</t>
    <phoneticPr fontId="2" type="noConversion"/>
  </si>
  <si>
    <t>환산: 수행 × 공정</t>
    <phoneticPr fontId="2" type="noConversion"/>
  </si>
  <si>
    <t>3. 외주관리</t>
    <phoneticPr fontId="2" type="noConversion"/>
  </si>
  <si>
    <t>주요사항/
처리업체</t>
    <phoneticPr fontId="2" type="noConversion"/>
  </si>
  <si>
    <t>중지:</t>
    <phoneticPr fontId="2" type="noConversion"/>
  </si>
  <si>
    <t>잔액</t>
    <phoneticPr fontId="2" type="noConversion"/>
  </si>
  <si>
    <t>계약금액상이</t>
    <phoneticPr fontId="2" type="noConversion"/>
  </si>
  <si>
    <t>환경부</t>
    <phoneticPr fontId="2" type="noConversion"/>
  </si>
  <si>
    <t>환경</t>
    <phoneticPr fontId="2" type="noConversion"/>
  </si>
  <si>
    <t>월 간  공 정  보 고 ( 상하수도부 )</t>
    <phoneticPr fontId="2" type="noConversion"/>
  </si>
  <si>
    <t>102017-01</t>
    <phoneticPr fontId="2" type="noConversion"/>
  </si>
  <si>
    <t>세도 반조원 농어촌마을하수도 및 노후하수관로정비사업기본 및 실시설계 용역</t>
    <phoneticPr fontId="2" type="noConversion"/>
  </si>
  <si>
    <t>'17.01.10</t>
  </si>
  <si>
    <t>- 과업준공</t>
    <phoneticPr fontId="2" type="noConversion"/>
  </si>
  <si>
    <t>소장:이승희
담당:김영일
감독:김준석
/
최철규</t>
    <phoneticPr fontId="2" type="noConversion"/>
  </si>
  <si>
    <t>17-01</t>
    <phoneticPr fontId="2" type="noConversion"/>
  </si>
  <si>
    <t>계약(VAT포함)</t>
    <phoneticPr fontId="2" type="noConversion"/>
  </si>
  <si>
    <t>계약(VAT포함)</t>
    <phoneticPr fontId="2" type="noConversion"/>
  </si>
  <si>
    <t>부서협조(VAT제외)</t>
    <phoneticPr fontId="2" type="noConversion"/>
  </si>
  <si>
    <t>부서협조(VAT제외)</t>
    <phoneticPr fontId="2" type="noConversion"/>
  </si>
  <si>
    <t>천마:100</t>
  </si>
  <si>
    <t xml:space="preserve">중지 : </t>
    <phoneticPr fontId="2" type="noConversion"/>
  </si>
  <si>
    <t xml:space="preserve">중지 : </t>
    <phoneticPr fontId="2" type="noConversion"/>
  </si>
  <si>
    <t>성과품
제출</t>
    <phoneticPr fontId="2" type="noConversion"/>
  </si>
  <si>
    <t>잔액(VAT포함)</t>
    <phoneticPr fontId="2" type="noConversion"/>
  </si>
  <si>
    <t>잔액(VAT포함)</t>
    <phoneticPr fontId="2" type="noConversion"/>
  </si>
  <si>
    <t>기타비용(VAT포함)</t>
    <phoneticPr fontId="2" type="noConversion"/>
  </si>
  <si>
    <t>기타비용(VAT포함)</t>
    <phoneticPr fontId="2" type="noConversion"/>
  </si>
  <si>
    <t>102018-10</t>
    <phoneticPr fontId="2" type="noConversion"/>
  </si>
  <si>
    <t>성동 개척지구 소규모공공하수처리시설 기본 및 실시설계 용역</t>
    <phoneticPr fontId="2" type="noConversion"/>
  </si>
  <si>
    <t>'18.05.31</t>
  </si>
  <si>
    <t xml:space="preserve">- 과업중지 해제
</t>
    <phoneticPr fontId="2" type="noConversion"/>
  </si>
  <si>
    <t>과장:김연천
담당:허현준
감독:김윤호
/
주용남
(신동민)</t>
    <phoneticPr fontId="2" type="noConversion"/>
  </si>
  <si>
    <t>18-10</t>
    <phoneticPr fontId="2" type="noConversion"/>
  </si>
  <si>
    <t>천마:23.25</t>
  </si>
  <si>
    <t>중지 :</t>
    <phoneticPr fontId="2" type="noConversion"/>
  </si>
  <si>
    <t>설계VE
진행</t>
    <phoneticPr fontId="2" type="noConversion"/>
  </si>
  <si>
    <t>설계VE에 따른
최종보완</t>
    <phoneticPr fontId="2" type="noConversion"/>
  </si>
  <si>
    <t>예당: 7.00</t>
  </si>
  <si>
    <t>102018-17</t>
    <phoneticPr fontId="2" type="noConversion"/>
  </si>
  <si>
    <t>하수도정비 기본계획 및 물재이용 관리계획 변경수립용역</t>
    <phoneticPr fontId="2" type="noConversion"/>
  </si>
  <si>
    <t>'18.12.17</t>
  </si>
  <si>
    <t>담당:이석빈
감독:권방순
/
최철규</t>
    <phoneticPr fontId="2" type="noConversion"/>
  </si>
  <si>
    <t>18-17</t>
    <phoneticPr fontId="2" type="noConversion"/>
  </si>
  <si>
    <t>천마:30</t>
  </si>
  <si>
    <t>중지 :</t>
    <phoneticPr fontId="2" type="noConversion"/>
  </si>
  <si>
    <t>102018-18</t>
    <phoneticPr fontId="2" type="noConversion"/>
  </si>
  <si>
    <t>목천(신)배수지및동면배수지 기본 및 실시설계용역</t>
    <phoneticPr fontId="2" type="noConversion"/>
  </si>
  <si>
    <t>'18.12.20</t>
  </si>
  <si>
    <t xml:space="preserve">감독:차병길
/
</t>
    <phoneticPr fontId="2" type="noConversion"/>
  </si>
  <si>
    <t>18-18</t>
    <phoneticPr fontId="2" type="noConversion"/>
  </si>
  <si>
    <t>천마:15</t>
  </si>
  <si>
    <t>설계VE
준비</t>
    <phoneticPr fontId="2" type="noConversion"/>
  </si>
  <si>
    <t>설계VE</t>
    <phoneticPr fontId="2" type="noConversion"/>
  </si>
  <si>
    <t>성과품
정리</t>
    <phoneticPr fontId="2" type="noConversion"/>
  </si>
  <si>
    <t>경동:20</t>
  </si>
  <si>
    <t>102019-01</t>
    <phoneticPr fontId="2" type="noConversion"/>
  </si>
  <si>
    <t xml:space="preserve">홍산·옥산 농촌지방상수도 확충사업 기본 및 실시설계용역 </t>
  </si>
  <si>
    <t>'19.01.24</t>
  </si>
  <si>
    <t xml:space="preserve">소장:이승희
담당:김광진
감독:최민식
/
</t>
    <phoneticPr fontId="2" type="noConversion"/>
  </si>
  <si>
    <t>천마(분담):20.4</t>
    <phoneticPr fontId="2" type="noConversion"/>
  </si>
  <si>
    <t>대웅:21.7</t>
  </si>
  <si>
    <t>102019-03</t>
    <phoneticPr fontId="2" type="noConversion"/>
  </si>
  <si>
    <t>서산처리구역(모월, 풍전) 하수관로 정비사업 기본 및 실시설계용역</t>
    <phoneticPr fontId="2" type="noConversion"/>
  </si>
  <si>
    <t>'19.06.11</t>
  </si>
  <si>
    <t>- 과업준공</t>
    <phoneticPr fontId="2" type="noConversion"/>
  </si>
  <si>
    <t xml:space="preserve">팀장:윤기훈
감독:정원신
/
</t>
    <phoneticPr fontId="2" type="noConversion"/>
  </si>
  <si>
    <t>이산:43.3</t>
  </si>
  <si>
    <t>성과품
정리</t>
    <phoneticPr fontId="2" type="noConversion"/>
  </si>
  <si>
    <t>도화:8.2</t>
  </si>
  <si>
    <t>울산 미포국가산업단지 맞춤형 공업용수 통합공급사업 사업계획수립, 기본설계 및 실시설계 용역</t>
    <phoneticPr fontId="2" type="noConversion"/>
  </si>
  <si>
    <t>19.11.01</t>
    <phoneticPr fontId="2" type="noConversion"/>
  </si>
  <si>
    <t>감독:
/
주용남</t>
    <phoneticPr fontId="2" type="noConversion"/>
  </si>
  <si>
    <t>환경영향평가</t>
    <phoneticPr fontId="2" type="noConversion"/>
  </si>
  <si>
    <t>한결: 70</t>
    <phoneticPr fontId="2" type="noConversion"/>
  </si>
  <si>
    <t>총계약금액:</t>
    <phoneticPr fontId="2" type="noConversion"/>
  </si>
  <si>
    <t>실시설계
보완</t>
    <phoneticPr fontId="2" type="noConversion"/>
  </si>
  <si>
    <t>외산면 전장~수신 외 1개소 농촌지방상수도 확충사업 기본 및 실시설계용역</t>
    <phoneticPr fontId="2" type="noConversion"/>
  </si>
  <si>
    <t>감독:최민식
/
주용남
(신동민)</t>
    <phoneticPr fontId="2" type="noConversion"/>
  </si>
  <si>
    <t>19-09</t>
    <phoneticPr fontId="2" type="noConversion"/>
  </si>
  <si>
    <t>단지설계</t>
    <phoneticPr fontId="2" type="noConversion"/>
  </si>
  <si>
    <t>도시계획</t>
    <phoneticPr fontId="2" type="noConversion"/>
  </si>
  <si>
    <t>교통계획</t>
    <phoneticPr fontId="2" type="noConversion"/>
  </si>
  <si>
    <t>건화:</t>
    <phoneticPr fontId="2" type="noConversion"/>
  </si>
  <si>
    <t>중지 : 07.26</t>
    <phoneticPr fontId="2" type="noConversion"/>
  </si>
  <si>
    <t>재착수</t>
    <phoneticPr fontId="2" type="noConversion"/>
  </si>
  <si>
    <t>인허가 작성</t>
    <phoneticPr fontId="2" type="noConversion"/>
  </si>
  <si>
    <t>인허가
작성</t>
    <phoneticPr fontId="2" type="noConversion"/>
  </si>
  <si>
    <t>인허가
협의 중</t>
    <phoneticPr fontId="2" type="noConversion"/>
  </si>
  <si>
    <t>102020-01</t>
    <phoneticPr fontId="2" type="noConversion"/>
  </si>
  <si>
    <t>세종특별자치시 수도정비 기본계획(변경) 등 수립용역</t>
    <phoneticPr fontId="2" type="noConversion"/>
  </si>
  <si>
    <t>20.04.27</t>
    <phoneticPr fontId="2" type="noConversion"/>
  </si>
  <si>
    <t>감독:김종복
/
최철규</t>
    <phoneticPr fontId="2" type="noConversion"/>
  </si>
  <si>
    <t>중지 : 10.06</t>
    <phoneticPr fontId="2" type="noConversion"/>
  </si>
  <si>
    <t>시설계량
계획</t>
    <phoneticPr fontId="2" type="noConversion"/>
  </si>
  <si>
    <t>보고서작성</t>
    <phoneticPr fontId="2" type="noConversion"/>
  </si>
  <si>
    <t>102020-06</t>
    <phoneticPr fontId="2" type="noConversion"/>
  </si>
  <si>
    <t>연무공공하수처리시설 증설사업 기본 및 실시설계 용역</t>
    <phoneticPr fontId="2" type="noConversion"/>
  </si>
  <si>
    <t>20.09.23</t>
    <phoneticPr fontId="2" type="noConversion"/>
  </si>
  <si>
    <t>감독:정희철
/
주용남
(최철규)</t>
    <phoneticPr fontId="2" type="noConversion"/>
  </si>
  <si>
    <t>20-06</t>
    <phoneticPr fontId="2" type="noConversion"/>
  </si>
  <si>
    <t>중지 : 11.30</t>
    <phoneticPr fontId="2" type="noConversion"/>
  </si>
  <si>
    <t>공법선정 공고자료작성</t>
    <phoneticPr fontId="2" type="noConversion"/>
  </si>
  <si>
    <t>공법선정
공고자료
작성</t>
    <phoneticPr fontId="2" type="noConversion"/>
  </si>
  <si>
    <t>공법선정
공고</t>
    <phoneticPr fontId="2" type="noConversion"/>
  </si>
  <si>
    <t>공법선정
검토 중</t>
    <phoneticPr fontId="2" type="noConversion"/>
  </si>
  <si>
    <t>계약총액 :</t>
    <phoneticPr fontId="2" type="noConversion"/>
  </si>
  <si>
    <t>102020-07</t>
    <phoneticPr fontId="2" type="noConversion"/>
  </si>
  <si>
    <t>구성창용 및 신봉소규모 공공하수처리시설사업 측량조사용역</t>
    <phoneticPr fontId="2" type="noConversion"/>
  </si>
  <si>
    <t xml:space="preserve">감독:강은종
/
</t>
    <phoneticPr fontId="2" type="noConversion"/>
  </si>
  <si>
    <t>기초자료 조사</t>
    <phoneticPr fontId="2" type="noConversion"/>
  </si>
  <si>
    <t>지장물
조사준비</t>
    <phoneticPr fontId="2" type="noConversion"/>
  </si>
  <si>
    <t>업체
선정 중</t>
    <phoneticPr fontId="2" type="noConversion"/>
  </si>
  <si>
    <t>102021-02</t>
    <phoneticPr fontId="2" type="noConversion"/>
  </si>
  <si>
    <t>2021년 농촌생활용수개발-3단계(북면지구) 기본및 실시설계 용역</t>
    <phoneticPr fontId="2" type="noConversion"/>
  </si>
  <si>
    <t>21.01.20</t>
    <phoneticPr fontId="2" type="noConversion"/>
  </si>
  <si>
    <t>설계보완</t>
    <phoneticPr fontId="2" type="noConversion"/>
  </si>
  <si>
    <t>102021-03</t>
    <phoneticPr fontId="2" type="noConversion"/>
  </si>
  <si>
    <t>탕정디스플레이 폐수재이용사업 기본 및 실시설계 측량조사용역</t>
    <phoneticPr fontId="2" type="noConversion"/>
  </si>
  <si>
    <t>21.03.29</t>
    <phoneticPr fontId="2" type="noConversion"/>
  </si>
  <si>
    <t>중지 : 11.22</t>
    <phoneticPr fontId="2" type="noConversion"/>
  </si>
  <si>
    <t>102021-04</t>
    <phoneticPr fontId="2" type="noConversion"/>
  </si>
  <si>
    <t>아산탕정테크노 일반산업단지 용수공급 시설공사 실시설계</t>
    <phoneticPr fontId="2" type="noConversion"/>
  </si>
  <si>
    <t>21.04.14</t>
    <phoneticPr fontId="2" type="noConversion"/>
  </si>
  <si>
    <t>감독:이상윤
/
주용남
(신동민)</t>
    <phoneticPr fontId="2" type="noConversion"/>
  </si>
  <si>
    <t>21-04</t>
    <phoneticPr fontId="2" type="noConversion"/>
  </si>
  <si>
    <t>기초자료
조사</t>
    <phoneticPr fontId="2" type="noConversion"/>
  </si>
  <si>
    <t>기초자료
조사</t>
    <phoneticPr fontId="2" type="noConversion"/>
  </si>
  <si>
    <t>관로노선
선정</t>
    <phoneticPr fontId="2" type="noConversion"/>
  </si>
  <si>
    <t>관로노선
검토</t>
    <phoneticPr fontId="2" type="noConversion"/>
  </si>
  <si>
    <t>용수공급
방안검토</t>
    <phoneticPr fontId="2" type="noConversion"/>
  </si>
  <si>
    <t>계약총액 :</t>
    <phoneticPr fontId="2" type="noConversion"/>
  </si>
  <si>
    <t>102021-07</t>
    <phoneticPr fontId="2" type="noConversion"/>
  </si>
  <si>
    <t>용당, 가덕, 대선, 내대 농어촌마을하수도 정비사업 기본 및 실시설계</t>
    <phoneticPr fontId="2" type="noConversion"/>
  </si>
  <si>
    <t>21.07.16</t>
    <phoneticPr fontId="2" type="noConversion"/>
  </si>
  <si>
    <t xml:space="preserve">- 업무분장 협의 완료
- 실시설계 : 공동외주처리 예정
</t>
    <phoneticPr fontId="2" type="noConversion"/>
  </si>
  <si>
    <t>감독:민영기
/
주용남
(최승용)</t>
    <phoneticPr fontId="2" type="noConversion"/>
  </si>
  <si>
    <t>21-04</t>
    <phoneticPr fontId="2" type="noConversion"/>
  </si>
  <si>
    <r>
      <t xml:space="preserve">주요사항/처리업체
</t>
    </r>
    <r>
      <rPr>
        <sz val="10"/>
        <rFont val="HY신명조"/>
        <family val="1"/>
        <charset val="129"/>
      </rPr>
      <t>(공정-수금 차액)</t>
    </r>
    <phoneticPr fontId="2" type="noConversion"/>
  </si>
  <si>
    <t>102019-06</t>
    <phoneticPr fontId="2" type="noConversion"/>
  </si>
  <si>
    <t>서산시 하수도정비 기본계획(변경)용역</t>
    <phoneticPr fontId="2" type="noConversion"/>
  </si>
  <si>
    <t>'19.12.04</t>
    <phoneticPr fontId="2" type="noConversion"/>
  </si>
  <si>
    <t>이산</t>
    <phoneticPr fontId="2" type="noConversion"/>
  </si>
  <si>
    <t xml:space="preserve">
/
주용남</t>
    <phoneticPr fontId="2" type="noConversion"/>
  </si>
  <si>
    <t>천마:10</t>
    <phoneticPr fontId="2" type="noConversion"/>
  </si>
  <si>
    <t>중지 :</t>
  </si>
  <si>
    <t>지급(VAT포함)</t>
    <phoneticPr fontId="2" type="noConversion"/>
  </si>
  <si>
    <t>계약총액</t>
    <phoneticPr fontId="2" type="noConversion"/>
  </si>
  <si>
    <t>102020-03</t>
    <phoneticPr fontId="2" type="noConversion"/>
  </si>
  <si>
    <t>서산시 수도정비기본계획(변경) 및 물수요관리 시행계획 수립용역</t>
    <phoneticPr fontId="2" type="noConversion"/>
  </si>
  <si>
    <t>'20.06.25</t>
    <phoneticPr fontId="2" type="noConversion"/>
  </si>
  <si>
    <t>도화/경동</t>
    <phoneticPr fontId="2" type="noConversion"/>
  </si>
  <si>
    <t xml:space="preserve">
/
주용남</t>
    <phoneticPr fontId="2" type="noConversion"/>
  </si>
  <si>
    <t>10</t>
    <phoneticPr fontId="2" type="noConversion"/>
  </si>
  <si>
    <t>중지 :05.20</t>
    <phoneticPr fontId="2" type="noConversion"/>
  </si>
  <si>
    <t>지급(VAT포함)</t>
    <phoneticPr fontId="2" type="noConversion"/>
  </si>
  <si>
    <t>계약총액</t>
    <phoneticPr fontId="2" type="noConversion"/>
  </si>
  <si>
    <t>102021-06</t>
    <phoneticPr fontId="2" type="noConversion"/>
  </si>
  <si>
    <t>천안처리구역 개발해제지역 외2개소 관로정비사업 기본 및 실시설계</t>
    <phoneticPr fontId="2" type="noConversion"/>
  </si>
  <si>
    <t>21.07.01</t>
    <phoneticPr fontId="2" type="noConversion"/>
  </si>
  <si>
    <t>삼안</t>
    <phoneticPr fontId="2" type="noConversion"/>
  </si>
  <si>
    <t xml:space="preserve">
/
최철규</t>
    <phoneticPr fontId="2" type="noConversion"/>
  </si>
  <si>
    <t>상하</t>
    <phoneticPr fontId="2" type="noConversion"/>
  </si>
  <si>
    <t>월 간  공 정  보 고 ( 수 자 원 부 )</t>
    <phoneticPr fontId="2" type="noConversion"/>
  </si>
  <si>
    <t>JOB 
NO</t>
    <phoneticPr fontId="2" type="noConversion"/>
  </si>
  <si>
    <t>112016-05</t>
    <phoneticPr fontId="2" type="noConversion"/>
  </si>
  <si>
    <t>부안천 하천기본계획(변경) 및 실시설계 용역</t>
    <phoneticPr fontId="2" type="noConversion"/>
  </si>
  <si>
    <t>16.04.15</t>
    <phoneticPr fontId="2" type="noConversion"/>
  </si>
  <si>
    <t>잔여분성과품
작성중</t>
    <phoneticPr fontId="2" type="noConversion"/>
  </si>
  <si>
    <t>안전총괄과
한기성
/
신우식</t>
    <phoneticPr fontId="2" type="noConversion"/>
  </si>
  <si>
    <t>16-05</t>
    <phoneticPr fontId="2" type="noConversion"/>
  </si>
  <si>
    <t>중지:
17.03.24</t>
    <phoneticPr fontId="2" type="noConversion"/>
  </si>
  <si>
    <t>112017-01</t>
    <phoneticPr fontId="2" type="noConversion"/>
  </si>
  <si>
    <t>대동천 하천기본계획 타당성조사, 실시설계 및 도시관리계획
(변경) 수립 용역</t>
    <phoneticPr fontId="2" type="noConversion"/>
  </si>
  <si>
    <t>17.01.06</t>
    <phoneticPr fontId="2" type="noConversion"/>
  </si>
  <si>
    <t>최종성과품 작성중</t>
    <phoneticPr fontId="2" type="noConversion"/>
  </si>
  <si>
    <t>건설과
임영환
/
신우식</t>
    <phoneticPr fontId="2" type="noConversion"/>
  </si>
  <si>
    <t>17-01</t>
    <phoneticPr fontId="2" type="noConversion"/>
  </si>
  <si>
    <t xml:space="preserve"> </t>
    <phoneticPr fontId="2" type="noConversion"/>
  </si>
  <si>
    <t xml:space="preserve"> </t>
    <phoneticPr fontId="2" type="noConversion"/>
  </si>
  <si>
    <t>12017-03</t>
    <phoneticPr fontId="2" type="noConversion"/>
  </si>
  <si>
    <t>양노리 도로확포장
공사 기본 및 실시
설계 용역
(사전재해영향성검토)</t>
    <phoneticPr fontId="2" type="noConversion"/>
  </si>
  <si>
    <t>17.03.14</t>
    <phoneticPr fontId="2" type="noConversion"/>
  </si>
  <si>
    <t>협의완료</t>
    <phoneticPr fontId="2" type="noConversion"/>
  </si>
  <si>
    <t>도로과
진소라
/
박가영</t>
    <phoneticPr fontId="2" type="noConversion"/>
  </si>
  <si>
    <t>17-03</t>
    <phoneticPr fontId="2" type="noConversion"/>
  </si>
  <si>
    <t>중지:
17.12.05</t>
  </si>
  <si>
    <t>112017-10</t>
    <phoneticPr fontId="2" type="noConversion"/>
  </si>
  <si>
    <t>천안00 도시첨단산업단지 교통영향평가 및 사전재해영향성검토(개발사업)용역</t>
    <phoneticPr fontId="2" type="noConversion"/>
  </si>
  <si>
    <t>17.03.22</t>
    <phoneticPr fontId="2" type="noConversion"/>
  </si>
  <si>
    <t>협의완료</t>
    <phoneticPr fontId="2" type="noConversion"/>
  </si>
  <si>
    <t>환경교통단
오종 
/
이주훈</t>
    <phoneticPr fontId="2" type="noConversion"/>
  </si>
  <si>
    <t>17-10</t>
    <phoneticPr fontId="2" type="noConversion"/>
  </si>
  <si>
    <t>기타</t>
    <phoneticPr fontId="2" type="noConversion"/>
  </si>
  <si>
    <t xml:space="preserve"> </t>
    <phoneticPr fontId="2" type="noConversion"/>
  </si>
  <si>
    <t>잔액</t>
    <phoneticPr fontId="2" type="noConversion"/>
  </si>
  <si>
    <t>외주 등</t>
    <phoneticPr fontId="2" type="noConversion"/>
  </si>
  <si>
    <t>기타비용</t>
    <phoneticPr fontId="2" type="noConversion"/>
  </si>
  <si>
    <t>112017-16</t>
    <phoneticPr fontId="2" type="noConversion"/>
  </si>
  <si>
    <t>병천천 지방하천 
정비사업 실시설계 
용역</t>
    <phoneticPr fontId="2" type="noConversion"/>
  </si>
  <si>
    <t>17.12.25</t>
    <phoneticPr fontId="2" type="noConversion"/>
  </si>
  <si>
    <t>계약</t>
    <phoneticPr fontId="2" type="noConversion"/>
  </si>
  <si>
    <t>수행</t>
    <phoneticPr fontId="2" type="noConversion"/>
  </si>
  <si>
    <t>준공완료</t>
    <phoneticPr fontId="2" type="noConversion"/>
  </si>
  <si>
    <t>개발과
이기선
/
신우식</t>
    <phoneticPr fontId="2" type="noConversion"/>
  </si>
  <si>
    <t>당해공정금액</t>
    <phoneticPr fontId="2" type="noConversion"/>
  </si>
  <si>
    <t>공정잔액</t>
    <phoneticPr fontId="2" type="noConversion"/>
  </si>
  <si>
    <t>17-15</t>
    <phoneticPr fontId="2" type="noConversion"/>
  </si>
  <si>
    <t>부서협조</t>
    <phoneticPr fontId="2" type="noConversion"/>
  </si>
  <si>
    <t>지반협조</t>
    <phoneticPr fontId="2" type="noConversion"/>
  </si>
  <si>
    <t>구조협조</t>
    <phoneticPr fontId="2" type="noConversion"/>
  </si>
  <si>
    <t>112018-17</t>
    <phoneticPr fontId="2" type="noConversion"/>
  </si>
  <si>
    <t>강진천 지방하천 
정비사업 실시설계 
용역</t>
    <phoneticPr fontId="2" type="noConversion"/>
  </si>
  <si>
    <t>18.10.15</t>
    <phoneticPr fontId="2" type="noConversion"/>
  </si>
  <si>
    <t>외주</t>
    <phoneticPr fontId="2" type="noConversion"/>
  </si>
  <si>
    <t>안전재난교통과
김태웅
/
신우식</t>
    <phoneticPr fontId="2" type="noConversion"/>
  </si>
  <si>
    <t>18-17</t>
    <phoneticPr fontId="2" type="noConversion"/>
  </si>
  <si>
    <t>구조부</t>
    <phoneticPr fontId="2" type="noConversion"/>
  </si>
  <si>
    <t>도로부</t>
    <phoneticPr fontId="2" type="noConversion"/>
  </si>
  <si>
    <t>지반부</t>
    <phoneticPr fontId="2" type="noConversion"/>
  </si>
  <si>
    <t>지급</t>
    <phoneticPr fontId="2" type="noConversion"/>
  </si>
  <si>
    <t>112018-05</t>
    <phoneticPr fontId="2" type="noConversion"/>
  </si>
  <si>
    <t xml:space="preserve">서산 수석지구 
도시개발사업 
조사설계 용역 </t>
    <phoneticPr fontId="2" type="noConversion"/>
  </si>
  <si>
    <t>18.02.13</t>
    <phoneticPr fontId="2" type="noConversion"/>
  </si>
  <si>
    <t>실과협의
관련 검토서
작성</t>
    <phoneticPr fontId="2" type="noConversion"/>
  </si>
  <si>
    <t>도시과
조용석
/
신우식</t>
    <phoneticPr fontId="2" type="noConversion"/>
  </si>
  <si>
    <t>18-05</t>
    <phoneticPr fontId="2" type="noConversion"/>
  </si>
  <si>
    <t>중지:
20.07.16</t>
    <phoneticPr fontId="2" type="noConversion"/>
  </si>
  <si>
    <t>112018-16</t>
    <phoneticPr fontId="2" type="noConversion"/>
  </si>
  <si>
    <t>완주군 가축분뇨 
공공처리시설 설치(개선)사업 기본 및 
실시설계 용역</t>
    <phoneticPr fontId="2" type="noConversion"/>
  </si>
  <si>
    <t>18.10.01</t>
    <phoneticPr fontId="2" type="noConversion"/>
  </si>
  <si>
    <t>사업타당성
검토중(화신)
업무대기</t>
    <phoneticPr fontId="2" type="noConversion"/>
  </si>
  <si>
    <t>재난안전과
김영만
/
박가영</t>
    <phoneticPr fontId="2" type="noConversion"/>
  </si>
  <si>
    <t>18-16</t>
    <phoneticPr fontId="2" type="noConversion"/>
  </si>
  <si>
    <t>중지:
19.05.13</t>
    <phoneticPr fontId="2" type="noConversion"/>
  </si>
  <si>
    <t>112018-21</t>
    <phoneticPr fontId="2" type="noConversion"/>
  </si>
  <si>
    <t>황룡강 지방하천 
정비사업 기본 및 
실시설계 용역</t>
    <phoneticPr fontId="2" type="noConversion"/>
  </si>
  <si>
    <t>18.12.20</t>
    <phoneticPr fontId="2" type="noConversion"/>
  </si>
  <si>
    <t>안전건설과
오원태
/
신우식</t>
    <phoneticPr fontId="2" type="noConversion"/>
  </si>
  <si>
    <t>18-21</t>
    <phoneticPr fontId="2" type="noConversion"/>
  </si>
  <si>
    <t>112018-19</t>
    <phoneticPr fontId="2" type="noConversion"/>
  </si>
  <si>
    <t>청학천 
소하천정비등 3개 
사업 실시설계 
용역</t>
    <phoneticPr fontId="2" type="noConversion"/>
  </si>
  <si>
    <t>18.12.07</t>
    <phoneticPr fontId="2" type="noConversion"/>
  </si>
  <si>
    <t>청학천 실시설계
발주준비중</t>
    <phoneticPr fontId="2" type="noConversion"/>
  </si>
  <si>
    <t>생태하천과
오광일
/
신우식</t>
    <phoneticPr fontId="2" type="noConversion"/>
  </si>
  <si>
    <t>18-19</t>
    <phoneticPr fontId="2" type="noConversion"/>
  </si>
  <si>
    <t>중지:
20.07.20</t>
    <phoneticPr fontId="2" type="noConversion"/>
  </si>
  <si>
    <t>112019-03</t>
    <phoneticPr fontId="2" type="noConversion"/>
  </si>
  <si>
    <t>보청천권역 
하천기본계획 및 
하천시설관리대장
작성 용역(1차)</t>
    <phoneticPr fontId="2" type="noConversion"/>
  </si>
  <si>
    <t>19.06.17</t>
    <phoneticPr fontId="2" type="noConversion"/>
  </si>
  <si>
    <t>12/6 3차분 
준공</t>
    <phoneticPr fontId="2" type="noConversion"/>
  </si>
  <si>
    <t>하천계획과
박종현
/
신우식</t>
    <phoneticPr fontId="2" type="noConversion"/>
  </si>
  <si>
    <t>19-03</t>
    <phoneticPr fontId="2" type="noConversion"/>
  </si>
  <si>
    <t>112019-08</t>
    <phoneticPr fontId="2" type="noConversion"/>
  </si>
  <si>
    <t>진도군 
소하천정비종합계획 재수립 및 지형도면
고시용역
(전체 및 1차)</t>
    <phoneticPr fontId="2" type="noConversion"/>
  </si>
  <si>
    <t>19.07.31</t>
    <phoneticPr fontId="2" type="noConversion"/>
  </si>
  <si>
    <t>업무이관</t>
    <phoneticPr fontId="2" type="noConversion"/>
  </si>
  <si>
    <t>건설교통과
전혜민
/
신우식</t>
    <phoneticPr fontId="2" type="noConversion"/>
  </si>
  <si>
    <t>19-08</t>
    <phoneticPr fontId="2" type="noConversion"/>
  </si>
  <si>
    <t>112020-01</t>
    <phoneticPr fontId="2" type="noConversion"/>
  </si>
  <si>
    <t>금산군 자연재해저감종합계획수립 및 재해지도작성용역</t>
    <phoneticPr fontId="2" type="noConversion"/>
  </si>
  <si>
    <t>20.02.12</t>
    <phoneticPr fontId="2" type="noConversion"/>
  </si>
  <si>
    <t>공동일괄외주
(주하)</t>
    <phoneticPr fontId="2" type="noConversion"/>
  </si>
  <si>
    <t>안전총괄과
송인석
/
신우식</t>
    <phoneticPr fontId="2" type="noConversion"/>
  </si>
  <si>
    <t>20-01</t>
    <phoneticPr fontId="2" type="noConversion"/>
  </si>
  <si>
    <t>112020-02</t>
    <phoneticPr fontId="2" type="noConversion"/>
  </si>
  <si>
    <t>잔다리천 정비사업 실시설계용역</t>
    <phoneticPr fontId="2" type="noConversion"/>
  </si>
  <si>
    <t>20.02.20</t>
    <phoneticPr fontId="2" type="noConversion"/>
  </si>
  <si>
    <t>총사업비협의중</t>
    <phoneticPr fontId="2" type="noConversion"/>
  </si>
  <si>
    <t>건설과
이남연
/
신우식</t>
    <phoneticPr fontId="2" type="noConversion"/>
  </si>
  <si>
    <t>20-02</t>
    <phoneticPr fontId="2" type="noConversion"/>
  </si>
  <si>
    <t>중지 :
2020.10.12</t>
    <phoneticPr fontId="2" type="noConversion"/>
  </si>
  <si>
    <t>112020-03</t>
    <phoneticPr fontId="2" type="noConversion"/>
  </si>
  <si>
    <t>유곡1소하천 정비사업 실시설계용역</t>
    <phoneticPr fontId="2" type="noConversion"/>
  </si>
  <si>
    <t>20.03.17</t>
    <phoneticPr fontId="2" type="noConversion"/>
  </si>
  <si>
    <t>원가심사 준비중</t>
    <phoneticPr fontId="2" type="noConversion"/>
  </si>
  <si>
    <t>건설과
장해준
/
신우식</t>
    <phoneticPr fontId="2" type="noConversion"/>
  </si>
  <si>
    <t>20-03</t>
    <phoneticPr fontId="2" type="noConversion"/>
  </si>
  <si>
    <t>중지 :
2020.12.14</t>
    <phoneticPr fontId="2" type="noConversion"/>
  </si>
  <si>
    <t>112020-04</t>
    <phoneticPr fontId="2" type="noConversion"/>
  </si>
  <si>
    <t>2020년아산탕정테크노 일반산업단지 진입도로 개설공사 소규모재해영향평가</t>
    <phoneticPr fontId="2" type="noConversion"/>
  </si>
  <si>
    <t>20.04.17</t>
    <phoneticPr fontId="2" type="noConversion"/>
  </si>
  <si>
    <t>협의완료</t>
    <phoneticPr fontId="2" type="noConversion"/>
  </si>
  <si>
    <t>20-04</t>
    <phoneticPr fontId="2" type="noConversion"/>
  </si>
  <si>
    <t>112020-05</t>
    <phoneticPr fontId="2" type="noConversion"/>
  </si>
  <si>
    <t>주교면 체육공원 조성공사 소규모 재해영향평가용역</t>
    <phoneticPr fontId="2" type="noConversion"/>
  </si>
  <si>
    <t>20.04.16</t>
    <phoneticPr fontId="2" type="noConversion"/>
  </si>
  <si>
    <t>20-05</t>
    <phoneticPr fontId="2" type="noConversion"/>
  </si>
  <si>
    <t>20-05</t>
    <phoneticPr fontId="2" type="noConversion"/>
  </si>
  <si>
    <t>112020-06</t>
    <phoneticPr fontId="2" type="noConversion"/>
  </si>
  <si>
    <t>2020년경찰교육원 진입도로(대로3-38호)확포장공사외 1개소 소규모재해영향평가용역</t>
    <phoneticPr fontId="2" type="noConversion"/>
  </si>
  <si>
    <t>20.05.13</t>
    <phoneticPr fontId="2" type="noConversion"/>
  </si>
  <si>
    <t>도로과
곽민석
/
박가영</t>
    <phoneticPr fontId="2" type="noConversion"/>
  </si>
  <si>
    <t>20-06</t>
    <phoneticPr fontId="2" type="noConversion"/>
  </si>
  <si>
    <t>112020-07</t>
    <phoneticPr fontId="2" type="noConversion"/>
  </si>
  <si>
    <t>2020년온양대로3-1호(무궁화로) 개설공사 소규모재해영향평가용역</t>
    <phoneticPr fontId="2" type="noConversion"/>
  </si>
  <si>
    <t>20-07</t>
    <phoneticPr fontId="2" type="noConversion"/>
  </si>
  <si>
    <t>112020-08</t>
    <phoneticPr fontId="2" type="noConversion"/>
  </si>
  <si>
    <t>반양지구 풍수해생활권종합정비사업 기본 및 실시설계용역</t>
    <phoneticPr fontId="2" type="noConversion"/>
  </si>
  <si>
    <t>20.06.25</t>
    <phoneticPr fontId="2" type="noConversion"/>
  </si>
  <si>
    <t>이산 업무이관</t>
    <phoneticPr fontId="2" type="noConversion"/>
  </si>
  <si>
    <t>안전총괄과
서정섭
/
신우식</t>
    <phoneticPr fontId="2" type="noConversion"/>
  </si>
  <si>
    <t>112020-09</t>
    <phoneticPr fontId="2" type="noConversion"/>
  </si>
  <si>
    <t>아산시 파크골프장 조성공사 수리검토용역</t>
    <phoneticPr fontId="2" type="noConversion"/>
  </si>
  <si>
    <t>20.07.24</t>
    <phoneticPr fontId="2" type="noConversion"/>
  </si>
  <si>
    <t>체육진흥과
소상홍
/
신우식</t>
    <phoneticPr fontId="2" type="noConversion"/>
  </si>
  <si>
    <t>112020-10</t>
    <phoneticPr fontId="2" type="noConversion"/>
  </si>
  <si>
    <t>영산강 나주지구 하천환경정비사업 실시설계 용역</t>
    <phoneticPr fontId="2" type="noConversion"/>
  </si>
  <si>
    <t>20.10.28</t>
    <phoneticPr fontId="2" type="noConversion"/>
  </si>
  <si>
    <t>업무분장안 
협의중</t>
    <phoneticPr fontId="2" type="noConversion"/>
  </si>
  <si>
    <t>하천공사과
김태희
/
신우식</t>
    <phoneticPr fontId="2" type="noConversion"/>
  </si>
  <si>
    <t>112020-11</t>
    <phoneticPr fontId="2" type="noConversion"/>
  </si>
  <si>
    <t>2020년 규암면 반산양배수장 시설개선 실시설계 용역</t>
    <phoneticPr fontId="2" type="noConversion"/>
  </si>
  <si>
    <t>20.11.06</t>
    <phoneticPr fontId="2" type="noConversion"/>
  </si>
  <si>
    <t>건설과
김정수
/
신우식</t>
    <phoneticPr fontId="2" type="noConversion"/>
  </si>
  <si>
    <t>112020-12</t>
    <phoneticPr fontId="2" type="noConversion"/>
  </si>
  <si>
    <t>천안시 지방하천 재해복구사업 실시설계 용역(목천, 북면권역)</t>
    <phoneticPr fontId="2" type="noConversion"/>
  </si>
  <si>
    <t>20.11.19</t>
    <phoneticPr fontId="2" type="noConversion"/>
  </si>
  <si>
    <t>건설도로과
김천호
/
신우식</t>
    <phoneticPr fontId="2" type="noConversion"/>
  </si>
  <si>
    <t>112021-02</t>
    <phoneticPr fontId="2" type="noConversion"/>
  </si>
  <si>
    <t>대전연축 도시개발사업 재해영향평가 용역</t>
    <phoneticPr fontId="2" type="noConversion"/>
  </si>
  <si>
    <t>21.02.17</t>
    <phoneticPr fontId="2" type="noConversion"/>
  </si>
  <si>
    <t>재해영향성검토설계변경협의중</t>
    <phoneticPr fontId="2" type="noConversion"/>
  </si>
  <si>
    <t>환경재해부
전난희
/
박가영</t>
    <phoneticPr fontId="2" type="noConversion"/>
  </si>
  <si>
    <t>112021-04</t>
    <phoneticPr fontId="2" type="noConversion"/>
  </si>
  <si>
    <t>두룡 자연재해위험개선지구 정비사업 기본 및 실시설계 용역</t>
    <phoneticPr fontId="2" type="noConversion"/>
  </si>
  <si>
    <t>21.03.22</t>
    <phoneticPr fontId="2" type="noConversion"/>
  </si>
  <si>
    <t>건설과
김정우
/
신우식</t>
    <phoneticPr fontId="2" type="noConversion"/>
  </si>
  <si>
    <t>112021-05</t>
    <phoneticPr fontId="2" type="noConversion"/>
  </si>
  <si>
    <t>소성 자연재해위험개선지구 정비사업 기본 및 실시설계 용역</t>
    <phoneticPr fontId="2" type="noConversion"/>
  </si>
  <si>
    <t>항만부 업무협조</t>
    <phoneticPr fontId="2" type="noConversion"/>
  </si>
  <si>
    <t>건설과
김수학
/
신우식</t>
    <phoneticPr fontId="2" type="noConversion"/>
  </si>
  <si>
    <t>112021-07</t>
    <phoneticPr fontId="2" type="noConversion"/>
  </si>
  <si>
    <t>엑스포로 확장공사 재해영향성검토 및 소규모 재해환경영향평가 용역</t>
    <phoneticPr fontId="2" type="noConversion"/>
  </si>
  <si>
    <t>21.03.18</t>
    <phoneticPr fontId="2" type="noConversion"/>
  </si>
  <si>
    <t xml:space="preserve">대전광역시
심의의원 날인중 </t>
    <phoneticPr fontId="2" type="noConversion"/>
  </si>
  <si>
    <t xml:space="preserve">
과학산업과
김영식
/
박가영</t>
    <phoneticPr fontId="2" type="noConversion"/>
  </si>
  <si>
    <t>112021-08</t>
    <phoneticPr fontId="2" type="noConversion"/>
  </si>
  <si>
    <t>국도39호선 아산 외암마을사거리 단구간 확장공사 소규모 재해영향평가용역</t>
    <phoneticPr fontId="2" type="noConversion"/>
  </si>
  <si>
    <t>21.04.02</t>
    <phoneticPr fontId="2" type="noConversion"/>
  </si>
  <si>
    <t>충남도 
심의위원 날인중</t>
    <phoneticPr fontId="2" type="noConversion"/>
  </si>
  <si>
    <t>중지 :
2021.06.17</t>
    <phoneticPr fontId="2" type="noConversion"/>
  </si>
  <si>
    <t>112021-09</t>
    <phoneticPr fontId="2" type="noConversion"/>
  </si>
  <si>
    <t>한용운생가지 역사공원 조성사업 재해영향평가용역</t>
    <phoneticPr fontId="2" type="noConversion"/>
  </si>
  <si>
    <t>21.04.22</t>
    <phoneticPr fontId="2" type="noConversion"/>
  </si>
  <si>
    <t>112021-10</t>
    <phoneticPr fontId="2" type="noConversion"/>
  </si>
  <si>
    <t>소하천구역(변경)결정
용역</t>
    <phoneticPr fontId="2" type="noConversion"/>
  </si>
  <si>
    <t>21.04.26</t>
    <phoneticPr fontId="2" type="noConversion"/>
  </si>
  <si>
    <t>주민공람공고 및 의견수렴중</t>
    <phoneticPr fontId="2" type="noConversion"/>
  </si>
  <si>
    <t xml:space="preserve">
건설과
/
신우식</t>
    <phoneticPr fontId="2" type="noConversion"/>
  </si>
  <si>
    <t>중지 :
2021.10.19</t>
    <phoneticPr fontId="2" type="noConversion"/>
  </si>
  <si>
    <t>112021-11</t>
    <phoneticPr fontId="2" type="noConversion"/>
  </si>
  <si>
    <t>둔포천 하천기본계획 검토 및 실시설계용역</t>
    <phoneticPr fontId="2" type="noConversion"/>
  </si>
  <si>
    <t>주민설명회 
준비중</t>
    <phoneticPr fontId="2" type="noConversion"/>
  </si>
  <si>
    <t xml:space="preserve">
하천개발과
/
신우식</t>
    <phoneticPr fontId="2" type="noConversion"/>
  </si>
  <si>
    <t>112021-01/112021-12</t>
    <phoneticPr fontId="2" type="noConversion"/>
  </si>
  <si>
    <t>국도82호선 화성장지~용인남사 도로건설공사 기본 및 실시설계용역 소규모 재해영향평가용역</t>
    <phoneticPr fontId="2" type="noConversion"/>
  </si>
  <si>
    <t>21.04.09</t>
    <phoneticPr fontId="2" type="noConversion"/>
  </si>
  <si>
    <t>21.04.09</t>
    <phoneticPr fontId="2" type="noConversion"/>
  </si>
  <si>
    <t>경기도 재해영향평가 심의의원 
날인중</t>
    <phoneticPr fontId="2" type="noConversion"/>
  </si>
  <si>
    <t xml:space="preserve">
태조엔지니어링
/
신우식</t>
    <phoneticPr fontId="2" type="noConversion"/>
  </si>
  <si>
    <t>112021-14</t>
    <phoneticPr fontId="2" type="noConversion"/>
  </si>
  <si>
    <t>홍성군 자연재해저감종합계획 재수립용역</t>
    <phoneticPr fontId="2" type="noConversion"/>
  </si>
  <si>
    <t>21.05.18</t>
    <phoneticPr fontId="2" type="noConversion"/>
  </si>
  <si>
    <t>주민의견 및 설문지 배포중</t>
    <phoneticPr fontId="2" type="noConversion"/>
  </si>
  <si>
    <t xml:space="preserve">
안전관리과
/
신우식</t>
    <phoneticPr fontId="2" type="noConversion"/>
  </si>
  <si>
    <t>2. 부서협조</t>
    <phoneticPr fontId="2" type="noConversion"/>
  </si>
  <si>
    <t>화성장안지구 
공동주택 신축사업 
지구단위계획 및 
인허가 설계 사전재해영향성검토(행정계획)</t>
    <phoneticPr fontId="2" type="noConversion"/>
  </si>
  <si>
    <t>17.12.20</t>
    <phoneticPr fontId="2" type="noConversion"/>
  </si>
  <si>
    <t>162020-01</t>
    <phoneticPr fontId="2" type="noConversion"/>
  </si>
  <si>
    <t>화성장안지구 지구단위계획구역 기반시설 
기본 및 실시설계용역 소규모재해영향평가</t>
    <phoneticPr fontId="2" type="noConversion"/>
  </si>
  <si>
    <t>19.12.05</t>
    <phoneticPr fontId="2" type="noConversion"/>
  </si>
  <si>
    <t>관련계획검토</t>
    <phoneticPr fontId="2" type="noConversion"/>
  </si>
  <si>
    <t>박가영</t>
    <phoneticPr fontId="2" type="noConversion"/>
  </si>
  <si>
    <t>042018-11</t>
    <phoneticPr fontId="2" type="noConversion"/>
  </si>
  <si>
    <t>성남시 이매동 
산29-1 일원 
기업형 임대주택 
조성사업 용역</t>
    <phoneticPr fontId="2" type="noConversion"/>
  </si>
  <si>
    <t>18.10.25</t>
    <phoneticPr fontId="2" type="noConversion"/>
  </si>
  <si>
    <t>태조산공원
산림레포츠시설
조성사업 실시설계 및
공원조성계획(변경)
용역</t>
    <phoneticPr fontId="2" type="noConversion"/>
  </si>
  <si>
    <t>협의완료</t>
    <phoneticPr fontId="2" type="noConversion"/>
  </si>
  <si>
    <t>박가영</t>
    <phoneticPr fontId="2" type="noConversion"/>
  </si>
  <si>
    <t>당해공정금액</t>
    <phoneticPr fontId="2" type="noConversion"/>
  </si>
  <si>
    <t>공정잔액</t>
    <phoneticPr fontId="2" type="noConversion"/>
  </si>
  <si>
    <t>협조</t>
    <phoneticPr fontId="2" type="noConversion"/>
  </si>
  <si>
    <t>기타</t>
    <phoneticPr fontId="2" type="noConversion"/>
  </si>
  <si>
    <t>원사업</t>
    <phoneticPr fontId="2" type="noConversion"/>
  </si>
  <si>
    <t>기타비용</t>
    <phoneticPr fontId="2" type="noConversion"/>
  </si>
  <si>
    <t>092018-04</t>
    <phoneticPr fontId="2" type="noConversion"/>
  </si>
  <si>
    <t>예당호 
착한농촌체험세상 
기본 및 실시설계
용역</t>
    <phoneticPr fontId="2" type="noConversion"/>
  </si>
  <si>
    <t>수행</t>
    <phoneticPr fontId="2" type="noConversion"/>
  </si>
  <si>
    <t>042018-13</t>
    <phoneticPr fontId="2" type="noConversion"/>
  </si>
  <si>
    <t>아산 북수리 공공지원민간임대주택사업 지구단위계획 사전재해영향성검토용역</t>
    <phoneticPr fontId="2" type="noConversion"/>
  </si>
  <si>
    <t>-</t>
    <phoneticPr fontId="2" type="noConversion"/>
  </si>
  <si>
    <t>042016-03</t>
    <phoneticPr fontId="2" type="noConversion"/>
  </si>
  <si>
    <t>아산인주지구 일반산업단지조성사업 사전재해영향성검토 용역</t>
    <phoneticPr fontId="2" type="noConversion"/>
  </si>
  <si>
    <t>042017-04</t>
    <phoneticPr fontId="2" type="noConversion"/>
  </si>
  <si>
    <t>아산 제2디지털 일반산업단지 조성사업 기초조사 및 실시설계용역</t>
    <phoneticPr fontId="2" type="noConversion"/>
  </si>
  <si>
    <t>업무대기중</t>
    <phoneticPr fontId="2" type="noConversion"/>
  </si>
  <si>
    <t>032020-01</t>
    <phoneticPr fontId="2" type="noConversion"/>
  </si>
  <si>
    <t>신성리 갈대밭 관광지지정 및 조성계획수립용역</t>
    <phoneticPr fontId="2" type="noConversion"/>
  </si>
  <si>
    <t>072017-01</t>
    <phoneticPr fontId="2" type="noConversion"/>
  </si>
  <si>
    <t>고창-내장IC(1공구)지방도확포장공사 감독권한대행 건설사업관리용역</t>
    <phoneticPr fontId="2" type="noConversion"/>
  </si>
  <si>
    <t>비상주감리원</t>
    <phoneticPr fontId="2" type="noConversion"/>
  </si>
  <si>
    <t>장성순</t>
    <phoneticPr fontId="2" type="noConversion"/>
  </si>
  <si>
    <t>072017-03</t>
    <phoneticPr fontId="2" type="noConversion"/>
  </si>
  <si>
    <t>천의 자연재해위험개선지구정비사업 건설사업관리용역</t>
    <phoneticPr fontId="2" type="noConversion"/>
  </si>
  <si>
    <t>업무제외</t>
    <phoneticPr fontId="2" type="noConversion"/>
  </si>
  <si>
    <t xml:space="preserve"> </t>
    <phoneticPr fontId="2" type="noConversion"/>
  </si>
  <si>
    <t>012019-12</t>
    <phoneticPr fontId="2" type="noConversion"/>
  </si>
  <si>
    <t>신평~심곡간 도로확포장공사 보완설계 소규모재해영향평가 및 수리수문분석</t>
    <phoneticPr fontId="2" type="noConversion"/>
  </si>
  <si>
    <t>경기도 건설본부 심위위원 배포중</t>
    <phoneticPr fontId="2" type="noConversion"/>
  </si>
  <si>
    <t>신우식</t>
    <phoneticPr fontId="2" type="noConversion"/>
  </si>
  <si>
    <t>102020-04</t>
    <phoneticPr fontId="2" type="noConversion"/>
  </si>
  <si>
    <t>인천광역시 서구 왕길동 사업지 개발 및 물류센터 개발사업 재해영향평가</t>
    <phoneticPr fontId="2" type="noConversion"/>
  </si>
  <si>
    <t>042020-07</t>
    <phoneticPr fontId="2" type="noConversion"/>
  </si>
  <si>
    <t>부여군 군관리계획(분화예술교육종합타운) 결정 기본 및 실시설계 재해영향평가
(개발사업)</t>
    <phoneticPr fontId="2" type="noConversion"/>
  </si>
  <si>
    <t>협의보고서 제출</t>
    <phoneticPr fontId="2" type="noConversion"/>
  </si>
  <si>
    <t>112021-01</t>
    <phoneticPr fontId="2" type="noConversion"/>
  </si>
  <si>
    <t>국지도 82호선 화성장지~용인남사 도로건설공사 기본 및 실시설계 용역 수리검토 및 재해영향평가 용역</t>
    <phoneticPr fontId="2" type="noConversion"/>
  </si>
  <si>
    <t>경기도 재해영향평가 심의의원 날인중</t>
    <phoneticPr fontId="2" type="noConversion"/>
  </si>
  <si>
    <t>계약</t>
    <phoneticPr fontId="2" type="noConversion"/>
  </si>
  <si>
    <t>부서협조</t>
    <phoneticPr fontId="2" type="noConversion"/>
  </si>
  <si>
    <t>지반협조</t>
    <phoneticPr fontId="2" type="noConversion"/>
  </si>
  <si>
    <t>구조협조</t>
    <phoneticPr fontId="2" type="noConversion"/>
  </si>
  <si>
    <t>수리검토</t>
    <phoneticPr fontId="2" type="noConversion"/>
  </si>
  <si>
    <t>잔액</t>
    <phoneticPr fontId="2" type="noConversion"/>
  </si>
  <si>
    <t>042020-13</t>
    <phoneticPr fontId="2" type="noConversion"/>
  </si>
  <si>
    <t>천안시 성성동 34-4번지 일원 성성5지구 도시개발사업용역 재해영향성검토 및 재해영향평가 용역</t>
    <phoneticPr fontId="2" type="noConversion"/>
  </si>
  <si>
    <t>재해영향성검토 
협의완료</t>
    <phoneticPr fontId="2" type="noConversion"/>
  </si>
  <si>
    <t>042020-12</t>
    <phoneticPr fontId="2" type="noConversion"/>
  </si>
  <si>
    <t>천안시 부대동 408번지 일원 성성6지구 도시개발사업용역 재해영향성검토 및 재해영향평가 용역</t>
    <phoneticPr fontId="2" type="noConversion"/>
  </si>
  <si>
    <t>재해영향성 검토 
협의완료</t>
    <phoneticPr fontId="2" type="noConversion"/>
  </si>
  <si>
    <t>112018-12</t>
    <phoneticPr fontId="2" type="noConversion"/>
  </si>
  <si>
    <t>서산시 풍수해저감종합계획</t>
    <phoneticPr fontId="2" type="noConversion"/>
  </si>
  <si>
    <t>18.06.26</t>
    <phoneticPr fontId="2" type="noConversion"/>
  </si>
  <si>
    <t>서산시
안전총괄과
우태수
/하존이엔씨
조현선</t>
    <phoneticPr fontId="2" type="noConversion"/>
  </si>
  <si>
    <t>지급</t>
    <phoneticPr fontId="2" type="noConversion"/>
  </si>
  <si>
    <t xml:space="preserve"> </t>
    <phoneticPr fontId="2" type="noConversion"/>
  </si>
  <si>
    <t>잔액</t>
    <phoneticPr fontId="2" type="noConversion"/>
  </si>
  <si>
    <t>잔액</t>
    <phoneticPr fontId="2" type="noConversion"/>
  </si>
  <si>
    <t>112018-15</t>
    <phoneticPr fontId="2" type="noConversion"/>
  </si>
  <si>
    <t>죽림지구 
다목적농촌용수 
개발사업 세부설계 
용역</t>
    <phoneticPr fontId="2" type="noConversion"/>
  </si>
  <si>
    <t>18.09.05</t>
    <phoneticPr fontId="2" type="noConversion"/>
  </si>
  <si>
    <t>계약</t>
    <phoneticPr fontId="2" type="noConversion"/>
  </si>
  <si>
    <t>외주</t>
    <phoneticPr fontId="2" type="noConversion"/>
  </si>
  <si>
    <t>준공완료</t>
    <phoneticPr fontId="2" type="noConversion"/>
  </si>
  <si>
    <t>농어촌공사 경남지역
본부
사업계획부
이언탁
/삼육
김용태</t>
    <phoneticPr fontId="2" type="noConversion"/>
  </si>
  <si>
    <t>지급</t>
    <phoneticPr fontId="2" type="noConversion"/>
  </si>
  <si>
    <t xml:space="preserve"> </t>
    <phoneticPr fontId="2" type="noConversion"/>
  </si>
  <si>
    <t>112018-18</t>
    <phoneticPr fontId="2" type="noConversion"/>
  </si>
  <si>
    <t>계룡시 
풍수해저감종합계획 
재수립 용역</t>
    <phoneticPr fontId="2" type="noConversion"/>
  </si>
  <si>
    <t>18.10.30</t>
    <phoneticPr fontId="2" type="noConversion"/>
  </si>
  <si>
    <t>행안부 심의의견
반영중</t>
    <phoneticPr fontId="2" type="noConversion"/>
  </si>
  <si>
    <t>계룡시
안전총괄과
한상윤
/강우
김강지</t>
    <phoneticPr fontId="2" type="noConversion"/>
  </si>
  <si>
    <t>중지:
20.04.06</t>
    <phoneticPr fontId="2" type="noConversion"/>
  </si>
  <si>
    <t>중지:
20.04.06</t>
    <phoneticPr fontId="2" type="noConversion"/>
  </si>
  <si>
    <t>112018-20</t>
    <phoneticPr fontId="2" type="noConversion"/>
  </si>
  <si>
    <t>고양시 
풍수해저감종합계획
재수립 용역</t>
    <phoneticPr fontId="2" type="noConversion"/>
  </si>
  <si>
    <t>18.12.13</t>
    <phoneticPr fontId="2" type="noConversion"/>
  </si>
  <si>
    <t>행안부 심의의견 
반영중</t>
    <phoneticPr fontId="2" type="noConversion"/>
  </si>
  <si>
    <t>고양시
시민안전과
정금영
/하존이엔씨
조현선</t>
    <phoneticPr fontId="2" type="noConversion"/>
  </si>
  <si>
    <t>중지:
20.03.06</t>
    <phoneticPr fontId="2" type="noConversion"/>
  </si>
  <si>
    <t>112019-01</t>
    <phoneticPr fontId="2" type="noConversion"/>
  </si>
  <si>
    <t>동두천시 
풍수해저감종합계획 
재수립 용역</t>
    <phoneticPr fontId="2" type="noConversion"/>
  </si>
  <si>
    <t>18.12.04</t>
    <phoneticPr fontId="2" type="noConversion"/>
  </si>
  <si>
    <t>동두천시
안전총괄과
최제호
/하존이엔씨
조현선</t>
    <phoneticPr fontId="2" type="noConversion"/>
  </si>
  <si>
    <t>112018-02</t>
    <phoneticPr fontId="2" type="noConversion"/>
  </si>
  <si>
    <t xml:space="preserve">대흥천 
생태하천 복원사업 기본 및 실시설계 
용역 </t>
    <phoneticPr fontId="2" type="noConversion"/>
  </si>
  <si>
    <t>18.02.12</t>
    <phoneticPr fontId="2" type="noConversion"/>
  </si>
  <si>
    <t>환경공단 협의완료후 공사발주중</t>
    <phoneticPr fontId="2" type="noConversion"/>
  </si>
  <si>
    <t>희망마을
건설과
서정훈
/대흥엔지니어링
박태현</t>
    <phoneticPr fontId="2" type="noConversion"/>
  </si>
  <si>
    <t>중지:
18.06.27</t>
    <phoneticPr fontId="2" type="noConversion"/>
  </si>
  <si>
    <t>논산시</t>
    <phoneticPr fontId="2" type="noConversion"/>
  </si>
  <si>
    <t>112016-17</t>
    <phoneticPr fontId="2" type="noConversion"/>
  </si>
  <si>
    <t>의성군 소하천정비
종합계획(변경) 및 지형도면고시 용역 
2차</t>
    <phoneticPr fontId="2" type="noConversion"/>
  </si>
  <si>
    <t>16.08.03</t>
    <phoneticPr fontId="2" type="noConversion"/>
  </si>
  <si>
    <t xml:space="preserve">안전과
정무영
/성희엔지니어링
이동호
</t>
    <phoneticPr fontId="2" type="noConversion"/>
  </si>
  <si>
    <t>16-14</t>
    <phoneticPr fontId="2" type="noConversion"/>
  </si>
  <si>
    <t>112015-09</t>
    <phoneticPr fontId="2" type="noConversion"/>
  </si>
  <si>
    <t xml:space="preserve">영주시 소하천정비
종합계획 재수립 및 지형도면 고시용역
(2권역) </t>
    <phoneticPr fontId="2" type="noConversion"/>
  </si>
  <si>
    <t>15.06.16</t>
  </si>
  <si>
    <t>경북도 광역심의
의견 보완중</t>
    <phoneticPr fontId="2" type="noConversion"/>
  </si>
  <si>
    <t xml:space="preserve">하천과
이기철/성희엔지니어링
이동호
</t>
    <phoneticPr fontId="2" type="noConversion"/>
  </si>
  <si>
    <t>15-08</t>
    <phoneticPr fontId="2" type="noConversion"/>
  </si>
  <si>
    <t>중지:
19.08.09</t>
  </si>
  <si>
    <t>112016-15</t>
    <phoneticPr fontId="2" type="noConversion"/>
  </si>
  <si>
    <t>영천시 소하천정비
종합계획 재수립 및 지형도면고시 용역
(2단계)</t>
    <phoneticPr fontId="2" type="noConversion"/>
  </si>
  <si>
    <t>16.07.25</t>
    <phoneticPr fontId="2" type="noConversion"/>
  </si>
  <si>
    <t>기초소하천심의
의견 반영중</t>
    <phoneticPr fontId="2" type="noConversion"/>
  </si>
  <si>
    <t xml:space="preserve">안전재난
하천과
정영동/성희엔지니어링
이동호
</t>
    <phoneticPr fontId="2" type="noConversion"/>
  </si>
  <si>
    <t>16-15</t>
    <phoneticPr fontId="2" type="noConversion"/>
  </si>
  <si>
    <t>중지:
18.05.10</t>
    <phoneticPr fontId="2" type="noConversion"/>
  </si>
  <si>
    <t>112016-10</t>
    <phoneticPr fontId="2" type="noConversion"/>
  </si>
  <si>
    <t>소하천정비종합계획 및 지형도면고시 
용역</t>
    <phoneticPr fontId="2" type="noConversion"/>
  </si>
  <si>
    <t>16.05.16</t>
    <phoneticPr fontId="2" type="noConversion"/>
  </si>
  <si>
    <t>경기도 광역심의 
일정협의중</t>
    <phoneticPr fontId="2" type="noConversion"/>
  </si>
  <si>
    <t>생태하천과
장미숙
/다담이앤씨
최준영</t>
    <phoneticPr fontId="2" type="noConversion"/>
  </si>
  <si>
    <t>16-10</t>
    <phoneticPr fontId="2" type="noConversion"/>
  </si>
  <si>
    <t>112016-23</t>
    <phoneticPr fontId="2" type="noConversion"/>
  </si>
  <si>
    <t>공주시 소하천정비
종합계획 재수립 및 지형도면고시 용역
(2권역)</t>
    <phoneticPr fontId="2" type="noConversion"/>
  </si>
  <si>
    <t>16.12.29</t>
    <phoneticPr fontId="2" type="noConversion"/>
  </si>
  <si>
    <t>건설과
김진택/신일엔지니어링
박원길</t>
    <phoneticPr fontId="2" type="noConversion"/>
  </si>
  <si>
    <t>16-23</t>
    <phoneticPr fontId="2" type="noConversion"/>
  </si>
  <si>
    <t>112017-02</t>
    <phoneticPr fontId="2" type="noConversion"/>
  </si>
  <si>
    <t>고흥군 소하천정비
종합계획 재수립 및 지형도면고시 용역
(1권역)</t>
    <phoneticPr fontId="2" type="noConversion"/>
  </si>
  <si>
    <t>전남도 광역심의
요청중</t>
    <phoneticPr fontId="2" type="noConversion"/>
  </si>
  <si>
    <t>안전총괄과
김형철/다담이앤씨
최준영</t>
    <phoneticPr fontId="2" type="noConversion"/>
  </si>
  <si>
    <t>17-02</t>
    <phoneticPr fontId="2" type="noConversion"/>
  </si>
  <si>
    <t>중지:
20.12.27</t>
    <phoneticPr fontId="2" type="noConversion"/>
  </si>
  <si>
    <t>112017-15</t>
    <phoneticPr fontId="2" type="noConversion"/>
  </si>
  <si>
    <t>제민천 하천기본
계획(재수립) 수립 및 실시설계 용역</t>
    <phoneticPr fontId="2" type="noConversion"/>
  </si>
  <si>
    <t>17.12.18</t>
    <phoneticPr fontId="2" type="noConversion"/>
  </si>
  <si>
    <t>건설과
심효섭/신일엔지니어링
박원길</t>
    <phoneticPr fontId="2" type="noConversion"/>
  </si>
  <si>
    <t>112014-11</t>
    <phoneticPr fontId="2" type="noConversion"/>
  </si>
  <si>
    <t>거창군 소하천정비 종합계획수립(변경) 및 지형도면 고시
용역</t>
    <phoneticPr fontId="2" type="noConversion"/>
  </si>
  <si>
    <t>14.12.30</t>
    <phoneticPr fontId="2" type="noConversion"/>
  </si>
  <si>
    <t>하천시설관리대장 작성중</t>
    <phoneticPr fontId="2" type="noConversion"/>
  </si>
  <si>
    <t>건설과 
전병준/에이스디이씨
이병대</t>
    <phoneticPr fontId="2" type="noConversion"/>
  </si>
  <si>
    <t>14-011</t>
    <phoneticPr fontId="2" type="noConversion"/>
  </si>
  <si>
    <t>112019-04</t>
    <phoneticPr fontId="2" type="noConversion"/>
  </si>
  <si>
    <t>포천천 3차 
생태하천 복원사업 기본 및 실시설계
용역</t>
    <phoneticPr fontId="2" type="noConversion"/>
  </si>
  <si>
    <t>19.06.13</t>
    <phoneticPr fontId="2" type="noConversion"/>
  </si>
  <si>
    <t>생태하천복원
심의후 보완중</t>
    <phoneticPr fontId="2" type="noConversion"/>
  </si>
  <si>
    <t>안전총괄과
나상현/다산
박정남</t>
    <phoneticPr fontId="2" type="noConversion"/>
  </si>
  <si>
    <t>112019-06</t>
    <phoneticPr fontId="2" type="noConversion"/>
  </si>
  <si>
    <t>조만강 생태하천 
복원사업 실시설계 용역</t>
    <phoneticPr fontId="2" type="noConversion"/>
  </si>
  <si>
    <t>19.06.27</t>
    <phoneticPr fontId="2" type="noConversion"/>
  </si>
  <si>
    <t>하천과
하상호/동부
조영진</t>
    <phoneticPr fontId="2" type="noConversion"/>
  </si>
  <si>
    <t>112019-02</t>
    <phoneticPr fontId="2" type="noConversion"/>
  </si>
  <si>
    <t>정읍시 
자연재해저감종합
계획 재수립 용역</t>
    <phoneticPr fontId="2" type="noConversion"/>
  </si>
  <si>
    <t>19.04.19</t>
    <phoneticPr fontId="2" type="noConversion"/>
  </si>
  <si>
    <t>행안부 심의의견 
보완중</t>
    <phoneticPr fontId="2" type="noConversion"/>
  </si>
  <si>
    <t xml:space="preserve">안전총괄과
/금일
강희균
</t>
    <phoneticPr fontId="2" type="noConversion"/>
  </si>
  <si>
    <t>112019-09</t>
    <phoneticPr fontId="2" type="noConversion"/>
  </si>
  <si>
    <t>봉명 자연재해위험개선지구 정비사업 실시설계 용역</t>
    <phoneticPr fontId="2" type="noConversion"/>
  </si>
  <si>
    <t>19.11.22</t>
    <phoneticPr fontId="2" type="noConversion"/>
  </si>
  <si>
    <t>천안시 건설기술
심의중</t>
    <phoneticPr fontId="2" type="noConversion"/>
  </si>
  <si>
    <t>안전총괄과
/다산
박정남</t>
    <phoneticPr fontId="2" type="noConversion"/>
  </si>
  <si>
    <t>112021-06</t>
    <phoneticPr fontId="2" type="noConversion"/>
  </si>
  <si>
    <t>2021년 온양천외 6개소 준설공사 실시설계 용역</t>
    <phoneticPr fontId="2" type="noConversion"/>
  </si>
  <si>
    <t>21.03.17</t>
    <phoneticPr fontId="2" type="noConversion"/>
  </si>
  <si>
    <t>건설과/다담이앤씨
최준영</t>
    <phoneticPr fontId="2" type="noConversion"/>
  </si>
  <si>
    <t>금액상이</t>
    <phoneticPr fontId="2" type="noConversion"/>
  </si>
  <si>
    <t>관리부</t>
    <phoneticPr fontId="2" type="noConversion"/>
  </si>
  <si>
    <t>수자</t>
    <phoneticPr fontId="2" type="noConversion"/>
  </si>
  <si>
    <t>월 간  공 정  보 고 ( 단지설계부 )</t>
    <phoneticPr fontId="2" type="noConversion"/>
  </si>
  <si>
    <t>1. 수행업무</t>
    <phoneticPr fontId="2" type="noConversion"/>
  </si>
  <si>
    <t>(단위: 백만원)</t>
    <phoneticPr fontId="2" type="noConversion"/>
  </si>
  <si>
    <t>순서</t>
    <phoneticPr fontId="2" type="noConversion"/>
  </si>
  <si>
    <t>사 업 명 [발주처]</t>
    <phoneticPr fontId="2" type="noConversion"/>
  </si>
  <si>
    <t>과업기간</t>
    <phoneticPr fontId="2" type="noConversion"/>
  </si>
  <si>
    <t>금 액 현 황</t>
    <phoneticPr fontId="2" type="noConversion"/>
  </si>
  <si>
    <t>수행금액</t>
    <phoneticPr fontId="2" type="noConversion"/>
  </si>
  <si>
    <t>전년
공정</t>
    <phoneticPr fontId="2" type="noConversion"/>
  </si>
  <si>
    <t>당해
공정</t>
    <phoneticPr fontId="2" type="noConversion"/>
  </si>
  <si>
    <r>
      <t xml:space="preserve">주요보고사항
</t>
    </r>
    <r>
      <rPr>
        <sz val="10"/>
        <color theme="1"/>
        <rFont val="HY신명조"/>
        <family val="1"/>
        <charset val="129"/>
      </rPr>
      <t>(공정-수금 차액)</t>
    </r>
    <phoneticPr fontId="2" type="noConversion"/>
  </si>
  <si>
    <t>발주처/
담당자</t>
    <phoneticPr fontId="2" type="noConversion"/>
  </si>
  <si>
    <t>JOB NO</t>
    <phoneticPr fontId="2" type="noConversion"/>
  </si>
  <si>
    <t>162017-01</t>
    <phoneticPr fontId="2" type="noConversion"/>
  </si>
  <si>
    <t>오산갈곶지구 지구단위계획 및 실시설계 용역</t>
    <phoneticPr fontId="2" type="noConversion"/>
  </si>
  <si>
    <t>17.04.26</t>
  </si>
  <si>
    <t>계약</t>
    <phoneticPr fontId="2" type="noConversion"/>
  </si>
  <si>
    <t>수행</t>
    <phoneticPr fontId="2" type="noConversion"/>
  </si>
  <si>
    <t>유비이엔씨
조성진상무
/
박계학</t>
  </si>
  <si>
    <t>당해공정금액</t>
    <phoneticPr fontId="2" type="noConversion"/>
  </si>
  <si>
    <t>공정잔액</t>
    <phoneticPr fontId="2" type="noConversion"/>
  </si>
  <si>
    <t>16-02</t>
    <phoneticPr fontId="2" type="noConversion"/>
  </si>
  <si>
    <t>부서협조</t>
    <phoneticPr fontId="2" type="noConversion"/>
  </si>
  <si>
    <t>중지:18.06.</t>
  </si>
  <si>
    <t>실시계획 
인허가 서류 및 설계도서 작성</t>
    <phoneticPr fontId="2" type="noConversion"/>
  </si>
  <si>
    <t>과업대기</t>
    <phoneticPr fontId="2" type="noConversion"/>
  </si>
  <si>
    <t>도시계획시설 실시계획인가 협의</t>
    <phoneticPr fontId="2" type="noConversion"/>
  </si>
  <si>
    <t>도시계획시설 실시계획인가 접수 및 협의</t>
    <phoneticPr fontId="2" type="noConversion"/>
  </si>
  <si>
    <t>162017-06</t>
    <phoneticPr fontId="2" type="noConversion"/>
  </si>
  <si>
    <t>압곡리 테라스하우스 진입도로 및 단지설계용역</t>
    <phoneticPr fontId="2" type="noConversion"/>
  </si>
  <si>
    <t>17.12.11</t>
  </si>
  <si>
    <t>중지:19.07.</t>
  </si>
  <si>
    <t>잔액</t>
    <phoneticPr fontId="2" type="noConversion"/>
  </si>
  <si>
    <t>외주 등</t>
    <phoneticPr fontId="2" type="noConversion"/>
  </si>
  <si>
    <t>과업대기</t>
    <phoneticPr fontId="2" type="noConversion"/>
  </si>
  <si>
    <t>과업대기</t>
    <phoneticPr fontId="2" type="noConversion"/>
  </si>
  <si>
    <t>기타비용</t>
    <phoneticPr fontId="2" type="noConversion"/>
  </si>
  <si>
    <t>162018-01</t>
    <phoneticPr fontId="2" type="noConversion"/>
  </si>
  <si>
    <t>행정중심복합도시 S-1, 4-2, 5생활권 단지개발사업실시설계용역</t>
    <phoneticPr fontId="2" type="noConversion"/>
  </si>
  <si>
    <t>18.05.10</t>
  </si>
  <si>
    <t>계약</t>
    <phoneticPr fontId="2" type="noConversion"/>
  </si>
  <si>
    <t>수행</t>
    <phoneticPr fontId="2" type="noConversion"/>
  </si>
  <si>
    <t>한국토지
주택공사
정환식차장
/
이희교</t>
  </si>
  <si>
    <t>당해공정금액</t>
    <phoneticPr fontId="2" type="noConversion"/>
  </si>
  <si>
    <t>공정잔액</t>
    <phoneticPr fontId="2" type="noConversion"/>
  </si>
  <si>
    <t>부서협조</t>
    <phoneticPr fontId="2" type="noConversion"/>
  </si>
  <si>
    <t>지반협조</t>
  </si>
  <si>
    <t>구조협조</t>
  </si>
  <si>
    <t>기타</t>
  </si>
  <si>
    <t>중지:</t>
    <phoneticPr fontId="2" type="noConversion"/>
  </si>
  <si>
    <t>5-1생활권 설계변경</t>
  </si>
  <si>
    <t>S-1생활권 관망검토 및 수리계산</t>
    <phoneticPr fontId="2" type="noConversion"/>
  </si>
  <si>
    <t>5생활권 관망 변경설계</t>
    <phoneticPr fontId="2" type="noConversion"/>
  </si>
  <si>
    <t>S-1, 4-2
생활권 관망 설계</t>
    <phoneticPr fontId="2" type="noConversion"/>
  </si>
  <si>
    <t>4-2
생활권 관망 설계</t>
    <phoneticPr fontId="2" type="noConversion"/>
  </si>
  <si>
    <t>5-1생활권 설계변경</t>
    <phoneticPr fontId="2" type="noConversion"/>
  </si>
  <si>
    <t>162018-02</t>
    <phoneticPr fontId="2" type="noConversion"/>
  </si>
  <si>
    <t>오산 양산동 도시개발
사업 단지설계 용역</t>
    <phoneticPr fontId="2" type="noConversion"/>
  </si>
  <si>
    <t>18.08.06</t>
    <phoneticPr fontId="2" type="noConversion"/>
  </si>
  <si>
    <t>과업대기</t>
    <phoneticPr fontId="2" type="noConversion"/>
  </si>
  <si>
    <t>토지이용계획변경관련 토목계획재수립</t>
    <phoneticPr fontId="2" type="noConversion"/>
  </si>
  <si>
    <t>162018-03</t>
    <phoneticPr fontId="2" type="noConversion"/>
  </si>
  <si>
    <t>모현면 왕산리 일원 
개발행위허가 용역</t>
    <phoneticPr fontId="2" type="noConversion"/>
  </si>
  <si>
    <t>18.08.16</t>
    <phoneticPr fontId="2" type="noConversion"/>
  </si>
  <si>
    <t xml:space="preserve">잔여부지 사업자지정 결정에 따른 건축의제
개발행위허가 진행
(2월25일 도시계획심의 개최예정) </t>
    <phoneticPr fontId="2" type="noConversion"/>
  </si>
  <si>
    <t>헬스투데이
정연재대표
/
이희교</t>
    <phoneticPr fontId="2" type="noConversion"/>
  </si>
  <si>
    <t>개발행위재접수 보완
서류 작성</t>
    <phoneticPr fontId="2" type="noConversion"/>
  </si>
  <si>
    <t>도시계획
심의자료
보완</t>
    <phoneticPr fontId="2" type="noConversion"/>
  </si>
  <si>
    <t>인허가 관련 조치계획서 작성</t>
    <phoneticPr fontId="2" type="noConversion"/>
  </si>
  <si>
    <t>준공대기</t>
    <phoneticPr fontId="2" type="noConversion"/>
  </si>
  <si>
    <t>162018-04</t>
    <phoneticPr fontId="2" type="noConversion"/>
  </si>
  <si>
    <t>이천 장호원 진암
지구 도시개발사업 
수립용역</t>
    <phoneticPr fontId="2" type="noConversion"/>
  </si>
  <si>
    <t>18.09.03</t>
    <phoneticPr fontId="2" type="noConversion"/>
  </si>
  <si>
    <t>토광에스디
유성현이사
/
박계학</t>
    <phoneticPr fontId="2" type="noConversion"/>
  </si>
  <si>
    <t>도로협조</t>
    <phoneticPr fontId="2" type="noConversion"/>
  </si>
  <si>
    <t>관련기관 조치계획 수립중</t>
    <phoneticPr fontId="2" type="noConversion"/>
  </si>
  <si>
    <t xml:space="preserve">실시계획
인가 관련
실과 협의 </t>
    <phoneticPr fontId="2" type="noConversion"/>
  </si>
  <si>
    <t xml:space="preserve">실시계획
인가 관련
보완서작성 </t>
    <phoneticPr fontId="2" type="noConversion"/>
  </si>
  <si>
    <t>실시설계 
성과품 관련협의</t>
    <phoneticPr fontId="2" type="noConversion"/>
  </si>
  <si>
    <t>건축배치변경에 따른 토공검토</t>
    <phoneticPr fontId="2" type="noConversion"/>
  </si>
  <si>
    <t>실시계획
인가 보완서 작성</t>
    <phoneticPr fontId="2" type="noConversion"/>
  </si>
  <si>
    <t>162019-01</t>
    <phoneticPr fontId="2" type="noConversion"/>
  </si>
  <si>
    <t>파주내포 우량농지
조성 설계용역</t>
    <phoneticPr fontId="2" type="noConversion"/>
  </si>
  <si>
    <t>19.01.03</t>
    <phoneticPr fontId="2" type="noConversion"/>
  </si>
  <si>
    <t>사업계획변경
(우량농지-&gt;산업단지)에 따른 
과업수행 대기</t>
    <phoneticPr fontId="2" type="noConversion"/>
  </si>
  <si>
    <t>(주)농업법인
에스아인세인
박노훈대표
/
이희교</t>
    <phoneticPr fontId="2" type="noConversion"/>
  </si>
  <si>
    <t>162020-03</t>
    <phoneticPr fontId="2" type="noConversion"/>
  </si>
  <si>
    <t>평택 팽성읍 원정리 산46번지일원 개발행위허가 및 조사설계 변경용역</t>
    <phoneticPr fontId="2" type="noConversion"/>
  </si>
  <si>
    <t>19.02.12</t>
    <phoneticPr fontId="2" type="noConversion"/>
  </si>
  <si>
    <t>(주)세라핌
디벨롭먼트
박세연이사
/
이희교</t>
    <phoneticPr fontId="2" type="noConversion"/>
  </si>
  <si>
    <t>환경협조</t>
    <phoneticPr fontId="2" type="noConversion"/>
  </si>
  <si>
    <t>도시협조</t>
    <phoneticPr fontId="2" type="noConversion"/>
  </si>
  <si>
    <t>교통협조</t>
    <phoneticPr fontId="2" type="noConversion"/>
  </si>
  <si>
    <t>상하수도 발생량 
검   토</t>
    <phoneticPr fontId="2" type="noConversion"/>
  </si>
  <si>
    <t>상하수도
분담금협의</t>
    <phoneticPr fontId="2" type="noConversion"/>
  </si>
  <si>
    <t>162020-01</t>
    <phoneticPr fontId="2" type="noConversion"/>
  </si>
  <si>
    <t>화성장안지구 지구단위계획구역 기반시설 
기본 및 실시설계용역</t>
    <phoneticPr fontId="2" type="noConversion"/>
  </si>
  <si>
    <t>19.12.02</t>
    <phoneticPr fontId="2" type="noConversion"/>
  </si>
  <si>
    <t>실시계획 인가 
일정 협의 및 도서작성
토목자료 작성</t>
    <phoneticPr fontId="2" type="noConversion"/>
  </si>
  <si>
    <t>㈜화성장안
택지개발
박승철대표
/
이희교</t>
    <phoneticPr fontId="2" type="noConversion"/>
  </si>
  <si>
    <t>수자원협조</t>
    <phoneticPr fontId="2" type="noConversion"/>
  </si>
  <si>
    <t>도시계획
도로
실시설계</t>
    <phoneticPr fontId="2" type="noConversion"/>
  </si>
  <si>
    <t>도로실시설계 및 관련인허가 협의</t>
    <phoneticPr fontId="2" type="noConversion"/>
  </si>
  <si>
    <t>실시계획
인가신청서 작성</t>
    <phoneticPr fontId="2" type="noConversion"/>
  </si>
  <si>
    <t>162020-02</t>
    <phoneticPr fontId="2" type="noConversion"/>
  </si>
  <si>
    <t>부여 군관리계획 결정
및  
기본 및 실시설계용역</t>
    <phoneticPr fontId="2" type="noConversion"/>
  </si>
  <si>
    <t>20.04.27</t>
    <phoneticPr fontId="2" type="noConversion"/>
  </si>
  <si>
    <r>
      <rPr>
        <sz val="9"/>
        <color theme="1"/>
        <rFont val="HY신명조"/>
        <family val="1"/>
        <charset val="129"/>
      </rPr>
      <t>㈜한국종합기술</t>
    </r>
    <r>
      <rPr>
        <sz val="10"/>
        <color theme="1"/>
        <rFont val="HY신명조"/>
        <family val="1"/>
        <charset val="129"/>
      </rPr>
      <t xml:space="preserve">
강석주상무
/
이희교</t>
    </r>
    <phoneticPr fontId="2" type="noConversion"/>
  </si>
  <si>
    <t>토공관련 토취장 
조사및협의</t>
  </si>
  <si>
    <t>문화재발굴유예신청관련 자료작성</t>
    <phoneticPr fontId="2" type="noConversion"/>
  </si>
  <si>
    <t>토공계획 
관련 협의</t>
    <phoneticPr fontId="2" type="noConversion"/>
  </si>
  <si>
    <t xml:space="preserve">공종별 설계기준 협의 </t>
    <phoneticPr fontId="2" type="noConversion"/>
  </si>
  <si>
    <t>기초자료 
조사 및 상위계획 검토</t>
    <phoneticPr fontId="2" type="noConversion"/>
  </si>
  <si>
    <t>기초자료조사 및 상위계획검토</t>
    <phoneticPr fontId="2" type="noConversion"/>
  </si>
  <si>
    <t>토공관련 토취장 
조사및협의</t>
    <phoneticPr fontId="2" type="noConversion"/>
  </si>
  <si>
    <t>162020-04</t>
    <phoneticPr fontId="2" type="noConversion"/>
  </si>
  <si>
    <t>대구연호 공공주택지구 조성공사 
시공책임형 CM 제안서 용역</t>
    <phoneticPr fontId="2" type="noConversion"/>
  </si>
  <si>
    <t>20.11.12</t>
    <phoneticPr fontId="2" type="noConversion"/>
  </si>
  <si>
    <t xml:space="preserve"> 과업준공에 따른 
합사종료 (02.08)</t>
    <phoneticPr fontId="2" type="noConversion"/>
  </si>
  <si>
    <r>
      <rPr>
        <sz val="9"/>
        <color theme="1"/>
        <rFont val="HY신명조"/>
        <family val="1"/>
        <charset val="129"/>
      </rPr>
      <t>㈜대림건설</t>
    </r>
    <r>
      <rPr>
        <sz val="10"/>
        <color theme="1"/>
        <rFont val="HY신명조"/>
        <family val="1"/>
        <charset val="129"/>
      </rPr>
      <t xml:space="preserve">
금래윤차장
/
박계학</t>
    </r>
    <phoneticPr fontId="2" type="noConversion"/>
  </si>
  <si>
    <t>사업제안서
작성</t>
  </si>
  <si>
    <t>사업제안서
작성</t>
    <phoneticPr fontId="2" type="noConversion"/>
  </si>
  <si>
    <t>162020-05</t>
    <phoneticPr fontId="2" type="noConversion"/>
  </si>
  <si>
    <t>광주00지구 도시개발
사업 조사설계용역</t>
    <phoneticPr fontId="2" type="noConversion"/>
  </si>
  <si>
    <t>20.06.05</t>
    <phoneticPr fontId="2" type="noConversion"/>
  </si>
  <si>
    <t>하도급계약 5월 중 완료예정</t>
    <phoneticPr fontId="2" type="noConversion"/>
  </si>
  <si>
    <r>
      <rPr>
        <sz val="9"/>
        <color theme="1"/>
        <rFont val="HY신명조"/>
        <family val="1"/>
        <charset val="129"/>
      </rPr>
      <t>㈜일신</t>
    </r>
    <r>
      <rPr>
        <sz val="10"/>
        <color theme="1"/>
        <rFont val="HY신명조"/>
        <family val="1"/>
        <charset val="129"/>
      </rPr>
      <t xml:space="preserve">
김득영부장
/
이희교</t>
    </r>
    <phoneticPr fontId="2" type="noConversion"/>
  </si>
  <si>
    <t>과업대기</t>
  </si>
  <si>
    <t>162021-03</t>
    <phoneticPr fontId="2" type="noConversion"/>
  </si>
  <si>
    <t>예당저수지 기반시설(주차장) 조성사업 실시설계용역</t>
    <phoneticPr fontId="2" type="noConversion"/>
  </si>
  <si>
    <t>21.11.17</t>
    <phoneticPr fontId="2" type="noConversion"/>
  </si>
  <si>
    <r>
      <rPr>
        <sz val="9"/>
        <color theme="1"/>
        <rFont val="HY신명조"/>
        <family val="1"/>
        <charset val="129"/>
      </rPr>
      <t>예산군</t>
    </r>
    <r>
      <rPr>
        <sz val="10"/>
        <color theme="1"/>
        <rFont val="HY신명조"/>
        <family val="1"/>
        <charset val="129"/>
      </rPr>
      <t xml:space="preserve">
유상협주무관
/
박계학</t>
    </r>
    <phoneticPr fontId="2" type="noConversion"/>
  </si>
  <si>
    <t>2. 부 서 협 조</t>
    <phoneticPr fontId="2" type="noConversion"/>
  </si>
  <si>
    <t>(단위: 백만원)</t>
    <phoneticPr fontId="2" type="noConversion"/>
  </si>
  <si>
    <t>순서</t>
    <phoneticPr fontId="2" type="noConversion"/>
  </si>
  <si>
    <t>사 업 명 [주관부서]</t>
    <phoneticPr fontId="2" type="noConversion"/>
  </si>
  <si>
    <t>과업기간</t>
    <phoneticPr fontId="2" type="noConversion"/>
  </si>
  <si>
    <t>협조금액</t>
    <phoneticPr fontId="2" type="noConversion"/>
  </si>
  <si>
    <t>수행금액</t>
    <phoneticPr fontId="2" type="noConversion"/>
  </si>
  <si>
    <t>전년
공정</t>
    <phoneticPr fontId="2" type="noConversion"/>
  </si>
  <si>
    <t>당해
공정</t>
    <phoneticPr fontId="2" type="noConversion"/>
  </si>
  <si>
    <t>주요보고사항</t>
    <phoneticPr fontId="2" type="noConversion"/>
  </si>
  <si>
    <t>담당자</t>
    <phoneticPr fontId="2" type="noConversion"/>
  </si>
  <si>
    <t>JOB NO</t>
    <phoneticPr fontId="2" type="noConversion"/>
  </si>
  <si>
    <t>042016-03</t>
    <phoneticPr fontId="2" type="noConversion"/>
  </si>
  <si>
    <t>아산인주지구
일반산업단지 조성사업
기초조사 및 실시설계</t>
    <phoneticPr fontId="2" type="noConversion"/>
  </si>
  <si>
    <t>16.04.20</t>
    <phoneticPr fontId="2" type="noConversion"/>
  </si>
  <si>
    <t>협조</t>
    <phoneticPr fontId="2" type="noConversion"/>
  </si>
  <si>
    <t>수행</t>
    <phoneticPr fontId="2" type="noConversion"/>
  </si>
  <si>
    <t>김권수이사</t>
    <phoneticPr fontId="2" type="noConversion"/>
  </si>
  <si>
    <t>당해공정금액</t>
    <phoneticPr fontId="2" type="noConversion"/>
  </si>
  <si>
    <t>공정잔액</t>
    <phoneticPr fontId="2" type="noConversion"/>
  </si>
  <si>
    <t>16-02</t>
    <phoneticPr fontId="2" type="noConversion"/>
  </si>
  <si>
    <t>기타</t>
    <phoneticPr fontId="2" type="noConversion"/>
  </si>
  <si>
    <t>중지:</t>
    <phoneticPr fontId="2" type="noConversion"/>
  </si>
  <si>
    <t>원사업</t>
    <phoneticPr fontId="2" type="noConversion"/>
  </si>
  <si>
    <t>과업대기</t>
    <phoneticPr fontId="2" type="noConversion"/>
  </si>
  <si>
    <t>지장물협의 및 
설계내역서 
수정제출</t>
    <phoneticPr fontId="2" type="noConversion"/>
  </si>
  <si>
    <t>기타비용</t>
    <phoneticPr fontId="2" type="noConversion"/>
  </si>
  <si>
    <t>042018-13</t>
    <phoneticPr fontId="2" type="noConversion"/>
  </si>
  <si>
    <t>아산 북수리 공공지원 
민간임대주택사업 
지구단위계획 용역</t>
    <phoneticPr fontId="2" type="noConversion"/>
  </si>
  <si>
    <t>18.09.</t>
    <phoneticPr fontId="2" type="noConversion"/>
  </si>
  <si>
    <t>협조</t>
    <phoneticPr fontId="2" type="noConversion"/>
  </si>
  <si>
    <t>수행</t>
    <phoneticPr fontId="2" type="noConversion"/>
  </si>
  <si>
    <t>김권수이사</t>
    <phoneticPr fontId="2" type="noConversion"/>
  </si>
  <si>
    <t>당해공정금액</t>
    <phoneticPr fontId="2" type="noConversion"/>
  </si>
  <si>
    <t>공정잔액</t>
    <phoneticPr fontId="2" type="noConversion"/>
  </si>
  <si>
    <t>기타</t>
    <phoneticPr fontId="2" type="noConversion"/>
  </si>
  <si>
    <t>중지:</t>
    <phoneticPr fontId="2" type="noConversion"/>
  </si>
  <si>
    <t>인허가
재접수
관련협의</t>
  </si>
  <si>
    <t>실시계획
인가 보완</t>
    <phoneticPr fontId="2" type="noConversion"/>
  </si>
  <si>
    <t>실시계획
인가신청서 작성</t>
    <phoneticPr fontId="2" type="noConversion"/>
  </si>
  <si>
    <t>실시계획
인가신청서 제출</t>
    <phoneticPr fontId="2" type="noConversion"/>
  </si>
  <si>
    <t>실시계획
인가신청서 보완</t>
    <phoneticPr fontId="2" type="noConversion"/>
  </si>
  <si>
    <t>인허가
및 
설계변경</t>
    <phoneticPr fontId="2" type="noConversion"/>
  </si>
  <si>
    <t>인허가
재접수
관련협의</t>
    <phoneticPr fontId="2" type="noConversion"/>
  </si>
  <si>
    <t>과업대기</t>
    <phoneticPr fontId="2" type="noConversion"/>
  </si>
  <si>
    <t>기타비용</t>
    <phoneticPr fontId="2" type="noConversion"/>
  </si>
  <si>
    <t>042017-04</t>
    <phoneticPr fontId="2" type="noConversion"/>
  </si>
  <si>
    <t>아산 제2디지털 일반산업단지 조성사업 기초조사 및 실시설계 용역</t>
    <phoneticPr fontId="2" type="noConversion"/>
  </si>
  <si>
    <t>17.04.26</t>
    <phoneticPr fontId="2" type="noConversion"/>
  </si>
  <si>
    <t>김지현대리</t>
    <phoneticPr fontId="2" type="noConversion"/>
  </si>
  <si>
    <t>042014-05</t>
    <phoneticPr fontId="2" type="noConversion"/>
  </si>
  <si>
    <t>화성(장안지구)공동주택 신축사업 지구단위계획 및 인허가 설계</t>
    <phoneticPr fontId="2" type="noConversion"/>
  </si>
  <si>
    <t>14.05.16</t>
    <phoneticPr fontId="2" type="noConversion"/>
  </si>
  <si>
    <t>토목부 협조과업 이관</t>
    <phoneticPr fontId="2" type="noConversion"/>
  </si>
  <si>
    <t>실시설계</t>
    <phoneticPr fontId="2" type="noConversion"/>
  </si>
  <si>
    <t>재·평지원
자료 작성 및 실시설계</t>
    <phoneticPr fontId="2" type="noConversion"/>
  </si>
  <si>
    <t>실시설계</t>
  </si>
  <si>
    <t>042020-02</t>
    <phoneticPr fontId="2" type="noConversion"/>
  </si>
  <si>
    <r>
      <t xml:space="preserve">세종시 힐링타운 지구단위계획, 기본및실시설계용역
</t>
    </r>
    <r>
      <rPr>
        <b/>
        <sz val="9"/>
        <color theme="1"/>
        <rFont val="HY신명조"/>
        <family val="1"/>
        <charset val="129"/>
      </rPr>
      <t>(1차분 : 사업제안서 작성)</t>
    </r>
    <phoneticPr fontId="2" type="noConversion"/>
  </si>
  <si>
    <t>20.01.16</t>
    <phoneticPr fontId="2" type="noConversion"/>
  </si>
  <si>
    <t>협조</t>
    <phoneticPr fontId="2" type="noConversion"/>
  </si>
  <si>
    <t>사업타당성 관련 
사업타절</t>
    <phoneticPr fontId="2" type="noConversion"/>
  </si>
  <si>
    <t>기타</t>
    <phoneticPr fontId="2" type="noConversion"/>
  </si>
  <si>
    <t>원사업</t>
    <phoneticPr fontId="2" type="noConversion"/>
  </si>
  <si>
    <t>042020-03</t>
    <phoneticPr fontId="2" type="noConversion"/>
  </si>
  <si>
    <t>안산시 상록구 이동 산21-18번지 개발행위허가 및 조사설계</t>
    <phoneticPr fontId="2" type="noConversion"/>
  </si>
  <si>
    <t>20.02.07</t>
    <phoneticPr fontId="2" type="noConversion"/>
  </si>
  <si>
    <t>유병진부장</t>
    <phoneticPr fontId="2" type="noConversion"/>
  </si>
  <si>
    <t>과업대기</t>
    <phoneticPr fontId="2" type="noConversion"/>
  </si>
  <si>
    <t>설계변경</t>
    <phoneticPr fontId="2" type="noConversion"/>
  </si>
  <si>
    <t>인허가 
설계도서
작성및접수</t>
    <phoneticPr fontId="2" type="noConversion"/>
  </si>
  <si>
    <t>건축계획변경에 따른 설계변경</t>
    <phoneticPr fontId="2" type="noConversion"/>
  </si>
  <si>
    <t>개발행위허가 심의 자료 작성</t>
    <phoneticPr fontId="2" type="noConversion"/>
  </si>
  <si>
    <t>인허가 변경도서작성</t>
    <phoneticPr fontId="2" type="noConversion"/>
  </si>
  <si>
    <t>인허가 
관련 실과
협의</t>
    <phoneticPr fontId="2" type="noConversion"/>
  </si>
  <si>
    <t>112020-03</t>
    <phoneticPr fontId="2" type="noConversion"/>
  </si>
  <si>
    <t>유곡1소하천 정비사업 실시설계</t>
    <phoneticPr fontId="2" type="noConversion"/>
  </si>
  <si>
    <t>20.03.17</t>
    <phoneticPr fontId="2" type="noConversion"/>
  </si>
  <si>
    <t>강경호상무</t>
    <phoneticPr fontId="2" type="noConversion"/>
  </si>
  <si>
    <t>제방도로 설계도서 작성</t>
    <phoneticPr fontId="2" type="noConversion"/>
  </si>
  <si>
    <t>선형계획수립및발주처협의</t>
    <phoneticPr fontId="2" type="noConversion"/>
  </si>
  <si>
    <t>제방도로 
관련 평면, 종단선형
계획 수립</t>
    <phoneticPr fontId="2" type="noConversion"/>
  </si>
  <si>
    <t>102019-09</t>
    <phoneticPr fontId="2" type="noConversion"/>
  </si>
  <si>
    <t>외산면 전장∼수산 외1개소 농촌지방상수도 확충사업</t>
    <phoneticPr fontId="2" type="noConversion"/>
  </si>
  <si>
    <t>19.12.18</t>
    <phoneticPr fontId="2" type="noConversion"/>
  </si>
  <si>
    <t>하용균상무</t>
    <phoneticPr fontId="2" type="noConversion"/>
  </si>
  <si>
    <t>노선계획 발주처 협의 및 자료취합</t>
    <phoneticPr fontId="2" type="noConversion"/>
  </si>
  <si>
    <t>2단계 
설계도서 
제출</t>
    <phoneticPr fontId="2" type="noConversion"/>
  </si>
  <si>
    <t>2단계 설계도서 수정및제출</t>
    <phoneticPr fontId="2" type="noConversion"/>
  </si>
  <si>
    <t>2차분 기초자료 조사</t>
    <phoneticPr fontId="2" type="noConversion"/>
  </si>
  <si>
    <t>2차분 기초자료 조사</t>
  </si>
  <si>
    <t>042020-09</t>
    <phoneticPr fontId="2" type="noConversion"/>
  </si>
  <si>
    <t>온양중심상권 재정비 촉진지구 변경(결정) 등 수립용역</t>
    <phoneticPr fontId="2" type="noConversion"/>
  </si>
  <si>
    <t>20.06.24</t>
    <phoneticPr fontId="2" type="noConversion"/>
  </si>
  <si>
    <t>관망검토 
및
대안설계</t>
    <phoneticPr fontId="2" type="noConversion"/>
  </si>
  <si>
    <t>관련기관 협의 및 설계도서작성</t>
    <phoneticPr fontId="2" type="noConversion"/>
  </si>
  <si>
    <t>042020-07</t>
    <phoneticPr fontId="2" type="noConversion"/>
  </si>
  <si>
    <t>부여 군관리계획 결정
및  
기본 및 실시설계용역</t>
    <phoneticPr fontId="2" type="noConversion"/>
  </si>
  <si>
    <t>현황측량 및 현장조사</t>
    <phoneticPr fontId="2" type="noConversion"/>
  </si>
  <si>
    <t>기반시설
계획설명서
작성</t>
    <phoneticPr fontId="2" type="noConversion"/>
  </si>
  <si>
    <t>토공비교안작성</t>
    <phoneticPr fontId="2" type="noConversion"/>
  </si>
  <si>
    <t xml:space="preserve">공종별 설계기준 협의 </t>
    <phoneticPr fontId="2" type="noConversion"/>
  </si>
  <si>
    <t>실시계획인가도서작성</t>
    <phoneticPr fontId="2" type="noConversion"/>
  </si>
  <si>
    <t>102020-04</t>
    <phoneticPr fontId="2" type="noConversion"/>
  </si>
  <si>
    <t>인천광역시 서구 왕길동 사업지 개발 및 물류센터 개발사업</t>
    <phoneticPr fontId="2" type="noConversion"/>
  </si>
  <si>
    <t>20.09.18</t>
    <phoneticPr fontId="2" type="noConversion"/>
  </si>
  <si>
    <t>주용남상무</t>
    <phoneticPr fontId="2" type="noConversion"/>
  </si>
  <si>
    <t>042020-16</t>
    <phoneticPr fontId="2" type="noConversion"/>
  </si>
  <si>
    <t>아산시 음봉면 동암리 아산 제2디지털 일반산업단지 조사설계 용역</t>
    <phoneticPr fontId="2" type="noConversion"/>
  </si>
  <si>
    <t>20.12.03</t>
  </si>
  <si>
    <t>설계도서
작성</t>
    <phoneticPr fontId="2" type="noConversion"/>
  </si>
  <si>
    <t>환경영향
평가 관련 토목자료 
작성</t>
    <phoneticPr fontId="2" type="noConversion"/>
  </si>
  <si>
    <t>실시설계</t>
    <phoneticPr fontId="2" type="noConversion"/>
  </si>
  <si>
    <t>산업단지
계획승인
관련설계
도서보완</t>
    <phoneticPr fontId="2" type="noConversion"/>
  </si>
  <si>
    <t>산업단지계획인가신청</t>
    <phoneticPr fontId="2" type="noConversion"/>
  </si>
  <si>
    <t>042020-13</t>
    <phoneticPr fontId="2" type="noConversion"/>
  </si>
  <si>
    <t>천안시 성성동 34-4
번지 일원 성성5지구 도시개발사업 용역</t>
    <phoneticPr fontId="2" type="noConversion"/>
  </si>
  <si>
    <t>20.09.</t>
  </si>
  <si>
    <t>오수계통
협의</t>
    <phoneticPr fontId="2" type="noConversion"/>
  </si>
  <si>
    <t>부지정지
계획 수립</t>
    <phoneticPr fontId="2" type="noConversion"/>
  </si>
  <si>
    <t>공급처리
계통 검토</t>
    <phoneticPr fontId="2" type="noConversion"/>
  </si>
  <si>
    <t>경관심의
자료작성</t>
    <phoneticPr fontId="2" type="noConversion"/>
  </si>
  <si>
    <t>3. 외 주 관 리</t>
    <phoneticPr fontId="2" type="noConversion"/>
  </si>
  <si>
    <t>(단위: 백만원)</t>
    <phoneticPr fontId="2" type="noConversion"/>
  </si>
  <si>
    <t>순서</t>
    <phoneticPr fontId="2" type="noConversion"/>
  </si>
  <si>
    <t>사 업 명 [주관부서]</t>
    <phoneticPr fontId="2" type="noConversion"/>
  </si>
  <si>
    <t>과업기간</t>
    <phoneticPr fontId="2" type="noConversion"/>
  </si>
  <si>
    <t>금액현황</t>
    <phoneticPr fontId="2" type="noConversion"/>
  </si>
  <si>
    <t>외주금액</t>
    <phoneticPr fontId="2" type="noConversion"/>
  </si>
  <si>
    <t>전년
공정</t>
    <phoneticPr fontId="2" type="noConversion"/>
  </si>
  <si>
    <t>당해
공정</t>
    <phoneticPr fontId="2" type="noConversion"/>
  </si>
  <si>
    <t>주요사항/처리업체</t>
    <phoneticPr fontId="2" type="noConversion"/>
  </si>
  <si>
    <t>발주처/
담당자</t>
    <phoneticPr fontId="2" type="noConversion"/>
  </si>
  <si>
    <t>JOB NO</t>
    <phoneticPr fontId="2" type="noConversion"/>
  </si>
  <si>
    <t>162019-04</t>
    <phoneticPr fontId="2" type="noConversion"/>
  </si>
  <si>
    <t>내포신도시 및 도시첨단산업단지
개발계획, 실시계획 
변경용역</t>
    <phoneticPr fontId="2" type="noConversion"/>
  </si>
  <si>
    <t>19.06.19</t>
  </si>
  <si>
    <t>계약</t>
    <phoneticPr fontId="2" type="noConversion"/>
  </si>
  <si>
    <t>외주</t>
    <phoneticPr fontId="2" type="noConversion"/>
  </si>
  <si>
    <t>충남개발
공사
이태경부장
/
이희교</t>
    <phoneticPr fontId="2" type="noConversion"/>
  </si>
  <si>
    <r>
      <t xml:space="preserve">중지: </t>
    </r>
    <r>
      <rPr>
        <sz val="9"/>
        <color theme="1"/>
        <rFont val="HY신명조"/>
        <family val="1"/>
        <charset val="129"/>
      </rPr>
      <t>21.04.01</t>
    </r>
    <phoneticPr fontId="2" type="noConversion"/>
  </si>
  <si>
    <t>개발계획 변경</t>
    <phoneticPr fontId="2" type="noConversion"/>
  </si>
  <si>
    <t>공동외주20%</t>
    <phoneticPr fontId="2" type="noConversion"/>
  </si>
  <si>
    <t>162019-05</t>
    <phoneticPr fontId="2" type="noConversion"/>
  </si>
  <si>
    <t>신창면 기초생활거점 육성사업 기본계획 및 시행계획, 지역역량강화사업용역</t>
    <phoneticPr fontId="2" type="noConversion"/>
  </si>
  <si>
    <t>19.10.22</t>
    <phoneticPr fontId="2" type="noConversion"/>
  </si>
  <si>
    <t>계약</t>
    <phoneticPr fontId="2" type="noConversion"/>
  </si>
  <si>
    <t>외주</t>
    <phoneticPr fontId="2" type="noConversion"/>
  </si>
  <si>
    <t>기본계획구상(한터) 및 주민의견수렴에 따른 
기본계획 수립 및
도심사 중</t>
    <phoneticPr fontId="2" type="noConversion"/>
  </si>
  <si>
    <t>아산시
주무관
/
박계학</t>
    <phoneticPr fontId="2" type="noConversion"/>
  </si>
  <si>
    <r>
      <t xml:space="preserve">중지: </t>
    </r>
    <r>
      <rPr>
        <sz val="9"/>
        <color theme="1"/>
        <rFont val="HY신명조"/>
        <family val="1"/>
        <charset val="129"/>
      </rPr>
      <t>21.09.30</t>
    </r>
    <phoneticPr fontId="2" type="noConversion"/>
  </si>
  <si>
    <t>기본계획 토목분야 작성</t>
  </si>
  <si>
    <t>162021-01</t>
    <phoneticPr fontId="2" type="noConversion"/>
  </si>
  <si>
    <t>대전동구 공공주택
지구 조사설계용역</t>
    <phoneticPr fontId="2" type="noConversion"/>
  </si>
  <si>
    <t>건화 일괄수행</t>
    <phoneticPr fontId="2" type="noConversion"/>
  </si>
  <si>
    <t>한국토지주택공사
/
이희교</t>
    <phoneticPr fontId="2" type="noConversion"/>
  </si>
  <si>
    <t>PM비포함</t>
    <phoneticPr fontId="2" type="noConversion"/>
  </si>
  <si>
    <t>단지부</t>
    <phoneticPr fontId="2" type="noConversion"/>
  </si>
  <si>
    <t>금액 상이</t>
    <phoneticPr fontId="2" type="noConversion"/>
  </si>
  <si>
    <t>인천광역시 서구 왕길동 사업지 개발 및 물류센터 개발사업
(환경영향평가)</t>
    <phoneticPr fontId="2" type="noConversion"/>
  </si>
  <si>
    <t>단지</t>
    <phoneticPr fontId="2" type="noConversion"/>
  </si>
  <si>
    <t>월 간  공 정  보 고 ( 건설사업관리본부 )</t>
    <phoneticPr fontId="2" type="noConversion"/>
  </si>
  <si>
    <t>1월</t>
    <phoneticPr fontId="2" type="noConversion"/>
  </si>
  <si>
    <t>2월</t>
    <phoneticPr fontId="2" type="noConversion"/>
  </si>
  <si>
    <t>3월</t>
    <phoneticPr fontId="2" type="noConversion"/>
  </si>
  <si>
    <r>
      <t xml:space="preserve">주요보고사항
</t>
    </r>
    <r>
      <rPr>
        <sz val="9"/>
        <color theme="1"/>
        <rFont val="HY신명조"/>
        <family val="1"/>
        <charset val="129"/>
      </rPr>
      <t>(공정-수금 차액)</t>
    </r>
    <phoneticPr fontId="2" type="noConversion"/>
  </si>
  <si>
    <t>072011-07</t>
    <phoneticPr fontId="2" type="noConversion"/>
  </si>
  <si>
    <t xml:space="preserve">•민원에 따른 용역중지 철수(18.10.05)
•5차 착수계 제출(10/12)
</t>
    <phoneticPr fontId="2" type="noConversion"/>
  </si>
  <si>
    <t xml:space="preserve">도로공사과
팀장:조만기
감독:김성진
</t>
    <phoneticPr fontId="2" type="noConversion"/>
  </si>
  <si>
    <t>도계-신기 도로건설공사 책임감리용역
[천마100%]</t>
    <phoneticPr fontId="2" type="noConversion"/>
  </si>
  <si>
    <t>06.12.29</t>
    <phoneticPr fontId="2" type="noConversion"/>
  </si>
  <si>
    <t>당해공정금액</t>
    <phoneticPr fontId="2" type="noConversion"/>
  </si>
  <si>
    <t>11-07</t>
    <phoneticPr fontId="2" type="noConversion"/>
  </si>
  <si>
    <t>도로협조</t>
    <phoneticPr fontId="2" type="noConversion"/>
  </si>
  <si>
    <t>5차 착수계 작성</t>
    <phoneticPr fontId="2" type="noConversion"/>
  </si>
  <si>
    <t>안정사 민원구간 선형검토중</t>
    <phoneticPr fontId="2" type="noConversion"/>
  </si>
  <si>
    <t>중지: 18.10.5</t>
    <phoneticPr fontId="2" type="noConversion"/>
  </si>
  <si>
    <t xml:space="preserve">도로계획과
팀장:김석철
감독:유현기
/ 홍운기, 나정민
</t>
    <phoneticPr fontId="2" type="noConversion"/>
  </si>
  <si>
    <t>전주시관내 국도대체우회도로(용정-용진) 건설공사 책임감리용역 (계)
[천마100%]</t>
    <phoneticPr fontId="2" type="noConversion"/>
  </si>
  <si>
    <t>05.11.08</t>
    <phoneticPr fontId="2" type="noConversion"/>
  </si>
  <si>
    <t>11-10</t>
    <phoneticPr fontId="2" type="noConversion"/>
  </si>
  <si>
    <t>강교감리</t>
    <phoneticPr fontId="2" type="noConversion"/>
  </si>
  <si>
    <t xml:space="preserve">안전총괄과
팀장:이삼철
감독:장용희
</t>
    <phoneticPr fontId="2" type="noConversion"/>
  </si>
  <si>
    <t>왕포 재해위험지구 정비사업 전면책임감리용역[삼안(57%):계림(43%):천마(분담)]</t>
    <phoneticPr fontId="2" type="noConversion"/>
  </si>
  <si>
    <t>13.06.17</t>
    <phoneticPr fontId="2" type="noConversion"/>
  </si>
  <si>
    <t>13-04</t>
    <phoneticPr fontId="2" type="noConversion"/>
  </si>
  <si>
    <t xml:space="preserve">안전총괄과
팀장:박천배
감독:김인성
/임상무
</t>
    <phoneticPr fontId="2" type="noConversion"/>
  </si>
  <si>
    <t>대천1지구 우수저류시설 설치사업 전면책임감리용역[건화(70%):천마(30%)]</t>
    <phoneticPr fontId="2" type="noConversion"/>
  </si>
  <si>
    <t>14.04.21</t>
    <phoneticPr fontId="2" type="noConversion"/>
  </si>
  <si>
    <t>14-01</t>
    <phoneticPr fontId="2" type="noConversion"/>
  </si>
  <si>
    <t>19.05.21</t>
    <phoneticPr fontId="2" type="noConversion"/>
  </si>
  <si>
    <t>보령시</t>
    <phoneticPr fontId="2" type="noConversion"/>
  </si>
  <si>
    <t>준공</t>
    <phoneticPr fontId="2" type="noConversion"/>
  </si>
  <si>
    <t xml:space="preserve">시설2팀
팀장:이송주
감독:장영채
/홍기축, 차형근
</t>
    <phoneticPr fontId="2" type="noConversion"/>
  </si>
  <si>
    <t>서오릉길(시도55호선)확장공사 전면책임감리용역[천마(70%):유신(30%)]</t>
    <phoneticPr fontId="2" type="noConversion"/>
  </si>
  <si>
    <t>14.10.20</t>
    <phoneticPr fontId="2" type="noConversion"/>
  </si>
  <si>
    <t>14-04</t>
    <phoneticPr fontId="2" type="noConversion"/>
  </si>
  <si>
    <t>19.06.03</t>
    <phoneticPr fontId="2" type="noConversion"/>
  </si>
  <si>
    <t>고양시 도로관리사업소</t>
    <phoneticPr fontId="2" type="noConversion"/>
  </si>
  <si>
    <t>•용역 준공(4/26)</t>
    <phoneticPr fontId="2" type="noConversion"/>
  </si>
  <si>
    <t xml:space="preserve">내포문화팀
팀장:김진영
감독:현용환
/최의락, 김옥환
</t>
    <phoneticPr fontId="2" type="noConversion"/>
  </si>
  <si>
    <t>내포보부상촌 조성사업 건설사업관리용역[건원(727%):천마(27.3%)]</t>
    <phoneticPr fontId="2" type="noConversion"/>
  </si>
  <si>
    <t>16.04.20</t>
    <phoneticPr fontId="2" type="noConversion"/>
  </si>
  <si>
    <t>16-01</t>
    <phoneticPr fontId="2" type="noConversion"/>
  </si>
  <si>
    <t>도로협조</t>
    <phoneticPr fontId="2" type="noConversion"/>
  </si>
  <si>
    <t>20.04.26</t>
    <phoneticPr fontId="2" type="noConversion"/>
  </si>
  <si>
    <t>준공: 20.04.26</t>
    <phoneticPr fontId="2" type="noConversion"/>
  </si>
  <si>
    <t>•준공(12/13)</t>
    <phoneticPr fontId="2" type="noConversion"/>
  </si>
  <si>
    <r>
      <t xml:space="preserve">하수시설팀
팀장:장영수
감독:강학순
/최성욱, </t>
    </r>
    <r>
      <rPr>
        <b/>
        <sz val="10"/>
        <color theme="1"/>
        <rFont val="HY신명조"/>
        <family val="1"/>
        <charset val="129"/>
      </rPr>
      <t>김성진</t>
    </r>
    <r>
      <rPr>
        <sz val="10"/>
        <color theme="1"/>
        <rFont val="HY신명조"/>
        <family val="1"/>
        <charset val="129"/>
      </rPr>
      <t xml:space="preserve">
</t>
    </r>
    <phoneticPr fontId="2" type="noConversion"/>
  </si>
  <si>
    <t>안산하수도정비 중점관리지역 개선공사 건설사업관리용역[경호(50%):천마(30%):경화(20%)]</t>
    <phoneticPr fontId="2" type="noConversion"/>
  </si>
  <si>
    <t>16.06.01</t>
    <phoneticPr fontId="2" type="noConversion"/>
  </si>
  <si>
    <t>16-03</t>
    <phoneticPr fontId="2" type="noConversion"/>
  </si>
  <si>
    <t>20.12.13</t>
    <phoneticPr fontId="2" type="noConversion"/>
  </si>
  <si>
    <t>안산시</t>
    <phoneticPr fontId="2" type="noConversion"/>
  </si>
  <si>
    <t xml:space="preserve">지역경제과
팀장:신기환
감독:장동철
/허준회, 홍석기
</t>
    <phoneticPr fontId="2" type="noConversion"/>
  </si>
  <si>
    <t>관창폐수종말처리시설 증설 및 고도처리사업 건설사업관리용역[도화(60%):천마(40%)]</t>
    <phoneticPr fontId="2" type="noConversion"/>
  </si>
  <si>
    <t>17.01.11</t>
    <phoneticPr fontId="2" type="noConversion"/>
  </si>
  <si>
    <t>16-04</t>
    <phoneticPr fontId="2" type="noConversion"/>
  </si>
  <si>
    <t>19.01.25</t>
    <phoneticPr fontId="2" type="noConversion"/>
  </si>
  <si>
    <t>용인역삼구역 무명1교 건설공사 건설사업관리용역[천마(100%)]</t>
    <phoneticPr fontId="2" type="noConversion"/>
  </si>
  <si>
    <t>16.08.30</t>
    <phoneticPr fontId="2" type="noConversion"/>
  </si>
  <si>
    <t>17.08.30</t>
    <phoneticPr fontId="2" type="noConversion"/>
  </si>
  <si>
    <t>용인역삼조합</t>
    <phoneticPr fontId="2" type="noConversion"/>
  </si>
  <si>
    <t>072017-01</t>
    <phoneticPr fontId="2" type="noConversion"/>
  </si>
  <si>
    <t>•분야기술인(조정오) 투입(10/22)</t>
    <phoneticPr fontId="2" type="noConversion"/>
  </si>
  <si>
    <r>
      <t>도로교통과
팀장:박성진
감독:김판진
/</t>
    </r>
    <r>
      <rPr>
        <b/>
        <sz val="10"/>
        <color theme="1"/>
        <rFont val="HY신명조"/>
        <family val="1"/>
        <charset val="129"/>
      </rPr>
      <t>전덕용</t>
    </r>
    <r>
      <rPr>
        <sz val="10"/>
        <color theme="1"/>
        <rFont val="HY신명조"/>
        <family val="1"/>
        <charset val="129"/>
      </rPr>
      <t xml:space="preserve">
</t>
    </r>
    <phoneticPr fontId="2" type="noConversion"/>
  </si>
  <si>
    <t>고창-내장IC(1공구)지방도 확포장공사 감독권한대행 등 건설사업관리용역[천마(70%):인우(30%)]</t>
    <phoneticPr fontId="2" type="noConversion"/>
  </si>
  <si>
    <t>동절기 용역 중지</t>
    <phoneticPr fontId="2" type="noConversion"/>
  </si>
  <si>
    <t>동절기 용역 중지</t>
    <phoneticPr fontId="2" type="noConversion"/>
  </si>
  <si>
    <t>안전관리평가</t>
    <phoneticPr fontId="2" type="noConversion"/>
  </si>
  <si>
    <t>비점오염시설 보고</t>
    <phoneticPr fontId="2" type="noConversion"/>
  </si>
  <si>
    <t>가설방음벽 검토</t>
    <phoneticPr fontId="2" type="noConversion"/>
  </si>
  <si>
    <t>잔여공사 시행계획 보고</t>
    <phoneticPr fontId="2" type="noConversion"/>
  </si>
  <si>
    <t>사토장 선정</t>
    <phoneticPr fontId="2" type="noConversion"/>
  </si>
  <si>
    <t>자체안전점검</t>
    <phoneticPr fontId="2" type="noConversion"/>
  </si>
  <si>
    <t>포장계획 검토</t>
    <phoneticPr fontId="2" type="noConversion"/>
  </si>
  <si>
    <t>잔여공사 공정추진계획 검토</t>
    <phoneticPr fontId="2" type="noConversion"/>
  </si>
  <si>
    <t>072017-02</t>
    <phoneticPr fontId="2" type="noConversion"/>
  </si>
  <si>
    <t>•용역 준공(11/22)</t>
    <phoneticPr fontId="2" type="noConversion"/>
  </si>
  <si>
    <r>
      <t>균형발전사업단
팀장:최충식
감독:조강훈
/</t>
    </r>
    <r>
      <rPr>
        <b/>
        <sz val="10"/>
        <color theme="1"/>
        <rFont val="HY신명조"/>
        <family val="1"/>
        <charset val="129"/>
      </rPr>
      <t>한종수</t>
    </r>
    <r>
      <rPr>
        <sz val="10"/>
        <color theme="1"/>
        <rFont val="HY신명조"/>
        <family val="1"/>
        <charset val="129"/>
      </rPr>
      <t xml:space="preserve">
</t>
    </r>
    <phoneticPr fontId="2" type="noConversion"/>
  </si>
  <si>
    <t>시흥 배곧신도시 서해안로 확장공사 건설사업관리 용역[천마(40%):KSM(30%):신성(30%):병오(분담)]</t>
    <phoneticPr fontId="2" type="noConversion"/>
  </si>
  <si>
    <t>17.03.10</t>
    <phoneticPr fontId="2" type="noConversion"/>
  </si>
  <si>
    <t>17-02</t>
  </si>
  <si>
    <t>수로암거 시공</t>
    <phoneticPr fontId="2" type="noConversion"/>
  </si>
  <si>
    <t>월곶교차로 마무리</t>
    <phoneticPr fontId="2" type="noConversion"/>
  </si>
  <si>
    <t>송수관로 및 가시설 검토중</t>
    <phoneticPr fontId="2" type="noConversion"/>
  </si>
  <si>
    <t>성담MTV교 복합말뚝 파일 항타</t>
    <phoneticPr fontId="2" type="noConversion"/>
  </si>
  <si>
    <t>성담MTV교 가시설 설치</t>
    <phoneticPr fontId="2" type="noConversion"/>
  </si>
  <si>
    <t>성담MTV 사토 반출</t>
    <phoneticPr fontId="2" type="noConversion"/>
  </si>
  <si>
    <t>성담MTV 교대시공</t>
    <phoneticPr fontId="2" type="noConversion"/>
  </si>
  <si>
    <t>성담MTV 슬래브시공</t>
    <phoneticPr fontId="2" type="noConversion"/>
  </si>
  <si>
    <t>예비준공검사 지적사항 조치</t>
    <phoneticPr fontId="2" type="noConversion"/>
  </si>
  <si>
    <t>용역평가서 작성및 제출, 준공</t>
    <phoneticPr fontId="2" type="noConversion"/>
  </si>
  <si>
    <t>072017-03</t>
    <phoneticPr fontId="2" type="noConversion"/>
  </si>
  <si>
    <t>•</t>
    <phoneticPr fontId="2" type="noConversion"/>
  </si>
  <si>
    <t>•</t>
    <phoneticPr fontId="2" type="noConversion"/>
  </si>
  <si>
    <r>
      <t xml:space="preserve">안전총괄과
팀장:유병춘
감독:김수환
/김용석, </t>
    </r>
    <r>
      <rPr>
        <b/>
        <sz val="10"/>
        <color theme="1"/>
        <rFont val="HY신명조"/>
        <family val="1"/>
        <charset val="129"/>
      </rPr>
      <t>강종우</t>
    </r>
    <r>
      <rPr>
        <sz val="10"/>
        <color theme="1"/>
        <rFont val="HY신명조"/>
        <family val="1"/>
        <charset val="129"/>
      </rPr>
      <t xml:space="preserve">
</t>
    </r>
    <phoneticPr fontId="2" type="noConversion"/>
  </si>
  <si>
    <t>천의 자연재해위험지구 정비사업 건설사업관리용역[도화(60%):천마(40%)]</t>
    <phoneticPr fontId="2" type="noConversion"/>
  </si>
  <si>
    <t>17.04.03</t>
    <phoneticPr fontId="2" type="noConversion"/>
  </si>
  <si>
    <t>호안설치</t>
    <phoneticPr fontId="2" type="noConversion"/>
  </si>
  <si>
    <t>광역상수도 이설 검토</t>
    <phoneticPr fontId="2" type="noConversion"/>
  </si>
  <si>
    <t>회전교차로 시공</t>
    <phoneticPr fontId="2" type="noConversion"/>
  </si>
  <si>
    <t>천의천 하상정리</t>
    <phoneticPr fontId="2" type="noConversion"/>
  </si>
  <si>
    <t>교면방수</t>
    <phoneticPr fontId="2" type="noConversion"/>
  </si>
  <si>
    <t>준공준비</t>
    <phoneticPr fontId="2" type="noConversion"/>
  </si>
  <si>
    <t>072017-04</t>
    <phoneticPr fontId="2" type="noConversion"/>
  </si>
  <si>
    <r>
      <t>상하수도사업소
팀장:김영일
감독:김주남
/</t>
    </r>
    <r>
      <rPr>
        <b/>
        <sz val="10"/>
        <color theme="1"/>
        <rFont val="HY신명조"/>
        <family val="1"/>
        <charset val="129"/>
      </rPr>
      <t>홍석기</t>
    </r>
    <r>
      <rPr>
        <sz val="10"/>
        <color theme="1"/>
        <rFont val="HY신명조"/>
        <family val="1"/>
        <charset val="129"/>
      </rPr>
      <t xml:space="preserve">
</t>
    </r>
    <phoneticPr fontId="2" type="noConversion"/>
  </si>
  <si>
    <t>부여군 소규모 공공하수처리시설 및 하수관로 설치공사 통합건설사업관리용역[동명(70%):천마(30%):KSM(20%)]</t>
    <phoneticPr fontId="2" type="noConversion"/>
  </si>
  <si>
    <t>17.05.31</t>
    <phoneticPr fontId="2" type="noConversion"/>
  </si>
  <si>
    <t>07-04</t>
    <phoneticPr fontId="2" type="noConversion"/>
  </si>
  <si>
    <t>오수관로 현황측량</t>
    <phoneticPr fontId="2" type="noConversion"/>
  </si>
  <si>
    <t>오수관로 작업</t>
    <phoneticPr fontId="2" type="noConversion"/>
  </si>
  <si>
    <t>•용역 준공(5/31)</t>
    <phoneticPr fontId="2" type="noConversion"/>
  </si>
  <si>
    <t xml:space="preserve">상하수도센터
팀장:김영석
감독:백상교
/이규성, 노시태
</t>
    <phoneticPr fontId="2" type="noConversion"/>
  </si>
  <si>
    <t>영목하수처리시설외 3개소 통합건설사업관리용역[동명(70%):천마(30%)]</t>
    <phoneticPr fontId="2" type="noConversion"/>
  </si>
  <si>
    <t>17.05.16</t>
    <phoneticPr fontId="2" type="noConversion"/>
  </si>
  <si>
    <t>17-05</t>
    <phoneticPr fontId="2" type="noConversion"/>
  </si>
  <si>
    <t>20.05.31</t>
    <phoneticPr fontId="2" type="noConversion"/>
  </si>
  <si>
    <t>준공: 20.05.31</t>
    <phoneticPr fontId="2" type="noConversion"/>
  </si>
  <si>
    <t>072017-06</t>
    <phoneticPr fontId="2" type="noConversion"/>
  </si>
  <si>
    <t>•소방감리 투입(비상주)</t>
    <phoneticPr fontId="2" type="noConversion"/>
  </si>
  <si>
    <t xml:space="preserve">도로교통과
팀장:최연호
감독:김상윤
/박영현, 김지환
</t>
    <phoneticPr fontId="2" type="noConversion"/>
  </si>
  <si>
    <t>도계~장성 국가지원지방도 확포장공사 건설사업관리용역[한기(50%):천마(30%):동성(20%)]</t>
    <phoneticPr fontId="2" type="noConversion"/>
  </si>
  <si>
    <t>17.11.01</t>
    <phoneticPr fontId="2" type="noConversion"/>
  </si>
  <si>
    <t>17-06</t>
    <phoneticPr fontId="2" type="noConversion"/>
  </si>
  <si>
    <t>재착수 및 분야기술자 투입 협의</t>
    <phoneticPr fontId="2" type="noConversion"/>
  </si>
  <si>
    <t>백암교 구조검토</t>
    <phoneticPr fontId="2" type="noConversion"/>
  </si>
  <si>
    <t>방장산터널 포장</t>
    <phoneticPr fontId="2" type="noConversion"/>
  </si>
  <si>
    <t>터널 상부 앙카설치 작업</t>
    <phoneticPr fontId="2" type="noConversion"/>
  </si>
  <si>
    <t>백암교 토류판설치</t>
    <phoneticPr fontId="2" type="noConversion"/>
  </si>
  <si>
    <t>백암교 교대 시공</t>
    <phoneticPr fontId="2" type="noConversion"/>
  </si>
  <si>
    <t>백암교 동바리 시공</t>
    <phoneticPr fontId="2" type="noConversion"/>
  </si>
  <si>
    <t>보강토옹벽시공</t>
    <phoneticPr fontId="2" type="noConversion"/>
  </si>
  <si>
    <t>락볼트 시공및 시험</t>
    <phoneticPr fontId="2" type="noConversion"/>
  </si>
  <si>
    <t>감리설계변경 검토 협의</t>
    <phoneticPr fontId="2" type="noConversion"/>
  </si>
  <si>
    <t>안전관리자(초금)투입 검토</t>
    <phoneticPr fontId="2" type="noConversion"/>
  </si>
  <si>
    <t xml:space="preserve">맑은물과
팀장:하헌준
감독:이세운
/전행식, 이인석
</t>
    <phoneticPr fontId="2" type="noConversion"/>
  </si>
  <si>
    <t>채운면 용화지구 공공하수처리시설공사외 3개소 통합건설사업관리용역[건화(65%):천마(35%)]</t>
    <phoneticPr fontId="2" type="noConversion"/>
  </si>
  <si>
    <t>14.04.21</t>
    <phoneticPr fontId="2" type="noConversion"/>
  </si>
  <si>
    <t>17-07</t>
    <phoneticPr fontId="2" type="noConversion"/>
  </si>
  <si>
    <t>20.12.25</t>
    <phoneticPr fontId="2" type="noConversion"/>
  </si>
  <si>
    <t>072018-01</t>
    <phoneticPr fontId="2" type="noConversion"/>
  </si>
  <si>
    <t>•미착수</t>
    <phoneticPr fontId="2" type="noConversion"/>
  </si>
  <si>
    <t xml:space="preserve">역삼조합
팀장:
감독:
</t>
    <phoneticPr fontId="2" type="noConversion"/>
  </si>
  <si>
    <t>용인역삼구역 중로1-119호선외 4개노선 책임감리용역[건화(60%):천마(40%)]</t>
    <phoneticPr fontId="2" type="noConversion"/>
  </si>
  <si>
    <t>17.09.01</t>
    <phoneticPr fontId="2" type="noConversion"/>
  </si>
  <si>
    <t>18-01</t>
    <phoneticPr fontId="2" type="noConversion"/>
  </si>
  <si>
    <t>072018-02</t>
    <phoneticPr fontId="2" type="noConversion"/>
  </si>
  <si>
    <t>•용역중지(20/8/31)</t>
    <phoneticPr fontId="2" type="noConversion"/>
  </si>
  <si>
    <t xml:space="preserve">평택화양조합
팀장:최종복
감독:강현구
/김진기, 박해원
</t>
    <phoneticPr fontId="2" type="noConversion"/>
  </si>
  <si>
    <t xml:space="preserve">평택화양조합
팀장:최종복
감독:강현구
/김진기, 박해원
</t>
    <phoneticPr fontId="2" type="noConversion"/>
  </si>
  <si>
    <t>평택화양지구 조경공사 감독권한 대행등 건설사업관리용역[천마100%]</t>
    <phoneticPr fontId="2" type="noConversion"/>
  </si>
  <si>
    <t>18.03.01</t>
    <phoneticPr fontId="2" type="noConversion"/>
  </si>
  <si>
    <t>18-02</t>
    <phoneticPr fontId="2" type="noConversion"/>
  </si>
  <si>
    <t>중지:
20.08.31</t>
    <phoneticPr fontId="2" type="noConversion"/>
  </si>
  <si>
    <t>•50% 타절준공(20.04.13)</t>
    <phoneticPr fontId="2" type="noConversion"/>
  </si>
  <si>
    <t>시화MTV해안도로 확장공사중 B.T.R비개착 지하차도 실시설계</t>
    <phoneticPr fontId="2" type="noConversion"/>
  </si>
  <si>
    <t>18.03.21</t>
    <phoneticPr fontId="2" type="noConversion"/>
  </si>
  <si>
    <t>18.04.15</t>
    <phoneticPr fontId="2" type="noConversion"/>
  </si>
  <si>
    <t>삼보굴착㈜</t>
    <phoneticPr fontId="2" type="noConversion"/>
  </si>
  <si>
    <t>준공: 20.04.13</t>
    <phoneticPr fontId="2" type="noConversion"/>
  </si>
  <si>
    <t xml:space="preserve">시설처 토목팀
팀장:추희창
감독:박남성
/강구원, 김이형
</t>
    <phoneticPr fontId="2" type="noConversion"/>
  </si>
  <si>
    <t>경부선금강제1교량 보수보강공사 외 5건 건설사업관리용역[동양(85%):천마(15%)]</t>
    <phoneticPr fontId="2" type="noConversion"/>
  </si>
  <si>
    <t>18.04.30</t>
    <phoneticPr fontId="2" type="noConversion"/>
  </si>
  <si>
    <t>19.04.30</t>
    <phoneticPr fontId="2" type="noConversion"/>
  </si>
  <si>
    <t>한국철도공사</t>
    <phoneticPr fontId="2" type="noConversion"/>
  </si>
  <si>
    <t>072018-05</t>
    <phoneticPr fontId="2" type="noConversion"/>
  </si>
  <si>
    <t>•부진공정 만회대책 강구 회의(주 1회)</t>
    <phoneticPr fontId="2" type="noConversion"/>
  </si>
  <si>
    <t xml:space="preserve">상수도과
팀장:오세원
감독:함석남
/김진균, 김영일
</t>
    <phoneticPr fontId="2" type="noConversion"/>
  </si>
  <si>
    <t>음봉지구 농어촌생활용수 개발사업외 1개 통합 건설사업관리용역[건화(70%):천마(30%)]</t>
    <phoneticPr fontId="2" type="noConversion"/>
  </si>
  <si>
    <t>18.05.09</t>
    <phoneticPr fontId="2" type="noConversion"/>
  </si>
  <si>
    <t>18-05</t>
    <phoneticPr fontId="2" type="noConversion"/>
  </si>
  <si>
    <t>송, 배수관로 설치</t>
    <phoneticPr fontId="2" type="noConversion"/>
  </si>
  <si>
    <t>배수지 사면안정 검토</t>
    <phoneticPr fontId="2" type="noConversion"/>
  </si>
  <si>
    <t>설계변경 계획서 변경</t>
    <phoneticPr fontId="2" type="noConversion"/>
  </si>
  <si>
    <t>송배수관로 부설</t>
    <phoneticPr fontId="2" type="noConversion"/>
  </si>
  <si>
    <t>지향성압입 실정보고</t>
    <phoneticPr fontId="2" type="noConversion"/>
  </si>
  <si>
    <t>잔여공사 추진계획 검토</t>
    <phoneticPr fontId="2" type="noConversion"/>
  </si>
  <si>
    <t>배수지 범면보고공 보고</t>
    <phoneticPr fontId="2" type="noConversion"/>
  </si>
  <si>
    <t>배수지 보조기층 포설</t>
    <phoneticPr fontId="2" type="noConversion"/>
  </si>
  <si>
    <t>하모니어린이집 관려연결 시공</t>
    <phoneticPr fontId="2" type="noConversion"/>
  </si>
  <si>
    <t>072018-06</t>
    <phoneticPr fontId="2" type="noConversion"/>
  </si>
  <si>
    <t xml:space="preserve">
팀장:
감독:
</t>
    <phoneticPr fontId="2" type="noConversion"/>
  </si>
  <si>
    <t>성남 성호시장지구 도시개발사업 기반시설 시공단계 건설사업관리용역[용마(90%):천마(10%)]</t>
    <phoneticPr fontId="2" type="noConversion"/>
  </si>
  <si>
    <t>18.05.23</t>
    <phoneticPr fontId="2" type="noConversion"/>
  </si>
  <si>
    <t>18-06</t>
    <phoneticPr fontId="2" type="noConversion"/>
  </si>
  <si>
    <t>072018-07</t>
    <phoneticPr fontId="2" type="noConversion"/>
  </si>
  <si>
    <t>•공단입주 지연에 따른 공사 일시 중지(20.12.03)</t>
    <phoneticPr fontId="2" type="noConversion"/>
  </si>
  <si>
    <t xml:space="preserve">사회적경제과
팀장:박승헌
감독:김상수
/조현길
</t>
    <phoneticPr fontId="2" type="noConversion"/>
  </si>
  <si>
    <t>노성특화농공단지 공공폐수처리시설 설치공사 건설사업관리용역[한종(70%):천마(30%)]</t>
    <phoneticPr fontId="2" type="noConversion"/>
  </si>
  <si>
    <t>18.05.25</t>
    <phoneticPr fontId="2" type="noConversion"/>
  </si>
  <si>
    <t>18-07</t>
    <phoneticPr fontId="2" type="noConversion"/>
  </si>
  <si>
    <t>•잔여공종(시운전)</t>
    <phoneticPr fontId="2" type="noConversion"/>
  </si>
  <si>
    <t>중지:
20.12.03</t>
    <phoneticPr fontId="2" type="noConversion"/>
  </si>
  <si>
    <t>•용역 완료(10/31)</t>
    <phoneticPr fontId="2" type="noConversion"/>
  </si>
  <si>
    <t xml:space="preserve">미래사업과
팀장:김민수
감독:이승국
/권구식, 김정덕
</t>
    <phoneticPr fontId="2" type="noConversion"/>
  </si>
  <si>
    <t>탑정호 출렁다리 조성사업 건설사업관리 용역[화신(60%):천마(40%)]</t>
    <phoneticPr fontId="2" type="noConversion"/>
  </si>
  <si>
    <t>18.08.27</t>
    <phoneticPr fontId="2" type="noConversion"/>
  </si>
  <si>
    <t>18-08</t>
    <phoneticPr fontId="2" type="noConversion"/>
  </si>
  <si>
    <t>•준공서류 이관작업</t>
    <phoneticPr fontId="2" type="noConversion"/>
  </si>
  <si>
    <t>20.10.30</t>
    <phoneticPr fontId="2" type="noConversion"/>
  </si>
  <si>
    <t>강교</t>
    <phoneticPr fontId="2" type="noConversion"/>
  </si>
  <si>
    <t>교각 가물막이공</t>
    <phoneticPr fontId="2" type="noConversion"/>
  </si>
  <si>
    <t>공기연장 협의 중</t>
    <phoneticPr fontId="2" type="noConversion"/>
  </si>
  <si>
    <t>교각 강재거푸집</t>
    <phoneticPr fontId="2" type="noConversion"/>
  </si>
  <si>
    <t>교각 코핑부 작업</t>
    <phoneticPr fontId="2" type="noConversion"/>
  </si>
  <si>
    <t>가물막이 해체</t>
    <phoneticPr fontId="2" type="noConversion"/>
  </si>
  <si>
    <t>주탑케이블연결</t>
    <phoneticPr fontId="2" type="noConversion"/>
  </si>
  <si>
    <t>보행로 및 조경전망대 실정보고</t>
    <phoneticPr fontId="2" type="noConversion"/>
  </si>
  <si>
    <t>보행로 및 조경전망대 시공</t>
    <phoneticPr fontId="2" type="noConversion"/>
  </si>
  <si>
    <t>교대,교각 면처리</t>
    <phoneticPr fontId="2" type="noConversion"/>
  </si>
  <si>
    <t>준공검사</t>
    <phoneticPr fontId="2" type="noConversion"/>
  </si>
  <si>
    <t>충남 논산시</t>
    <phoneticPr fontId="2" type="noConversion"/>
  </si>
  <si>
    <t>•용역 완료(3/7)</t>
    <phoneticPr fontId="2" type="noConversion"/>
  </si>
  <si>
    <t xml:space="preserve">관광과
팀장:최영목
감독:진정희
/박영수, 서영철
</t>
    <phoneticPr fontId="2" type="noConversion"/>
  </si>
  <si>
    <t>파주 임진각 평화 곤돌라 설치 민자사업 건설사업관리용역[한종(56.75%):천마(30.55%)]</t>
    <phoneticPr fontId="2" type="noConversion"/>
  </si>
  <si>
    <t>18.10.08</t>
    <phoneticPr fontId="2" type="noConversion"/>
  </si>
  <si>
    <t>18-09</t>
    <phoneticPr fontId="2" type="noConversion"/>
  </si>
  <si>
    <t>20.03.07</t>
    <phoneticPr fontId="2" type="noConversion"/>
  </si>
  <si>
    <t>상부관로공사 및 노상작업</t>
    <phoneticPr fontId="2" type="noConversion"/>
  </si>
  <si>
    <t>상부램프 포장</t>
    <phoneticPr fontId="2" type="noConversion"/>
  </si>
  <si>
    <t>준공(3/7)</t>
    <phoneticPr fontId="2" type="noConversion"/>
  </si>
  <si>
    <t>파주시</t>
    <phoneticPr fontId="2" type="noConversion"/>
  </si>
  <si>
    <t>준공: 20.03.07</t>
    <phoneticPr fontId="2" type="noConversion"/>
  </si>
  <si>
    <t>•준공 정산금 삼안과 타건 상계처리 협의완료</t>
    <phoneticPr fontId="2" type="noConversion"/>
  </si>
  <si>
    <t xml:space="preserve">
팀장:
감독:
/
</t>
    <phoneticPr fontId="2" type="noConversion"/>
  </si>
  <si>
    <t>양감지구 공공하수처리시설 건설공사 및 하수관거 정비공사 건설사업관리용역</t>
    <phoneticPr fontId="2" type="noConversion"/>
  </si>
  <si>
    <t>18.11.15</t>
    <phoneticPr fontId="2" type="noConversion"/>
  </si>
  <si>
    <t>18.04.08</t>
    <phoneticPr fontId="2" type="noConversion"/>
  </si>
  <si>
    <t>㈜삼안</t>
    <phoneticPr fontId="2" type="noConversion"/>
  </si>
  <si>
    <t>진주국토 남부권역 도로운영사업 통합 건설사업관리용역</t>
    <phoneticPr fontId="2" type="noConversion"/>
  </si>
  <si>
    <t>16-13</t>
    <phoneticPr fontId="2" type="noConversion"/>
  </si>
  <si>
    <t>18.04.27</t>
    <phoneticPr fontId="2" type="noConversion"/>
  </si>
  <si>
    <t>㈜세일종합기술공사</t>
    <phoneticPr fontId="2" type="noConversion"/>
  </si>
  <si>
    <t xml:space="preserve">
팀장:
감독:
/박해원
</t>
    <phoneticPr fontId="2" type="noConversion"/>
  </si>
  <si>
    <t>용인역삼구역 무명1교 건설공사 건설사업관리용역[천마100%]</t>
    <phoneticPr fontId="2" type="noConversion"/>
  </si>
  <si>
    <t>16-13</t>
    <phoneticPr fontId="2" type="noConversion"/>
  </si>
  <si>
    <t>용인역삼조합</t>
    <phoneticPr fontId="2" type="noConversion"/>
  </si>
  <si>
    <t>092017-03</t>
    <phoneticPr fontId="2" type="noConversion"/>
  </si>
  <si>
    <t>•용역 중지 일부철수(18.10.01)</t>
    <phoneticPr fontId="2" type="noConversion"/>
  </si>
  <si>
    <t xml:space="preserve">역삼조합
팀장:
감독:김기두
/김철규
</t>
    <phoneticPr fontId="2" type="noConversion"/>
  </si>
  <si>
    <t>용인역삼구역 도시개발사업 책임감리용역[건화(60%):천마(40%)]</t>
    <phoneticPr fontId="2" type="noConversion"/>
  </si>
  <si>
    <t>17.09.16</t>
    <phoneticPr fontId="2" type="noConversion"/>
  </si>
  <si>
    <t>수자원</t>
    <phoneticPr fontId="2" type="noConversion"/>
  </si>
  <si>
    <t>상하수도</t>
    <phoneticPr fontId="2" type="noConversion"/>
  </si>
  <si>
    <t>중지:
18.10.01</t>
    <phoneticPr fontId="2" type="noConversion"/>
  </si>
  <si>
    <t>외주 등</t>
    <phoneticPr fontId="2" type="noConversion"/>
  </si>
  <si>
    <t>기타비용</t>
    <phoneticPr fontId="2" type="noConversion"/>
  </si>
  <si>
    <t>072019-01</t>
    <phoneticPr fontId="2" type="noConversion"/>
  </si>
  <si>
    <t>•토목→상수분야 변경 투입 협의 중</t>
    <phoneticPr fontId="2" type="noConversion"/>
  </si>
  <si>
    <t xml:space="preserve">도로건설과
간선도로팀
팀장:오세현
감독:정재호
/유합종, 정한신
</t>
    <phoneticPr fontId="2" type="noConversion"/>
  </si>
  <si>
    <t>갈천~가수간 도로확장공사 감독권한대행 등 건설사업관리용역[삼안(40%):KSM(30%):천마(30%)]</t>
    <phoneticPr fontId="2" type="noConversion"/>
  </si>
  <si>
    <t>19.01.31</t>
    <phoneticPr fontId="2" type="noConversion"/>
  </si>
  <si>
    <t>계약</t>
    <phoneticPr fontId="2" type="noConversion"/>
  </si>
  <si>
    <t>수행</t>
    <phoneticPr fontId="2" type="noConversion"/>
  </si>
  <si>
    <t>공정잔액</t>
    <phoneticPr fontId="2" type="noConversion"/>
  </si>
  <si>
    <t>19-01</t>
    <phoneticPr fontId="2" type="noConversion"/>
  </si>
  <si>
    <t>부서협조</t>
    <phoneticPr fontId="2" type="noConversion"/>
  </si>
  <si>
    <t>지반협조</t>
    <phoneticPr fontId="2" type="noConversion"/>
  </si>
  <si>
    <t>구조협조</t>
    <phoneticPr fontId="2" type="noConversion"/>
  </si>
  <si>
    <t>도로협조</t>
    <phoneticPr fontId="2" type="noConversion"/>
  </si>
  <si>
    <t>지장물 현황파악</t>
    <phoneticPr fontId="2" type="noConversion"/>
  </si>
  <si>
    <t>문화재발굴조사</t>
    <phoneticPr fontId="2" type="noConversion"/>
  </si>
  <si>
    <t>수직교 시공</t>
    <phoneticPr fontId="2" type="noConversion"/>
  </si>
  <si>
    <t>덕절육교 교대 가시설 시공</t>
    <phoneticPr fontId="2" type="noConversion"/>
  </si>
  <si>
    <t>지상가옥 철거</t>
    <phoneticPr fontId="2" type="noConversion"/>
  </si>
  <si>
    <t>수직교 P2 암판정</t>
    <phoneticPr fontId="2" type="noConversion"/>
  </si>
  <si>
    <t>수직교 슬래브 시공</t>
    <phoneticPr fontId="2" type="noConversion"/>
  </si>
  <si>
    <t>비점오염원 변경신고</t>
    <phoneticPr fontId="2" type="noConversion"/>
  </si>
  <si>
    <t>상수 위탁공사 지분관련 회의</t>
    <phoneticPr fontId="2" type="noConversion"/>
  </si>
  <si>
    <t>상수 위탁공사 실정보고</t>
    <phoneticPr fontId="2" type="noConversion"/>
  </si>
  <si>
    <t>중지:</t>
    <phoneticPr fontId="2" type="noConversion"/>
  </si>
  <si>
    <t>072019-02</t>
    <phoneticPr fontId="2" type="noConversion"/>
  </si>
  <si>
    <t>•상수분야 초급 투입인력 충원 필요</t>
    <phoneticPr fontId="2" type="noConversion"/>
  </si>
  <si>
    <t xml:space="preserve">도로건설과
간선도로팀
팀장:오세현
감독:김용표
/배기원
</t>
    <phoneticPr fontId="2" type="noConversion"/>
  </si>
  <si>
    <t>도척~실촌간 도로확장공사 감독권한 대행 등 건설사업관리용역[한종(50%):천마(30%):오이디(분담)]</t>
    <phoneticPr fontId="2" type="noConversion"/>
  </si>
  <si>
    <t>18.10.25</t>
    <phoneticPr fontId="2" type="noConversion"/>
  </si>
  <si>
    <t>19-02</t>
    <phoneticPr fontId="2" type="noConversion"/>
  </si>
  <si>
    <t>수자원</t>
    <phoneticPr fontId="2" type="noConversion"/>
  </si>
  <si>
    <t>상하수도</t>
    <phoneticPr fontId="2" type="noConversion"/>
  </si>
  <si>
    <t>상수 분야기술자 투입 협의</t>
    <phoneticPr fontId="2" type="noConversion"/>
  </si>
  <si>
    <t>강교기술자 투입 협의</t>
    <phoneticPr fontId="2" type="noConversion"/>
  </si>
  <si>
    <t>배수계획 변경 검토</t>
    <phoneticPr fontId="2" type="noConversion"/>
  </si>
  <si>
    <t>교량방호벽 규격 변경 검토</t>
    <phoneticPr fontId="2" type="noConversion"/>
  </si>
  <si>
    <t>사면안정검토결과 실정보고</t>
    <phoneticPr fontId="2" type="noConversion"/>
  </si>
  <si>
    <t>시스템비계 검토</t>
    <phoneticPr fontId="2" type="noConversion"/>
  </si>
  <si>
    <t>진우육교 중부고속도로 횡단구간 설치협의</t>
    <phoneticPr fontId="2" type="noConversion"/>
  </si>
  <si>
    <t>곤재교 교대시공</t>
    <phoneticPr fontId="2" type="noConversion"/>
  </si>
  <si>
    <t>시스템비계 변경 보고</t>
    <phoneticPr fontId="2" type="noConversion"/>
  </si>
  <si>
    <t>상수투입관련 발주청 협의</t>
    <phoneticPr fontId="2" type="noConversion"/>
  </si>
  <si>
    <t>상수투입관련 공동회의</t>
    <phoneticPr fontId="2" type="noConversion"/>
  </si>
  <si>
    <t>072019-03</t>
    <phoneticPr fontId="2" type="noConversion"/>
  </si>
  <si>
    <t>•</t>
    <phoneticPr fontId="2" type="noConversion"/>
  </si>
  <si>
    <t>수도사업소
팀장: 윤수진
감독: 강은종
/김광천, 최규만, 최동우</t>
    <phoneticPr fontId="2" type="noConversion"/>
  </si>
  <si>
    <t>둔포공공하수처리시설 증설사업 외 2건 통합건설사업관리용역[도화(55%):천마(30%):계림(15%)]</t>
    <phoneticPr fontId="2" type="noConversion"/>
  </si>
  <si>
    <t>19.08.02</t>
    <phoneticPr fontId="2" type="noConversion"/>
  </si>
  <si>
    <t>당해공정금액</t>
    <phoneticPr fontId="2" type="noConversion"/>
  </si>
  <si>
    <t>공정잔액</t>
    <phoneticPr fontId="2" type="noConversion"/>
  </si>
  <si>
    <t>19-03</t>
    <phoneticPr fontId="2" type="noConversion"/>
  </si>
  <si>
    <t>부서협조</t>
    <phoneticPr fontId="2" type="noConversion"/>
  </si>
  <si>
    <t>지반협조</t>
    <phoneticPr fontId="2" type="noConversion"/>
  </si>
  <si>
    <t>구조협조</t>
    <phoneticPr fontId="2" type="noConversion"/>
  </si>
  <si>
    <t>도로협조</t>
    <phoneticPr fontId="2" type="noConversion"/>
  </si>
  <si>
    <t>처리장 가시설 시공</t>
    <phoneticPr fontId="2" type="noConversion"/>
  </si>
  <si>
    <t>분야기술자 투입 협의</t>
    <phoneticPr fontId="2" type="noConversion"/>
  </si>
  <si>
    <t>오수관로 부설</t>
    <phoneticPr fontId="2" type="noConversion"/>
  </si>
  <si>
    <t>도달기지 시트파일 시공</t>
    <phoneticPr fontId="2" type="noConversion"/>
  </si>
  <si>
    <t>추진기지 시공</t>
    <phoneticPr fontId="2" type="noConversion"/>
  </si>
  <si>
    <t>농업용수 관접합 부설</t>
    <phoneticPr fontId="2" type="noConversion"/>
  </si>
  <si>
    <t>생물반응조 등 처리시설 공사</t>
    <phoneticPr fontId="2" type="noConversion"/>
  </si>
  <si>
    <t>추진기기 굴진</t>
    <phoneticPr fontId="2" type="noConversion"/>
  </si>
  <si>
    <t>처리시설 시공</t>
    <phoneticPr fontId="2" type="noConversion"/>
  </si>
  <si>
    <t>072019-04</t>
    <phoneticPr fontId="2" type="noConversion"/>
  </si>
  <si>
    <t>•휴일 및 야간근무 완료(금액 수정)</t>
    <phoneticPr fontId="2" type="noConversion"/>
  </si>
  <si>
    <t>음봉디지털 일반산업단지 용수공급시설 건설사업관리용역 휴일,야간근무대가</t>
    <phoneticPr fontId="2" type="noConversion"/>
  </si>
  <si>
    <t>19.06.01</t>
    <phoneticPr fontId="2" type="noConversion"/>
  </si>
  <si>
    <t>19-04</t>
  </si>
  <si>
    <t>072019-05</t>
    <phoneticPr fontId="2" type="noConversion"/>
  </si>
  <si>
    <t>•휴일 및 야간근무 대가 계약(예정금액 미정)</t>
    <phoneticPr fontId="2" type="noConversion"/>
  </si>
  <si>
    <t>•휴일 및 야간근무 대가 계약(예정금액 미정)</t>
    <phoneticPr fontId="2" type="noConversion"/>
  </si>
  <si>
    <t>음봉지구 농어촌생활용수 개발사업외 1개 통합 건설사업관리용역 휴일,야간근무대가</t>
    <phoneticPr fontId="2" type="noConversion"/>
  </si>
  <si>
    <t>19-05</t>
  </si>
  <si>
    <t>시흥 월곶동 00오피스텔 신축공사 감독권한 대댕 등건설사업관리용역[천마(100%)]</t>
    <phoneticPr fontId="2" type="noConversion"/>
  </si>
  <si>
    <t>19.11.14</t>
    <phoneticPr fontId="2" type="noConversion"/>
  </si>
  <si>
    <t>19-06</t>
    <phoneticPr fontId="2" type="noConversion"/>
  </si>
  <si>
    <t>•계약금액(1%) 입금 확인</t>
    <phoneticPr fontId="2" type="noConversion"/>
  </si>
  <si>
    <t>22.05.13</t>
    <phoneticPr fontId="2" type="noConversion"/>
  </si>
  <si>
    <t xml:space="preserve">중지:
</t>
    <phoneticPr fontId="2" type="noConversion"/>
  </si>
  <si>
    <t>㈜세원산업이앤씨</t>
    <phoneticPr fontId="2" type="noConversion"/>
  </si>
  <si>
    <t>계약타절</t>
    <phoneticPr fontId="2" type="noConversion"/>
  </si>
  <si>
    <t>072019-07</t>
    <phoneticPr fontId="2" type="noConversion"/>
  </si>
  <si>
    <t>•편입토지 및 지장물 보상 민원 과다 발생으로 공정관리 곤란</t>
    <phoneticPr fontId="2" type="noConversion"/>
  </si>
  <si>
    <t xml:space="preserve">도로공사과
팀장:정대남
감독:윤일상
/홍운기
</t>
    <phoneticPr fontId="2" type="noConversion"/>
  </si>
  <si>
    <t>충청내륙 고속화(제4공구) 건설사업관리용역[천마(60%):하이콘(40%)]</t>
    <phoneticPr fontId="2" type="noConversion"/>
  </si>
  <si>
    <t>19.12.13</t>
    <phoneticPr fontId="2" type="noConversion"/>
  </si>
  <si>
    <t>19-07</t>
    <phoneticPr fontId="2" type="noConversion"/>
  </si>
  <si>
    <t>3차 착수계 제출</t>
    <phoneticPr fontId="2" type="noConversion"/>
  </si>
  <si>
    <t>지장물 이설 협의</t>
    <phoneticPr fontId="2" type="noConversion"/>
  </si>
  <si>
    <t>보도육교 철거 검토</t>
    <phoneticPr fontId="2" type="noConversion"/>
  </si>
  <si>
    <t>제천 2차보상구간 보상계획 통보</t>
    <phoneticPr fontId="2" type="noConversion"/>
  </si>
  <si>
    <t>제천 2차보상구간 감정평가 심의</t>
    <phoneticPr fontId="2" type="noConversion"/>
  </si>
  <si>
    <t>지장물 이설협의</t>
    <phoneticPr fontId="2" type="noConversion"/>
  </si>
  <si>
    <t>원박교보완설계 검토</t>
    <phoneticPr fontId="2" type="noConversion"/>
  </si>
  <si>
    <t>072019-08</t>
    <phoneticPr fontId="2" type="noConversion"/>
  </si>
  <si>
    <t>•지장물 이설협의 지연(우회공정)으로 공정관리 곤란</t>
    <phoneticPr fontId="2" type="noConversion"/>
  </si>
  <si>
    <t>북부도로과
지방도건설팀
팀장: 전성학
감독: 김준범
/정종식</t>
    <phoneticPr fontId="2" type="noConversion"/>
  </si>
  <si>
    <t>은현~봉암간 도로확포장공사 건설사업관리(시공단계)용역[건화(65%) : 천마(35%)]</t>
    <phoneticPr fontId="2" type="noConversion"/>
  </si>
  <si>
    <t>19.12.24</t>
    <phoneticPr fontId="2" type="noConversion"/>
  </si>
  <si>
    <t>19-08</t>
    <phoneticPr fontId="2" type="noConversion"/>
  </si>
  <si>
    <t>공사용 가도 시공</t>
    <phoneticPr fontId="2" type="noConversion"/>
  </si>
  <si>
    <t>동암교 가교 동재하시험</t>
    <phoneticPr fontId="2" type="noConversion"/>
  </si>
  <si>
    <t>한전주 이설</t>
    <phoneticPr fontId="2" type="noConversion"/>
  </si>
  <si>
    <t>지장물 이설, 보상 협의</t>
    <phoneticPr fontId="2" type="noConversion"/>
  </si>
  <si>
    <t>우천대비 현장 토공 운반 및 정리</t>
    <phoneticPr fontId="2" type="noConversion"/>
  </si>
  <si>
    <t>봉암교 기초 설계변경 검토</t>
    <phoneticPr fontId="2" type="noConversion"/>
  </si>
  <si>
    <t>봉암교 교각기초 공법변경 변경설계 용역비용 실정보고</t>
    <phoneticPr fontId="2" type="noConversion"/>
  </si>
  <si>
    <t>지장물 이설 촉구 협의</t>
    <phoneticPr fontId="2" type="noConversion"/>
  </si>
  <si>
    <t>군통신선로 가이설</t>
    <phoneticPr fontId="2" type="noConversion"/>
  </si>
  <si>
    <t>민간통신 이설요청</t>
    <phoneticPr fontId="2" type="noConversion"/>
  </si>
  <si>
    <t>봉암교 공법변경 보고</t>
    <phoneticPr fontId="2" type="noConversion"/>
  </si>
  <si>
    <t>•용역중지 완료(11/30)</t>
    <phoneticPr fontId="2" type="noConversion"/>
  </si>
  <si>
    <t xml:space="preserve">건설도시과
팀장: 양용규
감독: 최수찬
/이현모,박윤식
</t>
    <phoneticPr fontId="2" type="noConversion"/>
  </si>
  <si>
    <t>새앙바위 위험도로 구조개선공사 건설사업관리용역[천마(100%)]</t>
    <phoneticPr fontId="2" type="noConversion"/>
  </si>
  <si>
    <t>19.12.26</t>
    <phoneticPr fontId="2" type="noConversion"/>
  </si>
  <si>
    <t>19-09</t>
    <phoneticPr fontId="2" type="noConversion"/>
  </si>
  <si>
    <t>20.08.14</t>
    <phoneticPr fontId="2" type="noConversion"/>
  </si>
  <si>
    <t>청양군</t>
    <phoneticPr fontId="2" type="noConversion"/>
  </si>
  <si>
    <t>•조기준공 예정(12/28)</t>
    <phoneticPr fontId="2" type="noConversion"/>
  </si>
  <si>
    <r>
      <rPr>
        <sz val="8.5"/>
        <color theme="1"/>
        <rFont val="HY신명조"/>
        <family val="1"/>
        <charset val="129"/>
      </rPr>
      <t>시설관리사업소</t>
    </r>
    <r>
      <rPr>
        <sz val="10"/>
        <color theme="1"/>
        <rFont val="HY신명조"/>
        <family val="1"/>
        <charset val="129"/>
      </rPr>
      <t xml:space="preserve">
팀장: 김종필
감독: 이봉노
/이승재
</t>
    </r>
    <phoneticPr fontId="2" type="noConversion"/>
  </si>
  <si>
    <t>합덕농공 공공폐수처리시설 고도처리사업 건설사업관리용역[건화(65%):천마(35%)]</t>
    <phoneticPr fontId="2" type="noConversion"/>
  </si>
  <si>
    <t>20.02.10</t>
    <phoneticPr fontId="2" type="noConversion"/>
  </si>
  <si>
    <t>20-01</t>
    <phoneticPr fontId="2" type="noConversion"/>
  </si>
  <si>
    <t>20.12.28</t>
    <phoneticPr fontId="2" type="noConversion"/>
  </si>
  <si>
    <t>당진시</t>
    <phoneticPr fontId="2" type="noConversion"/>
  </si>
  <si>
    <t>072020-02</t>
    <phoneticPr fontId="2" type="noConversion"/>
  </si>
  <si>
    <t>•동절기 분야기술인 철수(11/15)</t>
    <phoneticPr fontId="2" type="noConversion"/>
  </si>
  <si>
    <t xml:space="preserve">상하수도사업소
팀장: 전재영
감독: 박현아
/홍성욱, 장헌영, 이만재
</t>
    <phoneticPr fontId="2" type="noConversion"/>
  </si>
  <si>
    <t>의왕시 삼동처리분구 하수관로 개량 및 분류식화 공사 통합건설사업관리용역[한종(60%):천마(40%)]</t>
    <phoneticPr fontId="2" type="noConversion"/>
  </si>
  <si>
    <t>20.03.16</t>
    <phoneticPr fontId="2" type="noConversion"/>
  </si>
  <si>
    <t>20-02</t>
    <phoneticPr fontId="2" type="noConversion"/>
  </si>
  <si>
    <t>동절기 용역 중지 및 해제</t>
    <phoneticPr fontId="2" type="noConversion"/>
  </si>
  <si>
    <t>관급자재 검사</t>
    <phoneticPr fontId="2" type="noConversion"/>
  </si>
  <si>
    <t>시험굴착 기술 검토</t>
    <phoneticPr fontId="2" type="noConversion"/>
  </si>
  <si>
    <t>집중호우 대비 수방관리계획서 검토</t>
    <phoneticPr fontId="2" type="noConversion"/>
  </si>
  <si>
    <t>추진 및 도달기지 시공</t>
    <phoneticPr fontId="2" type="noConversion"/>
  </si>
  <si>
    <t>관급 및 사급자재 공급원 검토</t>
    <phoneticPr fontId="2" type="noConversion"/>
  </si>
  <si>
    <t>추진기기 추직작업</t>
    <phoneticPr fontId="2" type="noConversion"/>
  </si>
  <si>
    <t>관급및사급자재 검토</t>
    <phoneticPr fontId="2" type="noConversion"/>
  </si>
  <si>
    <t>관급 및사급자재 검토</t>
    <phoneticPr fontId="2" type="noConversion"/>
  </si>
  <si>
    <t>가시설부 관부설</t>
    <phoneticPr fontId="2" type="noConversion"/>
  </si>
  <si>
    <t>•도로공사 건설사업관리 보상비</t>
    <phoneticPr fontId="2" type="noConversion"/>
  </si>
  <si>
    <t>고속국도제14호선 함양~합천간건설공사 건설사업관리용역 보상비</t>
    <phoneticPr fontId="2" type="noConversion"/>
  </si>
  <si>
    <t>보상비</t>
    <phoneticPr fontId="2" type="noConversion"/>
  </si>
  <si>
    <t>의왕시</t>
    <phoneticPr fontId="2" type="noConversion"/>
  </si>
  <si>
    <t>072020-03</t>
    <phoneticPr fontId="2" type="noConversion"/>
  </si>
  <si>
    <t>•발주처 조기준공(11/30)</t>
    <phoneticPr fontId="2" type="noConversion"/>
  </si>
  <si>
    <t>지역경제과
팀장: 신기환
감독: 김종국
/손지만, 권오걸</t>
    <phoneticPr fontId="2" type="noConversion"/>
  </si>
  <si>
    <t>웅천일반산업단지 공공폐수처리시설 설치공사(건설사업관리용역)[도화(65):천마(35)]</t>
    <phoneticPr fontId="2" type="noConversion"/>
  </si>
  <si>
    <t>20.06.16</t>
    <phoneticPr fontId="2" type="noConversion"/>
  </si>
  <si>
    <t>20-03</t>
    <phoneticPr fontId="2" type="noConversion"/>
  </si>
  <si>
    <t>폐수처리장 시공</t>
    <phoneticPr fontId="2" type="noConversion"/>
  </si>
  <si>
    <t>외부무산소조 트레이 작업</t>
    <phoneticPr fontId="2" type="noConversion"/>
  </si>
  <si>
    <t>수배전반 및 유량계 도서검토</t>
    <phoneticPr fontId="2" type="noConversion"/>
  </si>
  <si>
    <t>가로등기초설치</t>
    <phoneticPr fontId="2" type="noConversion"/>
  </si>
  <si>
    <t>조기준공, 시운전 추후 시행예정</t>
    <phoneticPr fontId="2" type="noConversion"/>
  </si>
  <si>
    <t>중지:
21.11.30</t>
    <phoneticPr fontId="2" type="noConversion"/>
  </si>
  <si>
    <t>072020-04</t>
    <phoneticPr fontId="2" type="noConversion"/>
  </si>
  <si>
    <t>•문화재 지표조사 지연</t>
    <phoneticPr fontId="2" type="noConversion"/>
  </si>
  <si>
    <t>도로건설과
지방도로팀
팀장: 양영훈
감독: 지완진
/한상대, 정대영</t>
    <phoneticPr fontId="2" type="noConversion"/>
  </si>
  <si>
    <t>진위역~오산시계(동서축1)간 도로확포장공사 감독권한대행 등 건설사업관리용역[동명(60):천마(40)]</t>
    <phoneticPr fontId="2" type="noConversion"/>
  </si>
  <si>
    <t>20.08.31</t>
    <phoneticPr fontId="2" type="noConversion"/>
  </si>
  <si>
    <t>20-04</t>
    <phoneticPr fontId="2" type="noConversion"/>
  </si>
  <si>
    <t>설계도서 검토</t>
    <phoneticPr fontId="2" type="noConversion"/>
  </si>
  <si>
    <t>물가변동 검토</t>
    <phoneticPr fontId="2" type="noConversion"/>
  </si>
  <si>
    <t>연약지반 재검토</t>
    <phoneticPr fontId="2" type="noConversion"/>
  </si>
  <si>
    <t>동부고속화도로 접속부 회전교차로 검토</t>
    <phoneticPr fontId="2" type="noConversion"/>
  </si>
  <si>
    <t>시공계획서(가설방음벽, 야적장 부지) 검토</t>
    <phoneticPr fontId="2" type="noConversion"/>
  </si>
  <si>
    <t>견산교 강관파일 시공 검토</t>
    <phoneticPr fontId="2" type="noConversion"/>
  </si>
  <si>
    <t>우회도로, 가설방음벽, 지반조사</t>
    <phoneticPr fontId="2" type="noConversion"/>
  </si>
  <si>
    <t>토취장 선정 검토</t>
    <phoneticPr fontId="2" type="noConversion"/>
  </si>
  <si>
    <t>품질이행확인점검</t>
    <phoneticPr fontId="2" type="noConversion"/>
  </si>
  <si>
    <t>견산교 시공</t>
    <phoneticPr fontId="2" type="noConversion"/>
  </si>
  <si>
    <t>동절기 안전점검 시행</t>
    <phoneticPr fontId="2" type="noConversion"/>
  </si>
  <si>
    <t xml:space="preserve">건설과
팀장: 심효섭
감독: 이종민
/강도철, 이기수
</t>
    <phoneticPr fontId="2" type="noConversion"/>
  </si>
  <si>
    <t>지방하천(대학천, 제민천) 정비사업 통합건설사업관리용역[수성(60):천마(40)]</t>
    <phoneticPr fontId="2" type="noConversion"/>
  </si>
  <si>
    <t>20.07.30</t>
    <phoneticPr fontId="2" type="noConversion"/>
  </si>
  <si>
    <t>대학교 토공 작업</t>
    <phoneticPr fontId="2" type="noConversion"/>
  </si>
  <si>
    <t>대학교 빔 정차구 설치작업</t>
    <phoneticPr fontId="2" type="noConversion"/>
  </si>
  <si>
    <t>배실교 시공</t>
    <phoneticPr fontId="2" type="noConversion"/>
  </si>
  <si>
    <t>대학교 시공</t>
    <phoneticPr fontId="2" type="noConversion"/>
  </si>
  <si>
    <t>배실교 포장</t>
    <phoneticPr fontId="2" type="noConversion"/>
  </si>
  <si>
    <t>우회도로 철거</t>
    <phoneticPr fontId="2" type="noConversion"/>
  </si>
  <si>
    <t>교량 면정리</t>
    <phoneticPr fontId="2" type="noConversion"/>
  </si>
  <si>
    <t>축제1지구 시공</t>
    <phoneticPr fontId="2" type="noConversion"/>
  </si>
  <si>
    <t>농업용수 강관부설</t>
    <phoneticPr fontId="2" type="noConversion"/>
  </si>
  <si>
    <t>합천골천지구성토</t>
    <phoneticPr fontId="2" type="noConversion"/>
  </si>
  <si>
    <t>제1~2지구 관로 부설</t>
    <phoneticPr fontId="2" type="noConversion"/>
  </si>
  <si>
    <t>072020-06</t>
    <phoneticPr fontId="2" type="noConversion"/>
  </si>
  <si>
    <t>•연약지반 재설계 및 순성토 반입</t>
    <phoneticPr fontId="2" type="noConversion"/>
  </si>
  <si>
    <t xml:space="preserve">도시개발팀
팀장: 조재흥
감독: 최승철
/전재성,노시태
</t>
    <phoneticPr fontId="2" type="noConversion"/>
  </si>
  <si>
    <t>홍성역세권 도시개발사업 감독권한대행 등 건설사업관리용역</t>
    <phoneticPr fontId="2" type="noConversion"/>
  </si>
  <si>
    <t>20.08.21</t>
    <phoneticPr fontId="2" type="noConversion"/>
  </si>
  <si>
    <t>20-06</t>
    <phoneticPr fontId="2" type="noConversion"/>
  </si>
  <si>
    <t>환지 협의</t>
    <phoneticPr fontId="2" type="noConversion"/>
  </si>
  <si>
    <t>환지 협의 중</t>
    <phoneticPr fontId="2" type="noConversion"/>
  </si>
  <si>
    <t>연약지반 재설계 검토</t>
    <phoneticPr fontId="2" type="noConversion"/>
  </si>
  <si>
    <t>연약지반구간 성토재 반입</t>
    <phoneticPr fontId="2" type="noConversion"/>
  </si>
  <si>
    <t>연약지반 재설계관련 설계서 확인</t>
    <phoneticPr fontId="2" type="noConversion"/>
  </si>
  <si>
    <t>연약지반 재설계</t>
    <phoneticPr fontId="2" type="noConversion"/>
  </si>
  <si>
    <t>관정 폐공</t>
    <phoneticPr fontId="2" type="noConversion"/>
  </si>
  <si>
    <t>072018-02</t>
    <phoneticPr fontId="2" type="noConversion"/>
  </si>
  <si>
    <t>•자문감리착임(20.9.1)</t>
    <phoneticPr fontId="2" type="noConversion"/>
  </si>
  <si>
    <t>평택 화양지구 도시개발사업 기술자문 및 감독권한 대행등 건설사업관리용역(지장물철거 및 폐기물처리공사 외 3건)[천마100%]</t>
    <phoneticPr fontId="2" type="noConversion"/>
  </si>
  <si>
    <t>임시 상수도 이설</t>
    <phoneticPr fontId="2" type="noConversion"/>
  </si>
  <si>
    <t>지장물철거 및 폐기물처리</t>
    <phoneticPr fontId="2" type="noConversion"/>
  </si>
  <si>
    <t>단지조성공사 확인측량</t>
    <phoneticPr fontId="2" type="noConversion"/>
  </si>
  <si>
    <t>가설사무실 설치</t>
    <phoneticPr fontId="2" type="noConversion"/>
  </si>
  <si>
    <t>벌목임목폐기물처리</t>
    <phoneticPr fontId="2" type="noConversion"/>
  </si>
  <si>
    <t>072020-08</t>
    <phoneticPr fontId="2" type="noConversion"/>
  </si>
  <si>
    <t>•공사기한 연장 협의(증6개월)</t>
    <phoneticPr fontId="2" type="noConversion"/>
  </si>
  <si>
    <t xml:space="preserve">보령시
팀장:유덕재
감독:장동철
/정정수, 김응수
</t>
    <phoneticPr fontId="2" type="noConversion"/>
  </si>
  <si>
    <t>보령 창동정수장 개량공사 건설사업 관리용역[천마20%]</t>
    <phoneticPr fontId="2" type="noConversion"/>
  </si>
  <si>
    <t>20.12.09</t>
    <phoneticPr fontId="2" type="noConversion"/>
  </si>
  <si>
    <t>20-08</t>
    <phoneticPr fontId="2" type="noConversion"/>
  </si>
  <si>
    <t>비산먼지발생 신고서 처리 준비</t>
    <phoneticPr fontId="2" type="noConversion"/>
  </si>
  <si>
    <t>확인측량실시 보완 및 결과보고</t>
    <phoneticPr fontId="2" type="noConversion"/>
  </si>
  <si>
    <t>확인측량 및  경계측량</t>
    <phoneticPr fontId="2" type="noConversion"/>
  </si>
  <si>
    <t>무연분묘 조사</t>
    <phoneticPr fontId="2" type="noConversion"/>
  </si>
  <si>
    <t>절토부 횡단측량</t>
    <phoneticPr fontId="2" type="noConversion"/>
  </si>
  <si>
    <t>확인 측량 결과 보고</t>
    <phoneticPr fontId="2" type="noConversion"/>
  </si>
  <si>
    <t xml:space="preserve">현장 발생토 가적치장 실정보고 </t>
    <phoneticPr fontId="2" type="noConversion"/>
  </si>
  <si>
    <t>기존시설물 철거에 따른 안전관련 협의</t>
    <phoneticPr fontId="2" type="noConversion"/>
  </si>
  <si>
    <t>가적치장 운반</t>
    <phoneticPr fontId="2" type="noConversion"/>
  </si>
  <si>
    <t>기존시설물 철거</t>
    <phoneticPr fontId="2" type="noConversion"/>
  </si>
  <si>
    <t>임시침사지 설치 보고</t>
    <phoneticPr fontId="2" type="noConversion"/>
  </si>
  <si>
    <t>072020-09</t>
    <phoneticPr fontId="2" type="noConversion"/>
  </si>
  <si>
    <t>•비관리청 사업시행허가 보완협의</t>
    <phoneticPr fontId="2" type="noConversion"/>
  </si>
  <si>
    <t xml:space="preserve">도로건설과
도로시설팀
팀장:김용진
감독:최인용
/문희원, 김정덕
</t>
    <phoneticPr fontId="2" type="noConversion"/>
  </si>
  <si>
    <t>안성 공도~양성(1)간 도로확포장공사 건설사업관리용역[천마40%]</t>
    <phoneticPr fontId="2" type="noConversion"/>
  </si>
  <si>
    <t>20.12.21</t>
    <phoneticPr fontId="2" type="noConversion"/>
  </si>
  <si>
    <t>20-09</t>
    <phoneticPr fontId="2" type="noConversion"/>
  </si>
  <si>
    <t>공동협약서 협의 중</t>
    <phoneticPr fontId="2" type="noConversion"/>
  </si>
  <si>
    <t>설계도서검토중</t>
    <phoneticPr fontId="2" type="noConversion"/>
  </si>
  <si>
    <t>국.공유지 무상귀속 검토</t>
    <phoneticPr fontId="2" type="noConversion"/>
  </si>
  <si>
    <t>비관리청 사업시행 허가서류 검토</t>
    <phoneticPr fontId="2" type="noConversion"/>
  </si>
  <si>
    <t>비관리청 사업시행 허가서류 제출</t>
    <phoneticPr fontId="2" type="noConversion"/>
  </si>
  <si>
    <t>국.공유지 이지목측량 결과 검토</t>
    <phoneticPr fontId="2" type="noConversion"/>
  </si>
  <si>
    <t>안전관리계획서 검토보고</t>
    <phoneticPr fontId="2" type="noConversion"/>
  </si>
  <si>
    <t>석면폐기물조사및설계 제출</t>
    <phoneticPr fontId="2" type="noConversion"/>
  </si>
  <si>
    <t>국공유재산 무상귀속 협의</t>
    <phoneticPr fontId="2" type="noConversion"/>
  </si>
  <si>
    <t>보상지연 공사 정지</t>
    <phoneticPr fontId="2" type="noConversion"/>
  </si>
  <si>
    <t>072021-01</t>
    <phoneticPr fontId="2" type="noConversion"/>
  </si>
  <si>
    <t>음봉지구 농어촌생활용수 개발사업외 1개 통합 건설사업관리용역 휴일,야간근무대가</t>
    <phoneticPr fontId="2" type="noConversion"/>
  </si>
  <si>
    <t>20.10.01</t>
    <phoneticPr fontId="2" type="noConversion"/>
  </si>
  <si>
    <t>072021-02</t>
    <phoneticPr fontId="2" type="noConversion"/>
  </si>
  <si>
    <t>보령시
팀장:김덕제
감독:김남수
/송규하, 김요현</t>
    <phoneticPr fontId="2" type="noConversion"/>
  </si>
  <si>
    <t>오천농어촌(원산도) 지방상수도 시설공사 건설사업관리용역</t>
    <phoneticPr fontId="2" type="noConversion"/>
  </si>
  <si>
    <t>21.2.26</t>
    <phoneticPr fontId="2" type="noConversion"/>
  </si>
  <si>
    <t>해저터널내 PE 피복강관 부설</t>
    <phoneticPr fontId="2" type="noConversion"/>
  </si>
  <si>
    <t>터널 수압시험</t>
    <phoneticPr fontId="2" type="noConversion"/>
  </si>
  <si>
    <t>관보온재 설치</t>
    <phoneticPr fontId="2" type="noConversion"/>
  </si>
  <si>
    <t>072021-05</t>
    <phoneticPr fontId="2" type="noConversion"/>
  </si>
  <si>
    <t>천안시
팀장:임상래
감독:안재헌,김현경,김은영
/권창근</t>
    <phoneticPr fontId="2" type="noConversion"/>
  </si>
  <si>
    <t>천안 하수처리장 시설현대화 민간투자사업 감독권한대행 등 건설사업관리용역</t>
    <phoneticPr fontId="2" type="noConversion"/>
  </si>
  <si>
    <t>21-05</t>
    <phoneticPr fontId="2" type="noConversion"/>
  </si>
  <si>
    <t>조경수 이설</t>
    <phoneticPr fontId="2" type="noConversion"/>
  </si>
  <si>
    <t>착공계제출</t>
    <phoneticPr fontId="2" type="noConversion"/>
  </si>
  <si>
    <t>임시시설물 설치</t>
    <phoneticPr fontId="2" type="noConversion"/>
  </si>
  <si>
    <t>1단계시설 시공</t>
    <phoneticPr fontId="2" type="noConversion"/>
  </si>
  <si>
    <t>072021-03</t>
    <phoneticPr fontId="2" type="noConversion"/>
  </si>
  <si>
    <t>•계약변경 검토</t>
    <phoneticPr fontId="2" type="noConversion"/>
  </si>
  <si>
    <t>남원국토
팀장:최정규
감독:한형호
/이재백, 박윤식</t>
    <phoneticPr fontId="2" type="noConversion"/>
  </si>
  <si>
    <t>국가하천 섬진강 유지보수사업 통합건설사업관리용역</t>
    <phoneticPr fontId="2" type="noConversion"/>
  </si>
  <si>
    <t>21.5.25</t>
    <phoneticPr fontId="2" type="noConversion"/>
  </si>
  <si>
    <t>착임(5/27)</t>
    <phoneticPr fontId="2" type="noConversion"/>
  </si>
  <si>
    <t>인수인계사항 확인</t>
    <phoneticPr fontId="2" type="noConversion"/>
  </si>
  <si>
    <t>현장별 추후 공사추진현황 보고</t>
    <phoneticPr fontId="2" type="noConversion"/>
  </si>
  <si>
    <t>진월제보강공사</t>
    <phoneticPr fontId="2" type="noConversion"/>
  </si>
  <si>
    <t>강관파일 시공</t>
    <phoneticPr fontId="2" type="noConversion"/>
  </si>
  <si>
    <t>하도급 및 시공계획서 검토</t>
    <phoneticPr fontId="2" type="noConversion"/>
  </si>
  <si>
    <t>배수문보수</t>
    <phoneticPr fontId="2" type="noConversion"/>
  </si>
  <si>
    <t>072021-04</t>
    <phoneticPr fontId="2" type="noConversion"/>
  </si>
  <si>
    <t>아산시 기업경제과
팀장: 정현모
감독: 최두영
/이종래, 박경열</t>
    <phoneticPr fontId="2" type="noConversion"/>
  </si>
  <si>
    <t>아산테크노밸리공공폐수처리시설증설민간투자사업건설사업관리용역</t>
    <phoneticPr fontId="2" type="noConversion"/>
  </si>
  <si>
    <t xml:space="preserve">21.06.16 </t>
    <phoneticPr fontId="2" type="noConversion"/>
  </si>
  <si>
    <t>설계도서 검토 요청</t>
    <phoneticPr fontId="2" type="noConversion"/>
  </si>
  <si>
    <t>조경공사 수목이식공사 착수</t>
    <phoneticPr fontId="2" type="noConversion"/>
  </si>
  <si>
    <t>임시가도 설치</t>
    <phoneticPr fontId="2" type="noConversion"/>
  </si>
  <si>
    <t>암판정결과 보고</t>
    <phoneticPr fontId="2" type="noConversion"/>
  </si>
  <si>
    <t>세륜시설설치</t>
    <phoneticPr fontId="2" type="noConversion"/>
  </si>
  <si>
    <t>기계설계도서 검토</t>
    <phoneticPr fontId="2" type="noConversion"/>
  </si>
  <si>
    <t>072021-07</t>
    <phoneticPr fontId="2" type="noConversion"/>
  </si>
  <si>
    <t>•허진욱 착임(10/19)</t>
    <phoneticPr fontId="2" type="noConversion"/>
  </si>
  <si>
    <t>해상교량안전과
과장: 최영록
감독: 이득재
/오세영, 허진욱</t>
    <phoneticPr fontId="2" type="noConversion"/>
  </si>
  <si>
    <t>신안 압해-해남 화원 도로 건설사업관리용역</t>
    <phoneticPr fontId="2" type="noConversion"/>
  </si>
  <si>
    <t>21.09.24</t>
    <phoneticPr fontId="2" type="noConversion"/>
  </si>
  <si>
    <t>21-</t>
    <phoneticPr fontId="2" type="noConversion"/>
  </si>
  <si>
    <t>총사업비 협의 준비</t>
    <phoneticPr fontId="2" type="noConversion"/>
  </si>
  <si>
    <t>072021-06</t>
    <phoneticPr fontId="2" type="noConversion"/>
  </si>
  <si>
    <t>•비상주 부분감리(구조, 토질)</t>
    <phoneticPr fontId="2" type="noConversion"/>
  </si>
  <si>
    <t>백화산 전망교량 설치사업 비상주 부분감리용역</t>
    <phoneticPr fontId="2" type="noConversion"/>
  </si>
  <si>
    <t>21.09.03</t>
    <phoneticPr fontId="2" type="noConversion"/>
  </si>
  <si>
    <t>21-06</t>
    <phoneticPr fontId="2" type="noConversion"/>
  </si>
  <si>
    <t>072021-08</t>
    <phoneticPr fontId="2" type="noConversion"/>
  </si>
  <si>
    <t>•공사 미발주에 따라 착수(11/9) 중지</t>
    <phoneticPr fontId="2" type="noConversion"/>
  </si>
  <si>
    <t>하천공사2과
과장: 안종석
팀장: 
감독: 표창원
/김재호, 김천환</t>
    <phoneticPr fontId="2" type="noConversion"/>
  </si>
  <si>
    <t>황강 합천지구 하천환경정비사업 건설사업관리용역</t>
    <phoneticPr fontId="2" type="noConversion"/>
  </si>
  <si>
    <t>21.11.01</t>
    <phoneticPr fontId="2" type="noConversion"/>
  </si>
  <si>
    <t>중지:
21.11.09</t>
    <phoneticPr fontId="2" type="noConversion"/>
  </si>
  <si>
    <t>072021-09</t>
    <phoneticPr fontId="2" type="noConversion"/>
  </si>
  <si>
    <t>•계약 및 착수(11/15)</t>
    <phoneticPr fontId="2" type="noConversion"/>
  </si>
  <si>
    <t>힐링디앤씨
과장: 
팀장: 
감독: 
/강종우, 김천환</t>
    <phoneticPr fontId="2" type="noConversion"/>
  </si>
  <si>
    <t>아산시탕정지구 도시형생활주택 신축공사 중 3-G1-5,6BL 토목부분(흙막이 가시설 및 터파기 공사) 건설사업관리용역</t>
    <phoneticPr fontId="2" type="noConversion"/>
  </si>
  <si>
    <t>21.11.15</t>
    <phoneticPr fontId="2" type="noConversion"/>
  </si>
  <si>
    <t>착공준비</t>
    <phoneticPr fontId="2" type="noConversion"/>
  </si>
  <si>
    <t>072021-10</t>
    <phoneticPr fontId="2" type="noConversion"/>
  </si>
  <si>
    <t>아산시탕정지구 도시형생활주택 신축공사 중 3-G1-7,8BL 토목부분(흙막이 가시설 및 터파기 공사) 건설사업관리용역</t>
    <phoneticPr fontId="2" type="noConversion"/>
  </si>
  <si>
    <t>21-03</t>
    <phoneticPr fontId="2" type="noConversion"/>
  </si>
  <si>
    <t>미입력</t>
    <phoneticPr fontId="2" type="noConversion"/>
  </si>
  <si>
    <t>072011-10</t>
    <phoneticPr fontId="2" type="noConversion"/>
  </si>
  <si>
    <t>072013-04</t>
    <phoneticPr fontId="2" type="noConversion"/>
  </si>
  <si>
    <t>072014-01</t>
    <phoneticPr fontId="2" type="noConversion"/>
  </si>
  <si>
    <t>072014-04</t>
    <phoneticPr fontId="2" type="noConversion"/>
  </si>
  <si>
    <t>072016-03</t>
    <phoneticPr fontId="2" type="noConversion"/>
  </si>
  <si>
    <t>072016-01</t>
    <phoneticPr fontId="2" type="noConversion"/>
  </si>
  <si>
    <t>072016-04</t>
    <phoneticPr fontId="2" type="noConversion"/>
  </si>
  <si>
    <t>092016-13</t>
    <phoneticPr fontId="2" type="noConversion"/>
  </si>
  <si>
    <t>072017-05</t>
    <phoneticPr fontId="2" type="noConversion"/>
  </si>
  <si>
    <t>072017-07</t>
    <phoneticPr fontId="2" type="noConversion"/>
  </si>
  <si>
    <t>072018-03</t>
    <phoneticPr fontId="2" type="noConversion"/>
  </si>
  <si>
    <t>072018-04</t>
    <phoneticPr fontId="2" type="noConversion"/>
  </si>
  <si>
    <t>072018-08</t>
    <phoneticPr fontId="2" type="noConversion"/>
  </si>
  <si>
    <t>072018-09</t>
    <phoneticPr fontId="2" type="noConversion"/>
  </si>
  <si>
    <t>072018-10</t>
    <phoneticPr fontId="2" type="noConversion"/>
  </si>
  <si>
    <t>072018-13</t>
    <phoneticPr fontId="2" type="noConversion"/>
  </si>
  <si>
    <t>072019-09</t>
    <phoneticPr fontId="2" type="noConversion"/>
  </si>
  <si>
    <t>072020-01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</si>
</sst>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76" formatCode="#,##0_ "/>
    <numFmt numFmtId="177" formatCode="_-* #,##0.0_-;\-* #,##0.0_-;_-* &quot;-&quot;_-;_-@_-"/>
    <numFmt numFmtId="178" formatCode="_-* #,##0.0_-;\-* #,##0.0_-;_-* &quot;-&quot;??_-;_-@_-"/>
    <numFmt numFmtId="179" formatCode="0.0%"/>
    <numFmt numFmtId="180" formatCode="_ * #,##0_ ;_ * \-#,##0_ ;_ * &quot;-&quot;_ ;_ @_ "/>
    <numFmt numFmtId="181" formatCode="_ * #,##0.00_ ;_ * \-#,##0.00_ ;_ * &quot;-&quot;??_ ;_ @_ "/>
    <numFmt numFmtId="182" formatCode="&quot;₩&quot;#,##0;&quot;₩&quot;&quot;₩&quot;&quot;₩&quot;&quot;₩&quot;&quot;₩&quot;&quot;₩&quot;&quot;₩&quot;&quot;₩&quot;\-#,##0"/>
    <numFmt numFmtId="183" formatCode="&quot;₩&quot;#,##0.00;&quot;₩&quot;&quot;₩&quot;&quot;₩&quot;&quot;₩&quot;&quot;₩&quot;&quot;₩&quot;&quot;₩&quot;&quot;₩&quot;\-#,##0.00"/>
    <numFmt numFmtId="184" formatCode="&quot;₩&quot;#,##0;[Red]&quot;₩&quot;&quot;₩&quot;\-#,##0"/>
    <numFmt numFmtId="185" formatCode="&quot;₩&quot;#,##0.00;[Red]&quot;₩&quot;&quot;₩&quot;&quot;₩&quot;&quot;₩&quot;&quot;₩&quot;&quot;₩&quot;\-#,##0.00"/>
    <numFmt numFmtId="186" formatCode="#,##0.0_ "/>
    <numFmt numFmtId="187" formatCode="#,##0.0_ ;[Red]\-#,##0.0\ "/>
    <numFmt numFmtId="188" formatCode="0.0_ "/>
    <numFmt numFmtId="189" formatCode="0.000_);[Red]\(0.000\)"/>
    <numFmt numFmtId="190" formatCode="mm&quot;월&quot;\ dd&quot;일&quot;"/>
    <numFmt numFmtId="191" formatCode="#,##0.0_);[Red]\(#,##0.0\)"/>
    <numFmt numFmtId="192" formatCode="yy&quot;-&quot;m&quot;-&quot;d;@"/>
    <numFmt numFmtId="193" formatCode="_-* #,##0_-;\-* #,##0_-;_-* &quot;-&quot;?_-;_-@_-"/>
    <numFmt numFmtId="194" formatCode="_-* #,##0.0_-;\-* #,##0.0_-;_-* &quot;-&quot;?_-;_-@_-"/>
    <numFmt numFmtId="195" formatCode="&quot;천마:&quot;#.##"/>
    <numFmt numFmtId="196" formatCode="&quot;천마:&quot;@"/>
    <numFmt numFmtId="197" formatCode="0.0000000%"/>
  </numFmts>
  <fonts count="5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name val="Arial"/>
      <family val="2"/>
    </font>
    <font>
      <sz val="11"/>
      <color rgb="FFFF0000"/>
      <name val="맑은 고딕"/>
      <family val="3"/>
      <charset val="129"/>
      <scheme val="minor"/>
    </font>
    <font>
      <sz val="11"/>
      <name val="돋움"/>
      <family val="3"/>
      <charset val="129"/>
    </font>
    <font>
      <sz val="11"/>
      <color indexed="8"/>
      <name val="맑은 고딕"/>
      <family val="3"/>
      <charset val="129"/>
    </font>
    <font>
      <sz val="12"/>
      <name val="뼻뮝"/>
      <family val="1"/>
      <charset val="129"/>
    </font>
    <font>
      <sz val="10"/>
      <color indexed="64"/>
      <name val="Arial"/>
      <family val="2"/>
    </font>
    <font>
      <b/>
      <sz val="10"/>
      <color indexed="64"/>
      <name val="Arial"/>
      <family val="2"/>
    </font>
    <font>
      <sz val="11"/>
      <color theme="1"/>
      <name val="맑은 고딕"/>
      <family val="3"/>
      <charset val="129"/>
      <scheme val="minor"/>
    </font>
    <font>
      <sz val="11"/>
      <color rgb="FF006100"/>
      <name val="맑은 고딕"/>
      <family val="3"/>
      <charset val="129"/>
      <scheme val="minor"/>
    </font>
    <font>
      <b/>
      <sz val="11"/>
      <name val="HY신명조"/>
      <family val="1"/>
      <charset val="129"/>
    </font>
    <font>
      <b/>
      <sz val="10"/>
      <name val="HY신명조"/>
      <family val="1"/>
      <charset val="129"/>
    </font>
    <font>
      <sz val="10"/>
      <name val="HY신명조"/>
      <family val="1"/>
      <charset val="129"/>
    </font>
    <font>
      <sz val="11"/>
      <name val="HY신명조"/>
      <family val="1"/>
      <charset val="129"/>
    </font>
    <font>
      <b/>
      <sz val="10"/>
      <color theme="1"/>
      <name val="HY신명조"/>
      <family val="1"/>
      <charset val="129"/>
    </font>
    <font>
      <sz val="10"/>
      <color theme="1"/>
      <name val="HY신명조"/>
      <family val="1"/>
      <charset val="129"/>
    </font>
    <font>
      <sz val="11"/>
      <color theme="1"/>
      <name val="HY신명조"/>
      <family val="1"/>
      <charset val="129"/>
    </font>
    <font>
      <sz val="10"/>
      <color rgb="FFFF0000"/>
      <name val="HY신명조"/>
      <family val="1"/>
      <charset val="129"/>
    </font>
    <font>
      <b/>
      <sz val="10"/>
      <color rgb="FFFF0000"/>
      <name val="HY신명조"/>
      <family val="1"/>
      <charset val="129"/>
    </font>
    <font>
      <sz val="8.5"/>
      <color theme="1"/>
      <name val="HY신명조"/>
      <family val="1"/>
      <charset val="129"/>
    </font>
    <font>
      <sz val="8"/>
      <name val="HY신명조"/>
      <family val="1"/>
      <charset val="129"/>
    </font>
    <font>
      <sz val="9"/>
      <name val="HY신명조"/>
      <family val="1"/>
      <charset val="129"/>
    </font>
    <font>
      <b/>
      <sz val="9"/>
      <name val="HY신명조"/>
      <family val="1"/>
      <charset val="129"/>
    </font>
    <font>
      <sz val="10"/>
      <color rgb="FF0000FF"/>
      <name val="HY신명조"/>
      <family val="1"/>
      <charset val="129"/>
    </font>
    <font>
      <sz val="9"/>
      <color theme="1"/>
      <name val="HY신명조"/>
      <family val="1"/>
      <charset val="129"/>
    </font>
    <font>
      <u/>
      <sz val="11"/>
      <name val="HY신명조"/>
      <family val="1"/>
      <charset val="129"/>
    </font>
    <font>
      <sz val="6"/>
      <name val="HY신명조"/>
      <family val="1"/>
      <charset val="129"/>
    </font>
    <font>
      <sz val="5"/>
      <name val="HY신명조"/>
      <family val="1"/>
      <charset val="129"/>
    </font>
    <font>
      <sz val="7"/>
      <name val="HY신명조"/>
      <family val="1"/>
      <charset val="129"/>
    </font>
    <font>
      <sz val="9.5"/>
      <name val="HY신명조"/>
      <family val="1"/>
      <charset val="129"/>
    </font>
    <font>
      <b/>
      <sz val="22"/>
      <color theme="1"/>
      <name val="HY신명조"/>
      <family val="1"/>
      <charset val="129"/>
    </font>
    <font>
      <sz val="22"/>
      <color theme="1"/>
      <name val="HY신명조"/>
      <family val="1"/>
      <charset val="129"/>
    </font>
    <font>
      <b/>
      <sz val="24"/>
      <color theme="1"/>
      <name val="HY신명조"/>
      <family val="1"/>
      <charset val="129"/>
    </font>
    <font>
      <b/>
      <sz val="16"/>
      <color theme="1"/>
      <name val="HY신명조"/>
      <family val="1"/>
      <charset val="129"/>
    </font>
    <font>
      <b/>
      <sz val="11"/>
      <color theme="1"/>
      <name val="HY신명조"/>
      <family val="1"/>
      <charset val="129"/>
    </font>
    <font>
      <sz val="11"/>
      <color rgb="FF7030A0"/>
      <name val="HY신명조"/>
      <family val="1"/>
      <charset val="129"/>
    </font>
    <font>
      <sz val="11"/>
      <color rgb="FFFF0000"/>
      <name val="HY신명조"/>
      <family val="1"/>
      <charset val="129"/>
    </font>
    <font>
      <b/>
      <sz val="8"/>
      <color theme="1"/>
      <name val="HY신명조"/>
      <family val="1"/>
      <charset val="129"/>
    </font>
    <font>
      <sz val="8"/>
      <color theme="1"/>
      <name val="HY신명조"/>
      <family val="1"/>
      <charset val="129"/>
    </font>
    <font>
      <sz val="10"/>
      <color theme="1"/>
      <name val="굴림"/>
      <family val="3"/>
      <charset val="129"/>
    </font>
    <font>
      <b/>
      <sz val="11"/>
      <color rgb="FFFFFF00"/>
      <name val="HY신명조"/>
      <family val="1"/>
      <charset val="129"/>
    </font>
    <font>
      <b/>
      <strike/>
      <sz val="10"/>
      <name val="HY신명조"/>
      <family val="1"/>
      <charset val="129"/>
    </font>
    <font>
      <sz val="10"/>
      <color rgb="FF2E20E8"/>
      <name val="HY신명조"/>
      <family val="1"/>
      <charset val="129"/>
    </font>
    <font>
      <u/>
      <sz val="10"/>
      <color rgb="FF000000"/>
      <name val="맑은 고딕"/>
      <family val="3"/>
      <charset val="129"/>
      <scheme val="minor"/>
    </font>
    <font>
      <b/>
      <sz val="9"/>
      <color theme="1"/>
      <name val="HY신명조"/>
      <family val="1"/>
      <charset val="129"/>
    </font>
    <font>
      <b/>
      <sz val="14"/>
      <color rgb="FFFF0000"/>
      <name val="HY신명조"/>
      <family val="1"/>
      <charset val="129"/>
    </font>
    <font>
      <sz val="6"/>
      <color theme="1"/>
      <name val="HY신명조"/>
      <family val="1"/>
      <charset val="129"/>
    </font>
    <font>
      <sz val="7"/>
      <color theme="1"/>
      <name val="HY신명조"/>
      <family val="1"/>
      <charset val="129"/>
    </font>
    <font>
      <sz val="9.5"/>
      <color rgb="FFFF0000"/>
      <name val="HY신명조"/>
      <family val="1"/>
      <charset val="129"/>
    </font>
  </fonts>
  <fills count="12">
    <fill>
      <patternFill patternType="none"/>
    </fill>
    <fill>
      <patternFill patternType="gray125"/>
    </fill>
    <fill>
      <patternFill patternType="solid">
        <fgColor rgb="FFC6EFCE"/>
      </patternFill>
    </fill>
    <fill>
      <patternFill patternType="solid">
        <fgColor rgb="FFFFC000"/>
        <bgColor indexed="64"/>
      </patternFill>
    </fill>
    <fill>
      <patternFill patternType="solid">
        <fgColor theme="0" tint="-0.14999847407452621"/>
        <bgColor indexed="64"/>
      </patternFill>
    </fill>
    <fill>
      <patternFill patternType="solid">
        <fgColor rgb="FF00B05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6795556505021"/>
        <bgColor indexed="64"/>
      </patternFill>
    </fill>
    <fill>
      <patternFill patternType="solid">
        <fgColor theme="7" tint="0.79998168889431442"/>
        <bgColor indexed="64"/>
      </patternFill>
    </fill>
  </fills>
  <borders count="38">
    <border>
      <left/>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style="thin">
        <color indexed="64"/>
      </left>
      <right style="thin">
        <color indexed="64"/>
      </right>
      <top style="thin">
        <color indexed="64"/>
      </top>
      <bottom style="hair">
        <color indexed="64"/>
      </bottom>
      <diagonal/>
    </border>
    <border>
      <left style="thin">
        <color auto="1"/>
      </left>
      <right style="hair">
        <color auto="1"/>
      </right>
      <top style="thin">
        <color indexed="64"/>
      </top>
      <bottom style="hair">
        <color auto="1"/>
      </bottom>
      <diagonal/>
    </border>
    <border>
      <left/>
      <right style="thin">
        <color indexed="64"/>
      </right>
      <top style="thin">
        <color indexed="64"/>
      </top>
      <bottom style="hair">
        <color indexed="64"/>
      </bottom>
      <diagonal/>
    </border>
    <border>
      <left style="thin">
        <color auto="1"/>
      </left>
      <right style="thin">
        <color auto="1"/>
      </right>
      <top/>
      <bottom/>
      <diagonal/>
    </border>
    <border>
      <left style="thin">
        <color indexed="64"/>
      </left>
      <right style="thin">
        <color indexed="64"/>
      </right>
      <top style="hair">
        <color indexed="64"/>
      </top>
      <bottom style="hair">
        <color indexed="64"/>
      </bottom>
      <diagonal/>
    </border>
    <border>
      <left style="thin">
        <color auto="1"/>
      </left>
      <right style="hair">
        <color auto="1"/>
      </right>
      <top style="hair">
        <color auto="1"/>
      </top>
      <bottom style="hair">
        <color auto="1"/>
      </bottom>
      <diagonal/>
    </border>
    <border>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auto="1"/>
      </right>
      <top/>
      <bottom/>
      <diagonal/>
    </border>
    <border>
      <left/>
      <right style="thin">
        <color indexed="64"/>
      </right>
      <top/>
      <bottom style="thin">
        <color indexed="64"/>
      </bottom>
      <diagonal/>
    </border>
    <border>
      <left style="thin">
        <color auto="1"/>
      </left>
      <right/>
      <top style="hair">
        <color auto="1"/>
      </top>
      <bottom style="hair">
        <color indexed="64"/>
      </bottom>
      <diagonal/>
    </border>
    <border>
      <left style="thin">
        <color indexed="64"/>
      </left>
      <right/>
      <top/>
      <bottom style="thin">
        <color indexed="64"/>
      </bottom>
      <diagonal/>
    </border>
    <border>
      <left style="hair">
        <color indexed="64"/>
      </left>
      <right style="thin">
        <color indexed="64"/>
      </right>
      <top/>
      <bottom style="thin">
        <color indexed="64"/>
      </bottom>
      <diagonal/>
    </border>
    <border>
      <left style="thin">
        <color auto="1"/>
      </left>
      <right/>
      <top style="thin">
        <color indexed="64"/>
      </top>
      <bottom/>
      <diagonal/>
    </border>
    <border>
      <left/>
      <right style="thin">
        <color indexed="64"/>
      </right>
      <top style="thin">
        <color indexed="64"/>
      </top>
      <bottom/>
      <diagonal/>
    </border>
    <border>
      <left style="thin">
        <color auto="1"/>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bottom style="hair">
        <color indexed="64"/>
      </bottom>
      <diagonal/>
    </border>
    <border>
      <left style="hair">
        <color indexed="64"/>
      </left>
      <right style="thin">
        <color indexed="64"/>
      </right>
      <top style="hair">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auto="1"/>
      </left>
      <right style="medium">
        <color indexed="64"/>
      </right>
      <top style="thin">
        <color indexed="64"/>
      </top>
      <bottom/>
      <diagonal/>
    </border>
    <border>
      <left style="thin">
        <color auto="1"/>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64">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180" fontId="3" fillId="0" borderId="0" applyFont="0" applyFill="0" applyBorder="0" applyAlignment="0" applyProtection="0"/>
    <xf numFmtId="181" fontId="3" fillId="0" borderId="0" applyFont="0" applyFill="0" applyBorder="0" applyAlignment="0" applyProtection="0"/>
    <xf numFmtId="182" fontId="3" fillId="0" borderId="0" applyFont="0" applyFill="0" applyBorder="0" applyAlignment="0" applyProtection="0"/>
    <xf numFmtId="183" fontId="3" fillId="0" borderId="0" applyFont="0" applyFill="0" applyBorder="0" applyAlignment="0" applyProtection="0"/>
    <xf numFmtId="0" fontId="3" fillId="0" borderId="0"/>
    <xf numFmtId="0" fontId="4" fillId="0" borderId="0" applyNumberFormat="0" applyFill="0" applyBorder="0" applyAlignment="0" applyProtection="0">
      <alignment vertical="center"/>
    </xf>
    <xf numFmtId="9" fontId="5"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0" fontId="7" fillId="0" borderId="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8" fillId="0" borderId="0" applyFont="0" applyFill="0" applyBorder="0" applyAlignment="0" applyProtection="0">
      <alignment vertical="center"/>
    </xf>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xf numFmtId="41" fontId="1" fillId="0" borderId="0" applyFont="0" applyFill="0" applyBorder="0" applyAlignment="0" applyProtection="0">
      <alignment vertical="center"/>
    </xf>
    <xf numFmtId="41" fontId="1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8" fillId="0" borderId="0" applyFont="0" applyFill="0" applyBorder="0" applyAlignment="0" applyProtection="0">
      <alignment vertical="center"/>
    </xf>
    <xf numFmtId="41" fontId="10" fillId="0" borderId="0" applyFont="0" applyFill="0" applyBorder="0" applyAlignment="0" applyProtection="0">
      <alignment vertical="center"/>
    </xf>
    <xf numFmtId="41" fontId="9" fillId="0" borderId="0" applyFont="0" applyFill="0" applyBorder="0" applyAlignment="0" applyProtection="0"/>
    <xf numFmtId="41" fontId="9" fillId="0" borderId="0" applyFont="0" applyFill="0" applyBorder="0" applyAlignment="0" applyProtection="0"/>
    <xf numFmtId="41" fontId="10" fillId="0" borderId="0" applyFont="0" applyFill="0" applyBorder="0" applyAlignment="0" applyProtection="0">
      <alignment vertical="center"/>
    </xf>
    <xf numFmtId="41" fontId="8"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0" fontId="11" fillId="2" borderId="0" applyNumberFormat="0" applyBorder="0" applyAlignment="0" applyProtection="0">
      <alignment vertical="center"/>
    </xf>
    <xf numFmtId="184" fontId="3" fillId="0" borderId="0" applyFont="0" applyFill="0" applyBorder="0" applyAlignment="0" applyProtection="0"/>
    <xf numFmtId="185" fontId="3" fillId="0" borderId="0" applyFont="0" applyFill="0" applyBorder="0" applyAlignment="0" applyProtection="0"/>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0" fillId="0" borderId="0">
      <alignment vertical="center"/>
    </xf>
    <xf numFmtId="0" fontId="1" fillId="0" borderId="0">
      <alignment vertical="center"/>
    </xf>
    <xf numFmtId="0" fontId="5" fillId="0" borderId="0"/>
    <xf numFmtId="0" fontId="1" fillId="0" borderId="0">
      <alignment vertical="center"/>
    </xf>
    <xf numFmtId="0" fontId="1" fillId="0" borderId="0">
      <alignment vertical="center"/>
    </xf>
    <xf numFmtId="0" fontId="1" fillId="0" borderId="0">
      <alignment vertical="center"/>
    </xf>
    <xf numFmtId="0" fontId="5" fillId="0" borderId="0"/>
    <xf numFmtId="0" fontId="5" fillId="0" borderId="0"/>
    <xf numFmtId="0" fontId="5" fillId="0" borderId="0"/>
    <xf numFmtId="0" fontId="5" fillId="0" borderId="0"/>
    <xf numFmtId="0" fontId="5" fillId="0" borderId="0">
      <alignment vertical="center"/>
    </xf>
    <xf numFmtId="0" fontId="5" fillId="0" borderId="0">
      <alignment vertical="center"/>
    </xf>
    <xf numFmtId="0" fontId="8" fillId="0" borderId="0"/>
    <xf numFmtId="0" fontId="1" fillId="0" borderId="0">
      <alignment vertical="center"/>
    </xf>
    <xf numFmtId="0" fontId="5" fillId="0" borderId="0">
      <alignment vertical="center"/>
    </xf>
    <xf numFmtId="0" fontId="10" fillId="0" borderId="0">
      <alignment vertical="center"/>
    </xf>
    <xf numFmtId="0" fontId="5" fillId="0" borderId="0">
      <alignment vertical="center"/>
    </xf>
    <xf numFmtId="0" fontId="5" fillId="0" borderId="0">
      <alignment vertical="center"/>
    </xf>
    <xf numFmtId="0" fontId="5"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8" fillId="0" borderId="0"/>
    <xf numFmtId="0" fontId="8" fillId="0" borderId="0"/>
    <xf numFmtId="0" fontId="10"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8" fillId="0" borderId="0"/>
    <xf numFmtId="0" fontId="1" fillId="0" borderId="0">
      <alignment vertical="center"/>
    </xf>
    <xf numFmtId="0" fontId="10" fillId="0" borderId="0">
      <alignment vertical="center"/>
    </xf>
    <xf numFmtId="0" fontId="8" fillId="0" borderId="0"/>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 fillId="0" borderId="0"/>
    <xf numFmtId="0" fontId="1" fillId="0" borderId="0">
      <alignment vertical="center"/>
    </xf>
    <xf numFmtId="0" fontId="10" fillId="0" borderId="0">
      <alignment vertical="center"/>
    </xf>
    <xf numFmtId="0" fontId="8" fillId="0" borderId="0"/>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0" fillId="0" borderId="0">
      <alignment vertical="center"/>
    </xf>
    <xf numFmtId="0" fontId="1" fillId="0" borderId="0">
      <alignment vertical="center"/>
    </xf>
    <xf numFmtId="0" fontId="8" fillId="0" borderId="0"/>
    <xf numFmtId="0" fontId="1" fillId="0" borderId="0">
      <alignment vertical="center"/>
    </xf>
    <xf numFmtId="0" fontId="10" fillId="0" borderId="0">
      <alignment vertical="center"/>
    </xf>
    <xf numFmtId="0" fontId="8" fillId="0" borderId="0"/>
    <xf numFmtId="0" fontId="8" fillId="0" borderId="0"/>
    <xf numFmtId="0" fontId="1" fillId="0" borderId="0">
      <alignment vertical="center"/>
    </xf>
    <xf numFmtId="0" fontId="10" fillId="0" borderId="0">
      <alignment vertical="center"/>
    </xf>
    <xf numFmtId="0" fontId="5" fillId="0" borderId="0"/>
    <xf numFmtId="0" fontId="8" fillId="0" borderId="0"/>
    <xf numFmtId="0" fontId="10" fillId="0" borderId="0">
      <alignment vertical="center"/>
    </xf>
  </cellStyleXfs>
  <cellXfs count="1034">
    <xf numFmtId="0" fontId="0" fillId="0" borderId="0" xfId="0">
      <alignment vertical="center"/>
    </xf>
    <xf numFmtId="0" fontId="15" fillId="0" borderId="0" xfId="0" applyFont="1">
      <alignment vertical="center"/>
    </xf>
    <xf numFmtId="0" fontId="15" fillId="0" borderId="0" xfId="0" applyFont="1" applyAlignment="1">
      <alignment horizontal="center" vertical="center"/>
    </xf>
    <xf numFmtId="9" fontId="15" fillId="0" borderId="0" xfId="2" applyFont="1" applyAlignment="1">
      <alignment horizontal="center" vertical="center"/>
    </xf>
    <xf numFmtId="41" fontId="15" fillId="0" borderId="0" xfId="1" applyFont="1" applyAlignment="1">
      <alignment horizontal="center" vertical="center"/>
    </xf>
    <xf numFmtId="41" fontId="15" fillId="0" borderId="0" xfId="1" applyFont="1">
      <alignment vertical="center"/>
    </xf>
    <xf numFmtId="9" fontId="13" fillId="4" borderId="1" xfId="2" applyFont="1" applyFill="1" applyBorder="1" applyAlignment="1">
      <alignment horizontal="center" vertical="center" wrapText="1"/>
    </xf>
    <xf numFmtId="9" fontId="13" fillId="4" borderId="2" xfId="2" applyFont="1" applyFill="1" applyBorder="1" applyAlignment="1">
      <alignment horizontal="center" vertical="center" wrapText="1"/>
    </xf>
    <xf numFmtId="0" fontId="13" fillId="4" borderId="1" xfId="0" applyFont="1" applyFill="1" applyBorder="1" applyAlignment="1">
      <alignment horizontal="center" vertical="center" wrapText="1"/>
    </xf>
    <xf numFmtId="0" fontId="15" fillId="0" borderId="0" xfId="0" applyFont="1" applyAlignment="1">
      <alignment horizontal="center" vertical="center" wrapText="1"/>
    </xf>
    <xf numFmtId="0" fontId="12" fillId="4" borderId="1" xfId="0" applyFont="1" applyFill="1" applyBorder="1" applyAlignment="1">
      <alignment horizontal="center" vertical="center" wrapText="1"/>
    </xf>
    <xf numFmtId="0" fontId="14" fillId="0" borderId="4" xfId="0" quotePrefix="1" applyFont="1" applyFill="1" applyBorder="1" applyAlignment="1">
      <alignment horizontal="left" vertical="center" shrinkToFit="1"/>
    </xf>
    <xf numFmtId="0" fontId="14" fillId="0" borderId="6" xfId="0" applyFont="1" applyBorder="1" applyAlignment="1">
      <alignment horizontal="center" vertical="center" shrinkToFit="1"/>
    </xf>
    <xf numFmtId="186" fontId="14" fillId="0" borderId="7" xfId="1" applyNumberFormat="1" applyFont="1" applyBorder="1" applyAlignment="1">
      <alignment horizontal="right" vertical="center" shrinkToFit="1"/>
    </xf>
    <xf numFmtId="176" fontId="13" fillId="0" borderId="6" xfId="1" applyNumberFormat="1" applyFont="1" applyBorder="1" applyAlignment="1">
      <alignment horizontal="center" vertical="center" shrinkToFit="1"/>
    </xf>
    <xf numFmtId="177" fontId="13" fillId="0" borderId="7" xfId="1" applyNumberFormat="1" applyFont="1" applyBorder="1" applyAlignment="1">
      <alignment horizontal="right" vertical="center" shrinkToFit="1"/>
    </xf>
    <xf numFmtId="9" fontId="13" fillId="0" borderId="7" xfId="2" applyFont="1" applyBorder="1" applyAlignment="1">
      <alignment horizontal="center" vertical="center"/>
    </xf>
    <xf numFmtId="0" fontId="14" fillId="4" borderId="28" xfId="0" applyFont="1" applyFill="1" applyBorder="1" applyAlignment="1">
      <alignment horizontal="center" vertical="center"/>
    </xf>
    <xf numFmtId="0" fontId="15" fillId="3" borderId="25" xfId="0" applyFont="1" applyFill="1" applyBorder="1" applyAlignment="1">
      <alignment horizontal="center" vertical="center"/>
    </xf>
    <xf numFmtId="0" fontId="15" fillId="6" borderId="1" xfId="0" applyFont="1" applyFill="1" applyBorder="1" applyAlignment="1">
      <alignment horizontal="center" vertical="center"/>
    </xf>
    <xf numFmtId="176" fontId="15" fillId="6" borderId="1" xfId="1" applyNumberFormat="1" applyFont="1" applyFill="1" applyBorder="1" applyAlignment="1">
      <alignment vertical="center" wrapText="1"/>
    </xf>
    <xf numFmtId="41" fontId="15" fillId="3" borderId="1" xfId="1" applyFont="1" applyFill="1" applyBorder="1" applyAlignment="1">
      <alignment horizontal="center" vertical="center"/>
    </xf>
    <xf numFmtId="41" fontId="15" fillId="3" borderId="1" xfId="1" applyFont="1" applyFill="1" applyBorder="1">
      <alignment vertical="center"/>
    </xf>
    <xf numFmtId="41" fontId="15" fillId="4" borderId="3" xfId="1" applyFont="1" applyFill="1" applyBorder="1">
      <alignment vertical="center"/>
    </xf>
    <xf numFmtId="41" fontId="15" fillId="4" borderId="1" xfId="1" applyFont="1" applyFill="1" applyBorder="1">
      <alignment vertical="center"/>
    </xf>
    <xf numFmtId="0" fontId="14" fillId="0" borderId="10" xfId="0" applyFont="1" applyBorder="1" applyAlignment="1">
      <alignment horizontal="center" vertical="center" shrinkToFit="1"/>
    </xf>
    <xf numFmtId="186" fontId="14" fillId="0" borderId="11" xfId="1" applyNumberFormat="1" applyFont="1" applyBorder="1" applyAlignment="1">
      <alignment horizontal="right" vertical="center" shrinkToFit="1"/>
    </xf>
    <xf numFmtId="176" fontId="14" fillId="0" borderId="10" xfId="1" applyNumberFormat="1" applyFont="1" applyBorder="1" applyAlignment="1">
      <alignment horizontal="center" vertical="center" shrinkToFit="1"/>
    </xf>
    <xf numFmtId="177" fontId="14" fillId="0" borderId="11" xfId="1" applyNumberFormat="1" applyFont="1" applyBorder="1" applyAlignment="1">
      <alignment horizontal="right" vertical="center" shrinkToFit="1"/>
    </xf>
    <xf numFmtId="0" fontId="15" fillId="0" borderId="0" xfId="0" applyFont="1" applyFill="1">
      <alignment vertical="center"/>
    </xf>
    <xf numFmtId="0" fontId="14" fillId="0" borderId="8" xfId="0" applyFont="1" applyBorder="1" applyAlignment="1">
      <alignment horizontal="left" vertical="center" shrinkToFit="1"/>
    </xf>
    <xf numFmtId="0" fontId="15" fillId="0" borderId="28" xfId="0" applyFont="1" applyFill="1" applyBorder="1" applyAlignment="1">
      <alignment horizontal="center" vertical="center"/>
    </xf>
    <xf numFmtId="0" fontId="15" fillId="0" borderId="25" xfId="0" applyFont="1" applyFill="1" applyBorder="1" applyAlignment="1">
      <alignment horizontal="center" vertical="center"/>
    </xf>
    <xf numFmtId="0" fontId="14" fillId="0" borderId="6" xfId="0" applyFont="1" applyFill="1" applyBorder="1" applyAlignment="1">
      <alignment horizontal="center" vertical="center" shrinkToFit="1"/>
    </xf>
    <xf numFmtId="186" fontId="14" fillId="0" borderId="7" xfId="1" applyNumberFormat="1" applyFont="1" applyFill="1" applyBorder="1" applyAlignment="1">
      <alignment horizontal="right" vertical="center" shrinkToFit="1"/>
    </xf>
    <xf numFmtId="176" fontId="13" fillId="0" borderId="6" xfId="1" applyNumberFormat="1" applyFont="1" applyFill="1" applyBorder="1" applyAlignment="1">
      <alignment horizontal="center" vertical="center" shrinkToFit="1"/>
    </xf>
    <xf numFmtId="177" fontId="13" fillId="0" borderId="7" xfId="1" applyNumberFormat="1" applyFont="1" applyFill="1" applyBorder="1" applyAlignment="1">
      <alignment horizontal="right" vertical="center" shrinkToFit="1"/>
    </xf>
    <xf numFmtId="9" fontId="13" fillId="0" borderId="7" xfId="2" applyFont="1" applyFill="1" applyBorder="1" applyAlignment="1">
      <alignment horizontal="center" vertical="center"/>
    </xf>
    <xf numFmtId="0" fontId="15" fillId="7" borderId="25" xfId="0" applyFont="1" applyFill="1" applyBorder="1" applyAlignment="1">
      <alignment horizontal="center" vertical="center"/>
    </xf>
    <xf numFmtId="0" fontId="15" fillId="7" borderId="1" xfId="0" applyFont="1" applyFill="1" applyBorder="1" applyAlignment="1">
      <alignment horizontal="center" vertical="center"/>
    </xf>
    <xf numFmtId="176" fontId="15" fillId="7" borderId="1" xfId="1" applyNumberFormat="1" applyFont="1" applyFill="1" applyBorder="1" applyAlignment="1">
      <alignment vertical="center" wrapText="1"/>
    </xf>
    <xf numFmtId="41" fontId="15" fillId="7" borderId="1" xfId="1" applyFont="1" applyFill="1" applyBorder="1" applyAlignment="1">
      <alignment horizontal="center" vertical="center"/>
    </xf>
    <xf numFmtId="41" fontId="15" fillId="7" borderId="1" xfId="1" applyFont="1" applyFill="1" applyBorder="1">
      <alignment vertical="center"/>
    </xf>
    <xf numFmtId="41" fontId="15" fillId="7" borderId="3" xfId="1" applyFont="1" applyFill="1" applyBorder="1">
      <alignment vertical="center"/>
    </xf>
    <xf numFmtId="0" fontId="15" fillId="7" borderId="0" xfId="0" applyFont="1" applyFill="1">
      <alignment vertical="center"/>
    </xf>
    <xf numFmtId="0" fontId="14" fillId="0" borderId="10" xfId="0" applyFont="1" applyFill="1" applyBorder="1" applyAlignment="1">
      <alignment horizontal="center" vertical="center" shrinkToFit="1"/>
    </xf>
    <xf numFmtId="186" fontId="14" fillId="0" borderId="11" xfId="1" applyNumberFormat="1" applyFont="1" applyFill="1" applyBorder="1" applyAlignment="1">
      <alignment horizontal="right" vertical="center" shrinkToFit="1"/>
    </xf>
    <xf numFmtId="176" fontId="14" fillId="0" borderId="10" xfId="1" applyNumberFormat="1" applyFont="1" applyFill="1" applyBorder="1" applyAlignment="1">
      <alignment horizontal="center" vertical="center" shrinkToFit="1"/>
    </xf>
    <xf numFmtId="177" fontId="14" fillId="0" borderId="11" xfId="1" applyNumberFormat="1" applyFont="1" applyFill="1" applyBorder="1" applyAlignment="1">
      <alignment horizontal="right" vertical="center" shrinkToFit="1"/>
    </xf>
    <xf numFmtId="0" fontId="14" fillId="0" borderId="8" xfId="0" applyFont="1" applyFill="1" applyBorder="1" applyAlignment="1">
      <alignment horizontal="left" vertical="center" shrinkToFit="1"/>
    </xf>
    <xf numFmtId="0" fontId="14" fillId="4" borderId="25" xfId="0" applyFont="1" applyFill="1" applyBorder="1" applyAlignment="1">
      <alignment horizontal="center" vertical="center"/>
    </xf>
    <xf numFmtId="0" fontId="15" fillId="0" borderId="27" xfId="0" applyFont="1" applyFill="1" applyBorder="1" applyAlignment="1">
      <alignment horizontal="center" vertical="center"/>
    </xf>
    <xf numFmtId="0" fontId="14" fillId="0" borderId="4" xfId="0" quotePrefix="1" applyFont="1" applyBorder="1" applyAlignment="1">
      <alignment horizontal="left" vertical="center" shrinkToFit="1"/>
    </xf>
    <xf numFmtId="0" fontId="14" fillId="3" borderId="25" xfId="0" applyFont="1" applyFill="1" applyBorder="1" applyAlignment="1">
      <alignment horizontal="center" vertical="center"/>
    </xf>
    <xf numFmtId="41" fontId="15" fillId="0" borderId="0" xfId="1" applyFont="1" applyFill="1" applyBorder="1">
      <alignment vertical="center"/>
    </xf>
    <xf numFmtId="176" fontId="15" fillId="0" borderId="0" xfId="1" applyNumberFormat="1" applyFont="1">
      <alignment vertical="center"/>
    </xf>
    <xf numFmtId="0" fontId="14" fillId="0" borderId="25" xfId="0" applyFont="1" applyFill="1" applyBorder="1" applyAlignment="1">
      <alignment horizontal="center" vertical="center"/>
    </xf>
    <xf numFmtId="0" fontId="15" fillId="0" borderId="1" xfId="0" applyFont="1" applyFill="1" applyBorder="1" applyAlignment="1">
      <alignment horizontal="center" vertical="center"/>
    </xf>
    <xf numFmtId="176" fontId="15" fillId="0" borderId="1" xfId="1" applyNumberFormat="1" applyFont="1" applyFill="1" applyBorder="1" applyAlignment="1">
      <alignment vertical="center" wrapText="1"/>
    </xf>
    <xf numFmtId="41" fontId="15" fillId="0" borderId="1" xfId="1" applyFont="1" applyFill="1" applyBorder="1" applyAlignment="1">
      <alignment horizontal="center" vertical="center"/>
    </xf>
    <xf numFmtId="41" fontId="15" fillId="0" borderId="1" xfId="1" applyFont="1" applyFill="1" applyBorder="1">
      <alignment vertical="center"/>
    </xf>
    <xf numFmtId="41" fontId="15" fillId="0" borderId="3" xfId="1" applyFont="1" applyFill="1" applyBorder="1">
      <alignment vertical="center"/>
    </xf>
    <xf numFmtId="41" fontId="15" fillId="0" borderId="0" xfId="1" applyFont="1" applyFill="1">
      <alignment vertical="center"/>
    </xf>
    <xf numFmtId="0" fontId="15" fillId="0" borderId="0" xfId="0" applyFont="1" applyFill="1" applyAlignment="1">
      <alignment horizontal="center" vertical="center"/>
    </xf>
    <xf numFmtId="9" fontId="15" fillId="0" borderId="0" xfId="2" applyFont="1" applyFill="1" applyAlignment="1">
      <alignment horizontal="center" vertical="center"/>
    </xf>
    <xf numFmtId="41" fontId="15" fillId="0" borderId="0" xfId="1" applyFont="1" applyFill="1" applyAlignment="1">
      <alignment horizontal="center" vertical="center"/>
    </xf>
    <xf numFmtId="0" fontId="12" fillId="0" borderId="1" xfId="0" applyFont="1" applyFill="1" applyBorder="1" applyAlignment="1">
      <alignment horizontal="center" vertical="center" wrapText="1"/>
    </xf>
    <xf numFmtId="0" fontId="17" fillId="0" borderId="4" xfId="0" quotePrefix="1" applyFont="1" applyFill="1" applyBorder="1" applyAlignment="1">
      <alignment horizontal="left" vertical="center" shrinkToFit="1"/>
    </xf>
    <xf numFmtId="0" fontId="18" fillId="0" borderId="0" xfId="0" applyFont="1" applyFill="1">
      <alignment vertical="center"/>
    </xf>
    <xf numFmtId="0" fontId="18" fillId="0" borderId="25" xfId="0" applyFont="1" applyFill="1" applyBorder="1" applyAlignment="1">
      <alignment horizontal="center" vertical="center"/>
    </xf>
    <xf numFmtId="0" fontId="17" fillId="0" borderId="13" xfId="0" applyFont="1" applyFill="1" applyBorder="1" applyAlignment="1">
      <alignment horizontal="center" vertical="center"/>
    </xf>
    <xf numFmtId="177" fontId="18" fillId="0" borderId="27" xfId="1" applyNumberFormat="1" applyFont="1" applyFill="1" applyBorder="1" applyAlignment="1">
      <alignment horizontal="center" vertical="center"/>
    </xf>
    <xf numFmtId="9" fontId="16" fillId="0" borderId="7" xfId="2" applyFont="1" applyFill="1" applyBorder="1" applyAlignment="1">
      <alignment horizontal="center" vertical="center"/>
    </xf>
    <xf numFmtId="0" fontId="17" fillId="0" borderId="25" xfId="0" applyFont="1" applyFill="1" applyBorder="1" applyAlignment="1">
      <alignment horizontal="center" vertical="center"/>
    </xf>
    <xf numFmtId="0" fontId="17" fillId="0" borderId="8" xfId="0" applyFont="1" applyFill="1" applyBorder="1" applyAlignment="1">
      <alignment horizontal="left" vertical="center" shrinkToFit="1"/>
    </xf>
    <xf numFmtId="0" fontId="18" fillId="0" borderId="27" xfId="0" applyFont="1" applyFill="1" applyBorder="1" applyAlignment="1">
      <alignment horizontal="center" vertical="center"/>
    </xf>
    <xf numFmtId="0" fontId="18" fillId="0" borderId="0" xfId="0" applyFont="1" applyFill="1" applyAlignment="1">
      <alignment horizontal="center" vertical="center"/>
    </xf>
    <xf numFmtId="41" fontId="18" fillId="0" borderId="0" xfId="1" applyFont="1">
      <alignment vertical="center"/>
    </xf>
    <xf numFmtId="0" fontId="18" fillId="0" borderId="0" xfId="0" applyFont="1">
      <alignment vertical="center"/>
    </xf>
    <xf numFmtId="0" fontId="18" fillId="3" borderId="25" xfId="0" applyFont="1" applyFill="1" applyBorder="1" applyAlignment="1">
      <alignment horizontal="center" vertical="center"/>
    </xf>
    <xf numFmtId="0" fontId="18" fillId="6" borderId="1" xfId="0" applyFont="1" applyFill="1" applyBorder="1" applyAlignment="1">
      <alignment horizontal="center" vertical="center"/>
    </xf>
    <xf numFmtId="176" fontId="18" fillId="6" borderId="1" xfId="1" applyNumberFormat="1" applyFont="1" applyFill="1" applyBorder="1" applyAlignment="1">
      <alignment vertical="center" wrapText="1"/>
    </xf>
    <xf numFmtId="41" fontId="18" fillId="3" borderId="1" xfId="1" applyFont="1" applyFill="1" applyBorder="1" applyAlignment="1">
      <alignment horizontal="center" vertical="center"/>
    </xf>
    <xf numFmtId="41" fontId="18" fillId="3" borderId="1" xfId="1" applyFont="1" applyFill="1" applyBorder="1">
      <alignment vertical="center"/>
    </xf>
    <xf numFmtId="178" fontId="18" fillId="3" borderId="26" xfId="0" applyNumberFormat="1" applyFont="1" applyFill="1" applyBorder="1" applyAlignment="1">
      <alignment horizontal="center" vertical="center"/>
    </xf>
    <xf numFmtId="0" fontId="18" fillId="0" borderId="28" xfId="0" applyFont="1" applyFill="1" applyBorder="1" applyAlignment="1">
      <alignment horizontal="center" vertical="center"/>
    </xf>
    <xf numFmtId="177" fontId="18" fillId="0" borderId="29" xfId="1" applyNumberFormat="1" applyFont="1" applyFill="1" applyBorder="1" applyAlignment="1">
      <alignment horizontal="center" vertical="center"/>
    </xf>
    <xf numFmtId="179" fontId="18" fillId="6" borderId="1" xfId="2" applyNumberFormat="1" applyFont="1" applyFill="1" applyBorder="1" applyAlignment="1">
      <alignment horizontal="center" vertical="center"/>
    </xf>
    <xf numFmtId="41" fontId="18" fillId="5" borderId="1" xfId="1" applyFont="1" applyFill="1" applyBorder="1" applyAlignment="1">
      <alignment horizontal="center" vertical="center"/>
    </xf>
    <xf numFmtId="0" fontId="17" fillId="0" borderId="28" xfId="0" applyFont="1" applyFill="1" applyBorder="1" applyAlignment="1">
      <alignment horizontal="center" vertical="center"/>
    </xf>
    <xf numFmtId="0" fontId="17" fillId="4" borderId="25" xfId="0" applyFont="1" applyFill="1" applyBorder="1" applyAlignment="1">
      <alignment horizontal="center" vertical="center"/>
    </xf>
    <xf numFmtId="41" fontId="18" fillId="4" borderId="3" xfId="1" applyFont="1" applyFill="1" applyBorder="1">
      <alignment vertical="center"/>
    </xf>
    <xf numFmtId="41" fontId="18" fillId="4" borderId="1" xfId="1" applyFont="1" applyFill="1" applyBorder="1">
      <alignment vertical="center"/>
    </xf>
    <xf numFmtId="41" fontId="15" fillId="4" borderId="3" xfId="1" applyFont="1" applyFill="1" applyBorder="1" applyAlignment="1">
      <alignment horizontal="center" vertical="center"/>
    </xf>
    <xf numFmtId="41" fontId="15" fillId="4" borderId="1" xfId="1" applyFont="1" applyFill="1" applyBorder="1" applyAlignment="1">
      <alignment horizontal="center" vertical="center"/>
    </xf>
    <xf numFmtId="0" fontId="14" fillId="0" borderId="13" xfId="0" applyFont="1" applyFill="1" applyBorder="1" applyAlignment="1">
      <alignment horizontal="center" vertical="center"/>
    </xf>
    <xf numFmtId="0" fontId="14" fillId="0" borderId="28" xfId="0" applyFont="1" applyFill="1" applyBorder="1" applyAlignment="1">
      <alignment horizontal="center" vertical="center"/>
    </xf>
    <xf numFmtId="41" fontId="15" fillId="0" borderId="3" xfId="1" applyFont="1" applyFill="1" applyBorder="1" applyAlignment="1">
      <alignment horizontal="center" vertical="center"/>
    </xf>
    <xf numFmtId="9" fontId="13" fillId="8" borderId="7" xfId="2" applyFont="1" applyFill="1" applyBorder="1" applyAlignment="1">
      <alignment horizontal="center" vertical="center"/>
    </xf>
    <xf numFmtId="178" fontId="14" fillId="8" borderId="11" xfId="0" applyNumberFormat="1" applyFont="1" applyFill="1" applyBorder="1" applyAlignment="1">
      <alignment horizontal="center" vertical="center"/>
    </xf>
    <xf numFmtId="41" fontId="13" fillId="0" borderId="7" xfId="1" applyNumberFormat="1" applyFont="1" applyFill="1" applyBorder="1" applyAlignment="1">
      <alignment horizontal="right" vertical="center" shrinkToFit="1"/>
    </xf>
    <xf numFmtId="41" fontId="18" fillId="7" borderId="1" xfId="1" applyFont="1" applyFill="1" applyBorder="1" applyAlignment="1">
      <alignment horizontal="center" vertical="center"/>
    </xf>
    <xf numFmtId="41" fontId="18" fillId="7" borderId="1" xfId="1" applyFont="1" applyFill="1" applyBorder="1">
      <alignment vertical="center"/>
    </xf>
    <xf numFmtId="176" fontId="27" fillId="7" borderId="1" xfId="1" applyNumberFormat="1" applyFont="1" applyFill="1" applyBorder="1" applyAlignment="1">
      <alignment vertical="center" wrapText="1"/>
    </xf>
    <xf numFmtId="41" fontId="15" fillId="0" borderId="1" xfId="1" applyFont="1" applyFill="1" applyBorder="1" applyAlignment="1">
      <alignment horizontal="center" vertical="center" shrinkToFit="1"/>
    </xf>
    <xf numFmtId="0" fontId="30" fillId="0" borderId="31" xfId="0" applyFont="1" applyFill="1" applyBorder="1" applyAlignment="1">
      <alignment horizontal="center" vertical="center" wrapText="1"/>
    </xf>
    <xf numFmtId="0" fontId="14" fillId="0" borderId="31" xfId="0" applyFont="1" applyFill="1" applyBorder="1" applyAlignment="1">
      <alignment horizontal="center" vertical="center" wrapText="1"/>
    </xf>
    <xf numFmtId="0" fontId="13" fillId="0" borderId="4" xfId="0" applyFont="1" applyFill="1" applyBorder="1" applyAlignment="1">
      <alignment horizontal="center" vertical="center" wrapText="1"/>
    </xf>
    <xf numFmtId="0" fontId="13" fillId="0" borderId="30" xfId="0" applyFont="1" applyFill="1" applyBorder="1" applyAlignment="1">
      <alignment horizontal="center" vertical="center" wrapText="1"/>
    </xf>
    <xf numFmtId="9" fontId="14" fillId="0" borderId="4" xfId="2" applyFont="1" applyFill="1" applyBorder="1" applyAlignment="1">
      <alignment horizontal="center" vertical="center"/>
    </xf>
    <xf numFmtId="9" fontId="14" fillId="0" borderId="8" xfId="2" applyFont="1" applyFill="1" applyBorder="1" applyAlignment="1">
      <alignment horizontal="center" vertical="center"/>
    </xf>
    <xf numFmtId="9" fontId="14" fillId="4" borderId="4" xfId="2" applyFont="1" applyFill="1" applyBorder="1" applyAlignment="1">
      <alignment horizontal="center" vertical="center"/>
    </xf>
    <xf numFmtId="9" fontId="14" fillId="4" borderId="8" xfId="2" applyFont="1" applyFill="1" applyBorder="1" applyAlignment="1">
      <alignment horizontal="center" vertical="center"/>
    </xf>
    <xf numFmtId="0" fontId="22" fillId="0" borderId="31" xfId="0" applyFont="1" applyFill="1" applyBorder="1" applyAlignment="1">
      <alignment horizontal="center" vertical="center" wrapText="1"/>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24" fillId="0" borderId="30" xfId="0" applyFont="1" applyFill="1" applyBorder="1" applyAlignment="1">
      <alignment horizontal="center" vertical="center" wrapText="1"/>
    </xf>
    <xf numFmtId="9" fontId="14" fillId="0" borderId="4" xfId="2" applyFont="1" applyFill="1" applyBorder="1" applyAlignment="1">
      <alignment horizontal="center" vertical="center" shrinkToFit="1"/>
    </xf>
    <xf numFmtId="9" fontId="14" fillId="0" borderId="8" xfId="2" applyFont="1" applyFill="1" applyBorder="1" applyAlignment="1">
      <alignment horizontal="center" vertical="center" shrinkToFit="1"/>
    </xf>
    <xf numFmtId="9" fontId="14" fillId="4" borderId="4" xfId="2" applyFont="1" applyFill="1" applyBorder="1" applyAlignment="1">
      <alignment horizontal="center" vertical="center" shrinkToFit="1"/>
    </xf>
    <xf numFmtId="9" fontId="14" fillId="4" borderId="8" xfId="2" applyFont="1" applyFill="1" applyBorder="1" applyAlignment="1">
      <alignment horizontal="center" vertical="center" shrinkToFit="1"/>
    </xf>
    <xf numFmtId="49" fontId="15" fillId="0" borderId="32" xfId="0" applyNumberFormat="1" applyFont="1" applyFill="1" applyBorder="1" applyAlignment="1">
      <alignment horizontal="center" vertical="center" wrapText="1"/>
    </xf>
    <xf numFmtId="49" fontId="15" fillId="0" borderId="33" xfId="0" applyNumberFormat="1" applyFont="1" applyFill="1" applyBorder="1" applyAlignment="1">
      <alignment horizontal="center" vertical="center" wrapText="1"/>
    </xf>
    <xf numFmtId="49" fontId="14" fillId="0" borderId="4" xfId="0" applyNumberFormat="1" applyFont="1" applyBorder="1" applyAlignment="1">
      <alignment vertical="center" wrapText="1"/>
    </xf>
    <xf numFmtId="49" fontId="14" fillId="0" borderId="12" xfId="0" applyNumberFormat="1" applyFont="1" applyBorder="1" applyAlignment="1">
      <alignment vertical="center" wrapText="1"/>
    </xf>
    <xf numFmtId="0" fontId="14" fillId="0" borderId="4" xfId="0" applyFont="1" applyBorder="1" applyAlignment="1">
      <alignment horizontal="left" vertical="center" wrapText="1"/>
    </xf>
    <xf numFmtId="0" fontId="14" fillId="0" borderId="8" xfId="0" applyFont="1" applyBorder="1" applyAlignment="1">
      <alignment horizontal="left" vertical="center" wrapText="1"/>
    </xf>
    <xf numFmtId="49" fontId="14" fillId="0" borderId="4" xfId="0" applyNumberFormat="1" applyFont="1" applyFill="1" applyBorder="1" applyAlignment="1">
      <alignment vertical="center" wrapText="1"/>
    </xf>
    <xf numFmtId="49" fontId="14" fillId="0" borderId="12" xfId="0" applyNumberFormat="1" applyFont="1" applyFill="1" applyBorder="1" applyAlignment="1">
      <alignment vertical="center" wrapText="1"/>
    </xf>
    <xf numFmtId="49" fontId="23" fillId="0" borderId="4" xfId="0" applyNumberFormat="1" applyFont="1" applyFill="1" applyBorder="1" applyAlignment="1">
      <alignment vertical="center" wrapText="1"/>
    </xf>
    <xf numFmtId="49" fontId="23" fillId="0" borderId="12" xfId="0" applyNumberFormat="1" applyFont="1" applyFill="1" applyBorder="1" applyAlignment="1">
      <alignment vertical="center" wrapText="1"/>
    </xf>
    <xf numFmtId="0" fontId="14" fillId="0" borderId="4" xfId="0" applyFont="1" applyFill="1" applyBorder="1" applyAlignment="1">
      <alignment horizontal="left" vertical="center" wrapText="1"/>
    </xf>
    <xf numFmtId="0" fontId="14" fillId="0" borderId="8" xfId="0" applyFont="1" applyFill="1" applyBorder="1" applyAlignment="1">
      <alignment horizontal="left" vertical="center" wrapText="1"/>
    </xf>
    <xf numFmtId="49" fontId="23" fillId="0" borderId="4" xfId="0" applyNumberFormat="1" applyFont="1" applyBorder="1" applyAlignment="1">
      <alignment vertical="center" wrapText="1"/>
    </xf>
    <xf numFmtId="49" fontId="23" fillId="0" borderId="12" xfId="0" applyNumberFormat="1" applyFont="1" applyBorder="1" applyAlignment="1">
      <alignment vertical="center" wrapText="1"/>
    </xf>
    <xf numFmtId="49" fontId="14" fillId="8" borderId="4" xfId="0" quotePrefix="1" applyNumberFormat="1" applyFont="1" applyFill="1" applyBorder="1" applyAlignment="1">
      <alignment vertical="center" wrapText="1" shrinkToFit="1"/>
    </xf>
    <xf numFmtId="49" fontId="14" fillId="8" borderId="12" xfId="0" applyNumberFormat="1" applyFont="1" applyFill="1" applyBorder="1" applyAlignment="1">
      <alignment vertical="center" wrapText="1" shrinkToFit="1"/>
    </xf>
    <xf numFmtId="0" fontId="23" fillId="0" borderId="4" xfId="0" applyFont="1" applyFill="1" applyBorder="1" applyAlignment="1">
      <alignment horizontal="left" vertical="center" wrapText="1"/>
    </xf>
    <xf numFmtId="49" fontId="14" fillId="0" borderId="4" xfId="0" applyNumberFormat="1" applyFont="1" applyFill="1" applyBorder="1" applyAlignment="1">
      <alignment horizontal="left" vertical="center" wrapText="1"/>
    </xf>
    <xf numFmtId="49" fontId="14" fillId="0" borderId="12" xfId="0" applyNumberFormat="1" applyFont="1" applyFill="1" applyBorder="1" applyAlignment="1">
      <alignment horizontal="left" vertical="center" wrapText="1"/>
    </xf>
    <xf numFmtId="0" fontId="23" fillId="0" borderId="31" xfId="0" applyFont="1" applyFill="1" applyBorder="1" applyAlignment="1">
      <alignment horizontal="center" vertical="center" wrapText="1"/>
    </xf>
    <xf numFmtId="49" fontId="23" fillId="0" borderId="4" xfId="0" applyNumberFormat="1" applyFont="1" applyBorder="1" applyAlignment="1">
      <alignment horizontal="left" vertical="center" wrapText="1"/>
    </xf>
    <xf numFmtId="49" fontId="23" fillId="0" borderId="12" xfId="0" applyNumberFormat="1" applyFont="1" applyBorder="1" applyAlignment="1">
      <alignment horizontal="left" vertical="center" wrapText="1"/>
    </xf>
    <xf numFmtId="0" fontId="14" fillId="0" borderId="4" xfId="0" quotePrefix="1" applyFont="1" applyFill="1" applyBorder="1" applyAlignment="1">
      <alignment vertical="center" wrapText="1"/>
    </xf>
    <xf numFmtId="0" fontId="14" fillId="0" borderId="8" xfId="0" applyFont="1" applyFill="1" applyBorder="1" applyAlignment="1">
      <alignment vertical="center" wrapText="1"/>
    </xf>
    <xf numFmtId="0" fontId="14" fillId="0" borderId="12" xfId="0" applyFont="1" applyFill="1" applyBorder="1" applyAlignment="1">
      <alignment vertical="center" wrapText="1"/>
    </xf>
    <xf numFmtId="49" fontId="15" fillId="0" borderId="32" xfId="0" applyNumberFormat="1" applyFont="1" applyBorder="1" applyAlignment="1">
      <alignment horizontal="center" vertical="center" wrapText="1"/>
    </xf>
    <xf numFmtId="49" fontId="15" fillId="0" borderId="33" xfId="0" applyNumberFormat="1" applyFont="1" applyBorder="1" applyAlignment="1">
      <alignment horizontal="center" vertical="center" wrapText="1"/>
    </xf>
    <xf numFmtId="0" fontId="14" fillId="0" borderId="12" xfId="0" quotePrefix="1" applyFont="1" applyFill="1" applyBorder="1" applyAlignment="1">
      <alignment vertical="center" wrapText="1"/>
    </xf>
    <xf numFmtId="0" fontId="23" fillId="0" borderId="4" xfId="0" quotePrefix="1" applyFont="1" applyFill="1" applyBorder="1" applyAlignment="1">
      <alignment vertical="center" wrapText="1"/>
    </xf>
    <xf numFmtId="0" fontId="23" fillId="0" borderId="12" xfId="0" applyFont="1" applyFill="1" applyBorder="1" applyAlignment="1">
      <alignment vertical="center" wrapText="1"/>
    </xf>
    <xf numFmtId="0" fontId="28" fillId="0" borderId="31" xfId="0" applyFont="1" applyFill="1" applyBorder="1" applyAlignment="1">
      <alignment horizontal="center" vertical="center" wrapText="1"/>
    </xf>
    <xf numFmtId="0" fontId="29" fillId="0" borderId="31" xfId="0" applyFont="1" applyFill="1" applyBorder="1" applyAlignment="1">
      <alignment horizontal="center" vertical="center" wrapText="1"/>
    </xf>
    <xf numFmtId="9" fontId="14" fillId="0" borderId="4" xfId="2" applyFont="1" applyBorder="1" applyAlignment="1">
      <alignment horizontal="center" vertical="center" shrinkToFit="1"/>
    </xf>
    <xf numFmtId="9" fontId="14" fillId="0" borderId="8" xfId="2" applyFont="1" applyBorder="1" applyAlignment="1">
      <alignment horizontal="center" vertical="center" shrinkToFit="1"/>
    </xf>
    <xf numFmtId="49" fontId="15" fillId="0" borderId="22" xfId="0" applyNumberFormat="1" applyFont="1" applyFill="1" applyBorder="1" applyAlignment="1">
      <alignment horizontal="center" vertical="center" wrapText="1"/>
    </xf>
    <xf numFmtId="49" fontId="15" fillId="0" borderId="16" xfId="0" applyNumberFormat="1" applyFont="1" applyFill="1" applyBorder="1" applyAlignment="1">
      <alignment horizontal="center" vertical="center" wrapText="1"/>
    </xf>
    <xf numFmtId="49" fontId="15" fillId="0" borderId="22" xfId="0" applyNumberFormat="1" applyFont="1" applyBorder="1" applyAlignment="1">
      <alignment horizontal="center" vertical="center" wrapText="1"/>
    </xf>
    <xf numFmtId="49" fontId="15" fillId="0" borderId="16" xfId="0" applyNumberFormat="1" applyFont="1" applyBorder="1" applyAlignment="1">
      <alignment horizontal="center" vertical="center" wrapText="1"/>
    </xf>
    <xf numFmtId="49" fontId="23" fillId="0" borderId="4" xfId="0" applyNumberFormat="1" applyFont="1" applyFill="1" applyBorder="1" applyAlignment="1">
      <alignment horizontal="left" vertical="center" wrapText="1"/>
    </xf>
    <xf numFmtId="49" fontId="23" fillId="0" borderId="12" xfId="0" applyNumberFormat="1" applyFont="1" applyFill="1" applyBorder="1" applyAlignment="1">
      <alignment horizontal="left" vertical="center" wrapText="1"/>
    </xf>
    <xf numFmtId="0" fontId="31" fillId="0" borderId="4" xfId="0" applyFont="1" applyFill="1" applyBorder="1" applyAlignment="1">
      <alignment horizontal="left" vertical="center" wrapText="1"/>
    </xf>
    <xf numFmtId="0" fontId="31" fillId="0" borderId="8" xfId="0" applyFont="1" applyFill="1" applyBorder="1" applyAlignment="1">
      <alignment horizontal="left" vertical="center" wrapText="1"/>
    </xf>
    <xf numFmtId="0" fontId="14" fillId="0" borderId="18" xfId="0" applyFont="1" applyFill="1" applyBorder="1" applyAlignment="1">
      <alignment horizontal="center" vertical="center" shrinkToFit="1"/>
    </xf>
    <xf numFmtId="0" fontId="14" fillId="0" borderId="11" xfId="0" applyFont="1" applyFill="1" applyBorder="1" applyAlignment="1">
      <alignment horizontal="center" vertical="center" shrinkToFit="1"/>
    </xf>
    <xf numFmtId="0" fontId="14" fillId="0" borderId="4" xfId="2" quotePrefix="1" applyNumberFormat="1" applyFont="1" applyFill="1" applyBorder="1" applyAlignment="1">
      <alignment vertical="center" wrapText="1"/>
    </xf>
    <xf numFmtId="0" fontId="14" fillId="0" borderId="8" xfId="2" applyNumberFormat="1" applyFont="1" applyFill="1" applyBorder="1" applyAlignment="1">
      <alignment vertical="center" wrapText="1"/>
    </xf>
    <xf numFmtId="0" fontId="31" fillId="0" borderId="16" xfId="0" applyFont="1" applyFill="1" applyBorder="1" applyAlignment="1">
      <alignment horizontal="center" vertical="center" wrapText="1"/>
    </xf>
    <xf numFmtId="49" fontId="15" fillId="0" borderId="4" xfId="0" applyNumberFormat="1" applyFont="1" applyFill="1" applyBorder="1" applyAlignment="1">
      <alignment horizontal="center" vertical="center" wrapText="1"/>
    </xf>
    <xf numFmtId="49" fontId="15" fillId="0" borderId="8" xfId="0" applyNumberFormat="1" applyFont="1" applyFill="1" applyBorder="1" applyAlignment="1">
      <alignment horizontal="center" vertical="center" wrapText="1"/>
    </xf>
    <xf numFmtId="0" fontId="14" fillId="0" borderId="31" xfId="0" applyFont="1" applyBorder="1" applyAlignment="1">
      <alignment horizontal="center" vertical="center" wrapText="1"/>
    </xf>
    <xf numFmtId="0" fontId="14" fillId="0" borderId="16"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23" fillId="0" borderId="16" xfId="0" applyFont="1" applyFill="1" applyBorder="1" applyAlignment="1">
      <alignment horizontal="center" vertical="center" wrapText="1"/>
    </xf>
    <xf numFmtId="49" fontId="15" fillId="0" borderId="4" xfId="0" applyNumberFormat="1" applyFont="1" applyBorder="1" applyAlignment="1">
      <alignment horizontal="center" vertical="center" wrapText="1"/>
    </xf>
    <xf numFmtId="49" fontId="15" fillId="0" borderId="8" xfId="0" applyNumberFormat="1" applyFont="1" applyBorder="1" applyAlignment="1">
      <alignment horizontal="center" vertical="center" wrapText="1"/>
    </xf>
    <xf numFmtId="0" fontId="23" fillId="0" borderId="31" xfId="0" applyFont="1" applyFill="1" applyBorder="1" applyAlignment="1">
      <alignment horizontal="center" vertical="center" wrapText="1" shrinkToFit="1"/>
    </xf>
    <xf numFmtId="0" fontId="13" fillId="4" borderId="1" xfId="0" applyFont="1" applyFill="1" applyBorder="1" applyAlignment="1">
      <alignment horizontal="center" vertical="center"/>
    </xf>
    <xf numFmtId="0" fontId="14" fillId="0" borderId="8" xfId="2" quotePrefix="1" applyNumberFormat="1" applyFont="1" applyFill="1" applyBorder="1" applyAlignment="1">
      <alignment vertical="center" wrapText="1"/>
    </xf>
    <xf numFmtId="0" fontId="14" fillId="0" borderId="4" xfId="2" quotePrefix="1" applyNumberFormat="1" applyFont="1" applyFill="1" applyBorder="1" applyAlignment="1">
      <alignment horizontal="center" vertical="center" wrapText="1"/>
    </xf>
    <xf numFmtId="0" fontId="14" fillId="0" borderId="8" xfId="2" applyNumberFormat="1" applyFont="1" applyFill="1" applyBorder="1" applyAlignment="1">
      <alignment horizontal="center" vertical="center" wrapText="1"/>
    </xf>
    <xf numFmtId="0" fontId="14" fillId="0" borderId="4" xfId="2" quotePrefix="1" applyNumberFormat="1" applyFont="1" applyFill="1" applyBorder="1" applyAlignment="1">
      <alignment horizontal="left" vertical="center" wrapText="1"/>
    </xf>
    <xf numFmtId="0" fontId="14" fillId="0" borderId="8" xfId="2" applyNumberFormat="1" applyFont="1" applyFill="1" applyBorder="1" applyAlignment="1">
      <alignment horizontal="left" vertical="center" wrapText="1"/>
    </xf>
    <xf numFmtId="189" fontId="13" fillId="0" borderId="5" xfId="0" applyNumberFormat="1" applyFont="1" applyFill="1" applyBorder="1" applyAlignment="1">
      <alignment horizontal="center" vertical="center" wrapText="1"/>
    </xf>
    <xf numFmtId="189" fontId="13" fillId="0" borderId="9" xfId="0" applyNumberFormat="1"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4" xfId="2" quotePrefix="1" applyNumberFormat="1" applyFont="1" applyBorder="1" applyAlignment="1">
      <alignment vertical="center" wrapText="1"/>
    </xf>
    <xf numFmtId="0" fontId="14" fillId="0" borderId="8" xfId="2" applyNumberFormat="1" applyFont="1" applyBorder="1" applyAlignment="1">
      <alignment vertical="center" wrapText="1"/>
    </xf>
    <xf numFmtId="0" fontId="23" fillId="0" borderId="4" xfId="2" quotePrefix="1" applyNumberFormat="1" applyFont="1" applyFill="1" applyBorder="1" applyAlignment="1">
      <alignment vertical="center" wrapText="1"/>
    </xf>
    <xf numFmtId="0" fontId="23" fillId="0" borderId="8" xfId="2" applyNumberFormat="1" applyFont="1" applyFill="1" applyBorder="1" applyAlignment="1">
      <alignment vertical="center" wrapText="1"/>
    </xf>
    <xf numFmtId="0" fontId="31" fillId="0" borderId="4" xfId="2" quotePrefix="1" applyNumberFormat="1" applyFont="1" applyFill="1" applyBorder="1" applyAlignment="1">
      <alignment vertical="center" wrapText="1"/>
    </xf>
    <xf numFmtId="0" fontId="31" fillId="0" borderId="8" xfId="2" applyNumberFormat="1" applyFont="1" applyFill="1" applyBorder="1" applyAlignment="1">
      <alignment vertical="center" wrapText="1"/>
    </xf>
    <xf numFmtId="49" fontId="15" fillId="7" borderId="4" xfId="0" applyNumberFormat="1" applyFont="1" applyFill="1" applyBorder="1" applyAlignment="1">
      <alignment horizontal="center" vertical="center" wrapText="1"/>
    </xf>
    <xf numFmtId="49" fontId="15" fillId="0" borderId="32" xfId="0" applyNumberFormat="1" applyFont="1" applyFill="1" applyBorder="1" applyAlignment="1">
      <alignment horizontal="center" vertical="center" wrapText="1"/>
    </xf>
    <xf numFmtId="49" fontId="15" fillId="0" borderId="33" xfId="0" applyNumberFormat="1" applyFont="1" applyFill="1" applyBorder="1" applyAlignment="1">
      <alignment horizontal="center" vertical="center" wrapText="1"/>
    </xf>
    <xf numFmtId="0" fontId="14" fillId="0" borderId="3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13" fillId="0" borderId="4" xfId="0" applyFont="1" applyFill="1" applyBorder="1" applyAlignment="1">
      <alignment horizontal="center" vertical="center" wrapText="1"/>
    </xf>
    <xf numFmtId="0" fontId="13" fillId="0" borderId="30" xfId="0" applyFont="1" applyFill="1" applyBorder="1" applyAlignment="1">
      <alignment horizontal="center" vertical="center" wrapText="1"/>
    </xf>
    <xf numFmtId="0" fontId="23" fillId="0" borderId="31" xfId="0" applyFont="1" applyFill="1" applyBorder="1" applyAlignment="1">
      <alignment horizontal="center" vertical="center" wrapText="1"/>
    </xf>
    <xf numFmtId="9" fontId="14" fillId="0" borderId="4" xfId="2" applyFont="1" applyFill="1" applyBorder="1" applyAlignment="1">
      <alignment horizontal="center" vertical="center" shrinkToFit="1"/>
    </xf>
    <xf numFmtId="9" fontId="14" fillId="0" borderId="8" xfId="2" applyFont="1" applyFill="1" applyBorder="1" applyAlignment="1">
      <alignment horizontal="center" vertical="center" shrinkToFit="1"/>
    </xf>
    <xf numFmtId="9" fontId="14" fillId="4" borderId="4" xfId="2" applyFont="1" applyFill="1" applyBorder="1" applyAlignment="1">
      <alignment horizontal="center" vertical="center" shrinkToFit="1"/>
    </xf>
    <xf numFmtId="9" fontId="14" fillId="4" borderId="8" xfId="2" applyFont="1" applyFill="1" applyBorder="1" applyAlignment="1">
      <alignment horizontal="center" vertical="center" shrinkToFit="1"/>
    </xf>
    <xf numFmtId="9" fontId="14" fillId="4" borderId="12" xfId="2" applyFont="1" applyFill="1" applyBorder="1" applyAlignment="1">
      <alignment horizontal="center" vertical="center" shrinkToFit="1"/>
    </xf>
    <xf numFmtId="0" fontId="14" fillId="0" borderId="4" xfId="0" quotePrefix="1" applyFont="1" applyFill="1" applyBorder="1" applyAlignment="1">
      <alignment vertical="center" wrapText="1"/>
    </xf>
    <xf numFmtId="0" fontId="14" fillId="0" borderId="8" xfId="0" applyFont="1" applyBorder="1" applyAlignment="1">
      <alignment horizontal="left" vertical="center" wrapText="1"/>
    </xf>
    <xf numFmtId="0" fontId="14" fillId="0" borderId="8" xfId="0" applyFont="1" applyFill="1" applyBorder="1" applyAlignment="1">
      <alignment vertical="center" wrapText="1"/>
    </xf>
    <xf numFmtId="0" fontId="13" fillId="4" borderId="3" xfId="0" applyFont="1" applyFill="1" applyBorder="1" applyAlignment="1">
      <alignment horizontal="center" vertical="center"/>
    </xf>
    <xf numFmtId="0" fontId="13" fillId="4" borderId="2" xfId="0" applyFont="1" applyFill="1" applyBorder="1" applyAlignment="1">
      <alignment horizontal="center" vertical="center" wrapText="1"/>
    </xf>
    <xf numFmtId="0" fontId="14" fillId="0" borderId="4" xfId="2" quotePrefix="1" applyNumberFormat="1" applyFont="1" applyFill="1" applyBorder="1" applyAlignment="1">
      <alignment vertical="center" wrapText="1"/>
    </xf>
    <xf numFmtId="0" fontId="14" fillId="0" borderId="8" xfId="2" applyNumberFormat="1" applyFont="1" applyFill="1" applyBorder="1" applyAlignment="1">
      <alignment vertical="center" wrapText="1"/>
    </xf>
    <xf numFmtId="49" fontId="15" fillId="0" borderId="4" xfId="0" applyNumberFormat="1" applyFont="1" applyFill="1" applyBorder="1" applyAlignment="1">
      <alignment horizontal="center" vertical="center" wrapText="1"/>
    </xf>
    <xf numFmtId="49" fontId="15" fillId="0" borderId="8" xfId="0" applyNumberFormat="1" applyFont="1" applyFill="1" applyBorder="1" applyAlignment="1">
      <alignment horizontal="center" vertical="center" wrapText="1"/>
    </xf>
    <xf numFmtId="0" fontId="14" fillId="0" borderId="18" xfId="0" applyFont="1" applyFill="1" applyBorder="1" applyAlignment="1">
      <alignment horizontal="center" vertical="center" shrinkToFit="1"/>
    </xf>
    <xf numFmtId="0" fontId="14" fillId="0" borderId="11" xfId="0" applyFont="1" applyFill="1" applyBorder="1" applyAlignment="1">
      <alignment horizontal="center" vertical="center" shrinkToFit="1"/>
    </xf>
    <xf numFmtId="0" fontId="14" fillId="0" borderId="16"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13" fillId="4" borderId="1" xfId="0" applyFont="1" applyFill="1" applyBorder="1" applyAlignment="1">
      <alignment horizontal="center" vertical="center"/>
    </xf>
    <xf numFmtId="0" fontId="14" fillId="8" borderId="8" xfId="0" applyFont="1" applyFill="1" applyBorder="1" applyAlignment="1">
      <alignment horizontal="left" vertical="center" wrapText="1"/>
    </xf>
    <xf numFmtId="0" fontId="14" fillId="8" borderId="12" xfId="0" applyFont="1" applyFill="1" applyBorder="1" applyAlignment="1">
      <alignment horizontal="left" vertical="center" wrapText="1"/>
    </xf>
    <xf numFmtId="0" fontId="14" fillId="8" borderId="16" xfId="0" applyFont="1" applyFill="1" applyBorder="1" applyAlignment="1">
      <alignment horizontal="center" vertical="center" wrapText="1"/>
    </xf>
    <xf numFmtId="0" fontId="13" fillId="8" borderId="5" xfId="0" applyFont="1" applyFill="1" applyBorder="1" applyAlignment="1">
      <alignment horizontal="center" vertical="center" wrapText="1"/>
    </xf>
    <xf numFmtId="0" fontId="13" fillId="8" borderId="9" xfId="0" applyFont="1" applyFill="1" applyBorder="1" applyAlignment="1">
      <alignment horizontal="center" vertical="center" wrapText="1"/>
    </xf>
    <xf numFmtId="9" fontId="14" fillId="8" borderId="4" xfId="2" applyFont="1" applyFill="1" applyBorder="1" applyAlignment="1">
      <alignment horizontal="center" vertical="center" shrinkToFit="1"/>
    </xf>
    <xf numFmtId="9" fontId="14" fillId="8" borderId="8" xfId="2" applyFont="1" applyFill="1" applyBorder="1" applyAlignment="1">
      <alignment horizontal="center" vertical="center" shrinkToFit="1"/>
    </xf>
    <xf numFmtId="9" fontId="14" fillId="8" borderId="12" xfId="2" applyFont="1" applyFill="1" applyBorder="1" applyAlignment="1">
      <alignment horizontal="center" vertical="center" shrinkToFit="1"/>
    </xf>
    <xf numFmtId="0" fontId="14" fillId="8" borderId="8"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7" fillId="0" borderId="4" xfId="0" applyFont="1" applyFill="1" applyBorder="1" applyAlignment="1">
      <alignment horizontal="left" vertical="center" wrapText="1"/>
    </xf>
    <xf numFmtId="0" fontId="17" fillId="0" borderId="8" xfId="0" applyFont="1" applyFill="1" applyBorder="1" applyAlignment="1">
      <alignment horizontal="left" vertical="center" wrapText="1"/>
    </xf>
    <xf numFmtId="0" fontId="17" fillId="0" borderId="4" xfId="0" applyFont="1" applyFill="1" applyBorder="1" applyAlignment="1">
      <alignment horizontal="center" vertical="center"/>
    </xf>
    <xf numFmtId="0" fontId="17" fillId="0" borderId="8" xfId="0" applyFont="1" applyFill="1" applyBorder="1" applyAlignment="1">
      <alignment horizontal="center" vertical="center"/>
    </xf>
    <xf numFmtId="0" fontId="17" fillId="0" borderId="12" xfId="0" applyFont="1" applyFill="1" applyBorder="1" applyAlignment="1">
      <alignment horizontal="center" vertical="center"/>
    </xf>
    <xf numFmtId="9" fontId="17" fillId="4" borderId="4" xfId="2" applyFont="1" applyFill="1" applyBorder="1" applyAlignment="1">
      <alignment horizontal="center" vertical="center" shrinkToFit="1"/>
    </xf>
    <xf numFmtId="9" fontId="17" fillId="4" borderId="8" xfId="2" applyFont="1" applyFill="1" applyBorder="1" applyAlignment="1">
      <alignment horizontal="center" vertical="center" shrinkToFit="1"/>
    </xf>
    <xf numFmtId="0" fontId="14" fillId="0" borderId="16"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12" xfId="0" applyFont="1" applyBorder="1" applyAlignment="1">
      <alignment horizontal="center" vertical="center" wrapText="1"/>
    </xf>
    <xf numFmtId="0" fontId="16" fillId="0" borderId="4" xfId="0" applyFont="1" applyFill="1" applyBorder="1" applyAlignment="1">
      <alignment horizontal="center" vertical="center" wrapText="1"/>
    </xf>
    <xf numFmtId="0" fontId="16" fillId="0" borderId="30" xfId="0" applyFont="1" applyFill="1" applyBorder="1" applyAlignment="1">
      <alignment horizontal="center" vertical="center" wrapText="1"/>
    </xf>
    <xf numFmtId="0" fontId="14" fillId="7" borderId="4" xfId="0" applyFont="1" applyFill="1" applyBorder="1" applyAlignment="1">
      <alignment horizontal="center" vertical="center"/>
    </xf>
    <xf numFmtId="0" fontId="14" fillId="7" borderId="8" xfId="0" applyFont="1" applyFill="1" applyBorder="1" applyAlignment="1">
      <alignment horizontal="center" vertical="center"/>
    </xf>
    <xf numFmtId="0" fontId="16" fillId="0" borderId="5" xfId="0" applyFont="1" applyFill="1" applyBorder="1" applyAlignment="1">
      <alignment horizontal="center" vertical="center" wrapText="1"/>
    </xf>
    <xf numFmtId="0" fontId="16" fillId="0" borderId="9"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17" fillId="0" borderId="8" xfId="0" applyFont="1" applyFill="1" applyBorder="1" applyAlignment="1">
      <alignment horizontal="center" vertical="center" wrapText="1"/>
    </xf>
    <xf numFmtId="0" fontId="17" fillId="0" borderId="12" xfId="0" applyFont="1" applyFill="1" applyBorder="1" applyAlignment="1">
      <alignment horizontal="center" vertical="center" wrapText="1"/>
    </xf>
    <xf numFmtId="49" fontId="18" fillId="0" borderId="4" xfId="0" applyNumberFormat="1" applyFont="1" applyBorder="1" applyAlignment="1">
      <alignment horizontal="center" vertical="center" wrapText="1"/>
    </xf>
    <xf numFmtId="49" fontId="18" fillId="0" borderId="8" xfId="0" applyNumberFormat="1" applyFont="1" applyBorder="1" applyAlignment="1">
      <alignment horizontal="center" vertical="center" wrapText="1"/>
    </xf>
    <xf numFmtId="49" fontId="18" fillId="0" borderId="12" xfId="0" applyNumberFormat="1" applyFont="1" applyBorder="1" applyAlignment="1">
      <alignment horizontal="center" vertical="center" wrapText="1"/>
    </xf>
    <xf numFmtId="0" fontId="15" fillId="0" borderId="0" xfId="0" applyFont="1" applyAlignment="1">
      <alignment horizontal="center"/>
    </xf>
    <xf numFmtId="0" fontId="13" fillId="7" borderId="5" xfId="0" applyFont="1" applyFill="1" applyBorder="1" applyAlignment="1">
      <alignment horizontal="center" vertical="center" wrapText="1"/>
    </xf>
    <xf numFmtId="0" fontId="14" fillId="7" borderId="4" xfId="0" quotePrefix="1" applyFont="1" applyFill="1" applyBorder="1" applyAlignment="1">
      <alignment horizontal="left" vertical="center" shrinkToFit="1"/>
    </xf>
    <xf numFmtId="0" fontId="14" fillId="7" borderId="6" xfId="0" applyFont="1" applyFill="1" applyBorder="1" applyAlignment="1">
      <alignment horizontal="center" vertical="center" shrinkToFit="1"/>
    </xf>
    <xf numFmtId="186" fontId="14" fillId="7" borderId="7" xfId="1" applyNumberFormat="1" applyFont="1" applyFill="1" applyBorder="1" applyAlignment="1">
      <alignment horizontal="right" vertical="center" shrinkToFit="1"/>
    </xf>
    <xf numFmtId="176" fontId="13" fillId="7" borderId="6" xfId="1" applyNumberFormat="1" applyFont="1" applyFill="1" applyBorder="1" applyAlignment="1">
      <alignment horizontal="center" vertical="center" shrinkToFit="1"/>
    </xf>
    <xf numFmtId="177" fontId="13" fillId="7" borderId="7" xfId="1" applyNumberFormat="1" applyFont="1" applyFill="1" applyBorder="1" applyAlignment="1">
      <alignment horizontal="right" vertical="center" shrinkToFit="1"/>
    </xf>
    <xf numFmtId="0" fontId="14" fillId="7" borderId="28" xfId="0" applyFont="1" applyFill="1" applyBorder="1" applyAlignment="1">
      <alignment horizontal="center" vertical="center"/>
    </xf>
    <xf numFmtId="0" fontId="14" fillId="8" borderId="4" xfId="0" applyFont="1" applyFill="1" applyBorder="1" applyAlignment="1">
      <alignment horizontal="center" vertical="center" wrapText="1"/>
    </xf>
    <xf numFmtId="0" fontId="14" fillId="8" borderId="4" xfId="2" quotePrefix="1" applyNumberFormat="1" applyFont="1" applyFill="1" applyBorder="1" applyAlignment="1">
      <alignment vertical="center" wrapText="1"/>
    </xf>
    <xf numFmtId="0" fontId="33" fillId="0" borderId="0" xfId="0" applyFont="1" applyAlignment="1">
      <alignment horizontal="center" vertical="center"/>
    </xf>
    <xf numFmtId="186" fontId="33" fillId="0" borderId="0" xfId="0" applyNumberFormat="1" applyFont="1" applyAlignment="1">
      <alignment horizontal="center" vertical="center"/>
    </xf>
    <xf numFmtId="0" fontId="18" fillId="0" borderId="0" xfId="0" applyFont="1" applyAlignment="1">
      <alignment horizontal="center" vertical="center"/>
    </xf>
    <xf numFmtId="0" fontId="34" fillId="0" borderId="0" xfId="0" applyFont="1" applyAlignment="1">
      <alignment horizontal="center" vertical="center"/>
    </xf>
    <xf numFmtId="41" fontId="18" fillId="0" borderId="0" xfId="1" applyFont="1" applyAlignment="1">
      <alignment horizontal="center" vertical="center"/>
    </xf>
    <xf numFmtId="41" fontId="18" fillId="0" borderId="0" xfId="1" applyFont="1" applyAlignment="1">
      <alignment vertical="center" wrapText="1"/>
    </xf>
    <xf numFmtId="0" fontId="35" fillId="0" borderId="0" xfId="0" applyFont="1" applyAlignment="1">
      <alignment horizontal="left" vertical="center"/>
    </xf>
    <xf numFmtId="0" fontId="26" fillId="0" borderId="0" xfId="0" applyFont="1" applyAlignment="1">
      <alignment horizontal="center" vertical="center"/>
    </xf>
    <xf numFmtId="0" fontId="17" fillId="0" borderId="0" xfId="0" applyFont="1" applyAlignment="1">
      <alignment horizontal="center" vertical="center"/>
    </xf>
    <xf numFmtId="9" fontId="18" fillId="0" borderId="0" xfId="2" applyFont="1" applyAlignment="1">
      <alignment horizontal="center" vertical="center"/>
    </xf>
    <xf numFmtId="188" fontId="15" fillId="0" borderId="0" xfId="0" applyNumberFormat="1" applyFont="1" applyAlignment="1">
      <alignment horizontal="center" vertical="center"/>
    </xf>
    <xf numFmtId="0" fontId="18" fillId="0" borderId="0" xfId="0" applyFont="1" applyAlignment="1">
      <alignment horizontal="right" vertical="center"/>
    </xf>
    <xf numFmtId="43" fontId="18" fillId="0" borderId="0" xfId="0" applyNumberFormat="1" applyFont="1" applyAlignment="1">
      <alignment horizontal="center" vertical="center"/>
    </xf>
    <xf numFmtId="0" fontId="12" fillId="4" borderId="1" xfId="0" applyFont="1" applyFill="1" applyBorder="1" applyAlignment="1">
      <alignment horizontal="center" vertical="center"/>
    </xf>
    <xf numFmtId="9" fontId="12" fillId="4" borderId="1" xfId="2" applyFont="1" applyFill="1" applyBorder="1" applyAlignment="1">
      <alignment horizontal="center" vertical="center" wrapText="1"/>
    </xf>
    <xf numFmtId="9" fontId="12" fillId="4" borderId="2" xfId="2" applyFont="1" applyFill="1" applyBorder="1" applyAlignment="1">
      <alignment horizontal="center" vertical="center" wrapText="1"/>
    </xf>
    <xf numFmtId="188" fontId="12" fillId="4" borderId="1" xfId="0" applyNumberFormat="1" applyFont="1" applyFill="1" applyBorder="1" applyAlignment="1">
      <alignment horizontal="center" vertical="center" wrapText="1"/>
    </xf>
    <xf numFmtId="0" fontId="18" fillId="0" borderId="0" xfId="0" applyFont="1" applyAlignment="1">
      <alignment horizontal="center" vertical="center" wrapText="1"/>
    </xf>
    <xf numFmtId="0" fontId="36" fillId="4" borderId="1" xfId="0" applyFont="1" applyFill="1" applyBorder="1" applyAlignment="1">
      <alignment horizontal="center" vertical="center" wrapText="1"/>
    </xf>
    <xf numFmtId="0" fontId="23" fillId="0" borderId="4" xfId="0" quotePrefix="1" applyFont="1" applyBorder="1" applyAlignment="1">
      <alignment horizontal="left" vertical="center" wrapText="1"/>
    </xf>
    <xf numFmtId="0" fontId="15" fillId="0" borderId="6" xfId="0" applyFont="1" applyBorder="1" applyAlignment="1">
      <alignment horizontal="center" vertical="center"/>
    </xf>
    <xf numFmtId="186" fontId="15" fillId="0" borderId="7" xfId="1" applyNumberFormat="1" applyFont="1" applyBorder="1" applyAlignment="1">
      <alignment horizontal="right" vertical="center" wrapText="1"/>
    </xf>
    <xf numFmtId="176" fontId="12" fillId="0" borderId="6" xfId="1" applyNumberFormat="1" applyFont="1" applyBorder="1" applyAlignment="1">
      <alignment horizontal="center" vertical="center"/>
    </xf>
    <xf numFmtId="177" fontId="13" fillId="0" borderId="7" xfId="1" applyNumberFormat="1" applyFont="1" applyBorder="1" applyAlignment="1">
      <alignment horizontal="right" vertical="center" wrapText="1"/>
    </xf>
    <xf numFmtId="179" fontId="12" fillId="0" borderId="7" xfId="2" applyNumberFormat="1" applyFont="1" applyBorder="1" applyAlignment="1">
      <alignment horizontal="center" vertical="center"/>
    </xf>
    <xf numFmtId="188" fontId="15" fillId="0" borderId="5" xfId="0" applyNumberFormat="1" applyFont="1" applyBorder="1" applyAlignment="1">
      <alignment horizontal="center" vertical="center" wrapText="1"/>
    </xf>
    <xf numFmtId="0" fontId="17" fillId="4" borderId="28" xfId="0" applyFont="1" applyFill="1" applyBorder="1" applyAlignment="1">
      <alignment horizontal="center" vertical="center"/>
    </xf>
    <xf numFmtId="41" fontId="18" fillId="4" borderId="3" xfId="1" applyFont="1" applyFill="1" applyBorder="1" applyAlignment="1">
      <alignment vertical="center" wrapText="1"/>
    </xf>
    <xf numFmtId="41" fontId="18" fillId="4" borderId="1" xfId="1" applyFont="1" applyFill="1" applyBorder="1" applyAlignment="1">
      <alignment vertical="center" wrapText="1"/>
    </xf>
    <xf numFmtId="0" fontId="23" fillId="0" borderId="8" xfId="0" quotePrefix="1" applyFont="1" applyBorder="1" applyAlignment="1">
      <alignment horizontal="left" vertical="center" wrapText="1"/>
    </xf>
    <xf numFmtId="0" fontId="15" fillId="0" borderId="10" xfId="0" applyFont="1" applyBorder="1" applyAlignment="1">
      <alignment horizontal="center" vertical="center"/>
    </xf>
    <xf numFmtId="186" fontId="15" fillId="0" borderId="11" xfId="1" applyNumberFormat="1" applyFont="1" applyBorder="1" applyAlignment="1">
      <alignment horizontal="right" vertical="center" wrapText="1"/>
    </xf>
    <xf numFmtId="176" fontId="15" fillId="0" borderId="10" xfId="1" applyNumberFormat="1" applyFont="1" applyBorder="1" applyAlignment="1">
      <alignment horizontal="center" vertical="center"/>
    </xf>
    <xf numFmtId="177" fontId="14" fillId="0" borderId="11" xfId="1" applyNumberFormat="1" applyFont="1" applyBorder="1" applyAlignment="1">
      <alignment horizontal="right" vertical="center" wrapText="1"/>
    </xf>
    <xf numFmtId="191" fontId="15" fillId="0" borderId="11" xfId="0" applyNumberFormat="1" applyFont="1" applyBorder="1" applyAlignment="1">
      <alignment horizontal="center" vertical="center"/>
    </xf>
    <xf numFmtId="178" fontId="18" fillId="4" borderId="29" xfId="0" applyNumberFormat="1" applyFont="1" applyFill="1" applyBorder="1" applyAlignment="1">
      <alignment horizontal="center" vertical="center"/>
    </xf>
    <xf numFmtId="0" fontId="23" fillId="0" borderId="8" xfId="0" applyFont="1" applyBorder="1" applyAlignment="1">
      <alignment horizontal="left" vertical="center" wrapText="1"/>
    </xf>
    <xf numFmtId="176" fontId="15" fillId="0" borderId="10" xfId="1" applyNumberFormat="1" applyFont="1" applyBorder="1" applyAlignment="1">
      <alignment horizontal="center" vertical="center" wrapText="1"/>
    </xf>
    <xf numFmtId="188" fontId="15" fillId="0" borderId="13" xfId="0" applyNumberFormat="1" applyFont="1" applyBorder="1" applyAlignment="1">
      <alignment horizontal="center" vertical="center" wrapText="1"/>
    </xf>
    <xf numFmtId="0" fontId="15" fillId="0" borderId="13" xfId="0" applyFont="1" applyBorder="1" applyAlignment="1">
      <alignment horizontal="center" vertical="center" shrinkToFit="1"/>
    </xf>
    <xf numFmtId="0" fontId="23" fillId="0" borderId="12" xfId="0" applyFont="1" applyBorder="1" applyAlignment="1">
      <alignment horizontal="left" vertical="center" wrapText="1"/>
    </xf>
    <xf numFmtId="0" fontId="12" fillId="0" borderId="14" xfId="0" applyFont="1" applyBorder="1" applyAlignment="1">
      <alignment horizontal="center" vertical="center" wrapText="1"/>
    </xf>
    <xf numFmtId="179" fontId="13" fillId="0" borderId="15" xfId="2" applyNumberFormat="1" applyFont="1" applyBorder="1" applyAlignment="1">
      <alignment horizontal="right" vertical="center" wrapText="1"/>
    </xf>
    <xf numFmtId="188" fontId="14" fillId="0" borderId="12" xfId="0" applyNumberFormat="1" applyFont="1" applyBorder="1" applyAlignment="1">
      <alignment horizontal="center" vertical="center" wrapText="1"/>
    </xf>
    <xf numFmtId="177" fontId="18" fillId="0" borderId="0" xfId="1" applyNumberFormat="1" applyFont="1" applyAlignment="1">
      <alignment horizontal="center" vertical="center"/>
    </xf>
    <xf numFmtId="41" fontId="18" fillId="5" borderId="1" xfId="1" applyFont="1" applyFill="1" applyBorder="1">
      <alignment vertical="center"/>
    </xf>
    <xf numFmtId="188" fontId="15" fillId="0" borderId="4" xfId="0" applyNumberFormat="1" applyFont="1" applyBorder="1" applyAlignment="1">
      <alignment horizontal="center" vertical="center" wrapText="1"/>
    </xf>
    <xf numFmtId="188" fontId="15" fillId="0" borderId="9" xfId="0" applyNumberFormat="1" applyFont="1" applyBorder="1" applyAlignment="1">
      <alignment horizontal="center" vertical="center" wrapText="1"/>
    </xf>
    <xf numFmtId="188" fontId="15" fillId="0" borderId="12" xfId="0" applyNumberFormat="1" applyFont="1" applyBorder="1" applyAlignment="1">
      <alignment horizontal="center" vertical="center" wrapText="1"/>
    </xf>
    <xf numFmtId="0" fontId="37" fillId="0" borderId="0" xfId="0" applyFont="1" applyAlignment="1">
      <alignment horizontal="center" vertical="center"/>
    </xf>
    <xf numFmtId="0" fontId="37" fillId="6" borderId="1" xfId="0" applyFont="1" applyFill="1" applyBorder="1" applyAlignment="1">
      <alignment horizontal="center" vertical="center"/>
    </xf>
    <xf numFmtId="176" fontId="37" fillId="6" borderId="1" xfId="1" applyNumberFormat="1" applyFont="1" applyFill="1" applyBorder="1" applyAlignment="1">
      <alignment vertical="center" wrapText="1"/>
    </xf>
    <xf numFmtId="41" fontId="37" fillId="3" borderId="1" xfId="1" applyFont="1" applyFill="1" applyBorder="1" applyAlignment="1">
      <alignment horizontal="center" vertical="center"/>
    </xf>
    <xf numFmtId="41" fontId="37" fillId="3" borderId="1" xfId="1" applyFont="1" applyFill="1" applyBorder="1">
      <alignment vertical="center"/>
    </xf>
    <xf numFmtId="41" fontId="37" fillId="4" borderId="3" xfId="1" applyFont="1" applyFill="1" applyBorder="1" applyAlignment="1">
      <alignment vertical="center" wrapText="1"/>
    </xf>
    <xf numFmtId="41" fontId="37" fillId="4" borderId="1" xfId="1" applyFont="1" applyFill="1" applyBorder="1" applyAlignment="1">
      <alignment vertical="center" wrapText="1"/>
    </xf>
    <xf numFmtId="0" fontId="37" fillId="0" borderId="0" xfId="0" applyFont="1">
      <alignment vertical="center"/>
    </xf>
    <xf numFmtId="0" fontId="37" fillId="0" borderId="0" xfId="0" applyFont="1" applyFill="1">
      <alignment vertical="center"/>
    </xf>
    <xf numFmtId="41" fontId="37" fillId="0" borderId="0" xfId="1" applyFont="1" applyAlignment="1">
      <alignment vertical="center" wrapText="1"/>
    </xf>
    <xf numFmtId="14" fontId="23" fillId="0" borderId="4" xfId="0" quotePrefix="1" applyNumberFormat="1" applyFont="1" applyBorder="1" applyAlignment="1">
      <alignment horizontal="left" vertical="center" wrapText="1"/>
    </xf>
    <xf numFmtId="0" fontId="23" fillId="10" borderId="4" xfId="0" quotePrefix="1" applyFont="1" applyFill="1" applyBorder="1" applyAlignment="1">
      <alignment horizontal="left" vertical="center" wrapText="1"/>
    </xf>
    <xf numFmtId="0" fontId="15" fillId="10" borderId="6" xfId="0" applyFont="1" applyFill="1" applyBorder="1" applyAlignment="1">
      <alignment horizontal="center" vertical="center"/>
    </xf>
    <xf numFmtId="186" fontId="15" fillId="10" borderId="7" xfId="1" applyNumberFormat="1" applyFont="1" applyFill="1" applyBorder="1" applyAlignment="1">
      <alignment horizontal="right" vertical="center" wrapText="1"/>
    </xf>
    <xf numFmtId="176" fontId="12" fillId="10" borderId="6" xfId="1" applyNumberFormat="1" applyFont="1" applyFill="1" applyBorder="1" applyAlignment="1">
      <alignment horizontal="center" vertical="center"/>
    </xf>
    <xf numFmtId="177" fontId="13" fillId="10" borderId="7" xfId="1" applyNumberFormat="1" applyFont="1" applyFill="1" applyBorder="1" applyAlignment="1">
      <alignment horizontal="right" vertical="center" wrapText="1"/>
    </xf>
    <xf numFmtId="179" fontId="12" fillId="10" borderId="7" xfId="2" applyNumberFormat="1" applyFont="1" applyFill="1" applyBorder="1" applyAlignment="1">
      <alignment horizontal="center" vertical="center"/>
    </xf>
    <xf numFmtId="188" fontId="15" fillId="10" borderId="4" xfId="0" applyNumberFormat="1" applyFont="1" applyFill="1" applyBorder="1" applyAlignment="1">
      <alignment horizontal="center" vertical="center" wrapText="1"/>
    </xf>
    <xf numFmtId="0" fontId="17" fillId="10" borderId="28" xfId="0" applyFont="1" applyFill="1" applyBorder="1" applyAlignment="1">
      <alignment horizontal="center" vertical="center"/>
    </xf>
    <xf numFmtId="0" fontId="18" fillId="10" borderId="25" xfId="0" applyFont="1" applyFill="1" applyBorder="1" applyAlignment="1">
      <alignment horizontal="center" vertical="center"/>
    </xf>
    <xf numFmtId="0" fontId="18" fillId="10" borderId="0" xfId="0" applyFont="1" applyFill="1" applyAlignment="1">
      <alignment horizontal="center" vertical="center"/>
    </xf>
    <xf numFmtId="0" fontId="18" fillId="10" borderId="1" xfId="0" applyFont="1" applyFill="1" applyBorder="1" applyAlignment="1">
      <alignment horizontal="center" vertical="center"/>
    </xf>
    <xf numFmtId="176" fontId="18" fillId="10" borderId="1" xfId="1" applyNumberFormat="1" applyFont="1" applyFill="1" applyBorder="1" applyAlignment="1">
      <alignment vertical="center" wrapText="1"/>
    </xf>
    <xf numFmtId="41" fontId="37" fillId="10" borderId="1" xfId="1" applyFont="1" applyFill="1" applyBorder="1" applyAlignment="1">
      <alignment horizontal="center" vertical="center"/>
    </xf>
    <xf numFmtId="41" fontId="37" fillId="10" borderId="1" xfId="1" applyFont="1" applyFill="1" applyBorder="1">
      <alignment vertical="center"/>
    </xf>
    <xf numFmtId="41" fontId="37" fillId="10" borderId="3" xfId="1" applyFont="1" applyFill="1" applyBorder="1" applyAlignment="1">
      <alignment vertical="center" wrapText="1"/>
    </xf>
    <xf numFmtId="41" fontId="37" fillId="10" borderId="1" xfId="1" applyFont="1" applyFill="1" applyBorder="1" applyAlignment="1">
      <alignment vertical="center" wrapText="1"/>
    </xf>
    <xf numFmtId="41" fontId="18" fillId="10" borderId="1" xfId="1" applyFont="1" applyFill="1" applyBorder="1" applyAlignment="1">
      <alignment vertical="center" wrapText="1"/>
    </xf>
    <xf numFmtId="0" fontId="18" fillId="10" borderId="0" xfId="0" applyFont="1" applyFill="1">
      <alignment vertical="center"/>
    </xf>
    <xf numFmtId="0" fontId="15" fillId="10" borderId="10" xfId="0" applyFont="1" applyFill="1" applyBorder="1" applyAlignment="1">
      <alignment horizontal="center" vertical="center"/>
    </xf>
    <xf numFmtId="186" fontId="15" fillId="10" borderId="11" xfId="1" applyNumberFormat="1" applyFont="1" applyFill="1" applyBorder="1" applyAlignment="1">
      <alignment horizontal="right" vertical="center" wrapText="1"/>
    </xf>
    <xf numFmtId="177" fontId="14" fillId="10" borderId="11" xfId="1" applyNumberFormat="1" applyFont="1" applyFill="1" applyBorder="1" applyAlignment="1">
      <alignment horizontal="right" vertical="center" wrapText="1"/>
    </xf>
    <xf numFmtId="0" fontId="23" fillId="10" borderId="8" xfId="0" applyFont="1" applyFill="1" applyBorder="1" applyAlignment="1">
      <alignment horizontal="left" vertical="center" wrapText="1"/>
    </xf>
    <xf numFmtId="176" fontId="15" fillId="10" borderId="10" xfId="1" applyNumberFormat="1" applyFont="1" applyFill="1" applyBorder="1" applyAlignment="1">
      <alignment horizontal="center" vertical="center" wrapText="1"/>
    </xf>
    <xf numFmtId="188" fontId="15" fillId="10" borderId="12" xfId="0" applyNumberFormat="1" applyFont="1" applyFill="1" applyBorder="1" applyAlignment="1">
      <alignment horizontal="center" vertical="center" wrapText="1"/>
    </xf>
    <xf numFmtId="0" fontId="18" fillId="10" borderId="28" xfId="0" applyFont="1" applyFill="1" applyBorder="1" applyAlignment="1">
      <alignment horizontal="center" vertical="center"/>
    </xf>
    <xf numFmtId="0" fontId="18" fillId="10" borderId="27" xfId="0" applyFont="1" applyFill="1" applyBorder="1" applyAlignment="1">
      <alignment horizontal="center" vertical="center"/>
    </xf>
    <xf numFmtId="41" fontId="18" fillId="10" borderId="1" xfId="1" applyFont="1" applyFill="1" applyBorder="1" applyAlignment="1">
      <alignment horizontal="center" vertical="center"/>
    </xf>
    <xf numFmtId="41" fontId="18" fillId="10" borderId="1" xfId="1" applyFont="1" applyFill="1" applyBorder="1">
      <alignment vertical="center"/>
    </xf>
    <xf numFmtId="41" fontId="18" fillId="10" borderId="0" xfId="1" applyFont="1" applyFill="1" applyAlignment="1">
      <alignment vertical="center" wrapText="1"/>
    </xf>
    <xf numFmtId="0" fontId="23" fillId="4" borderId="4" xfId="0" quotePrefix="1" applyFont="1" applyFill="1" applyBorder="1" applyAlignment="1">
      <alignment horizontal="left" vertical="center" wrapText="1"/>
    </xf>
    <xf numFmtId="0" fontId="15" fillId="4" borderId="6" xfId="0" applyFont="1" applyFill="1" applyBorder="1" applyAlignment="1">
      <alignment horizontal="center" vertical="center"/>
    </xf>
    <xf numFmtId="186" fontId="15" fillId="4" borderId="7" xfId="1" applyNumberFormat="1" applyFont="1" applyFill="1" applyBorder="1" applyAlignment="1">
      <alignment horizontal="right" vertical="center" wrapText="1"/>
    </xf>
    <xf numFmtId="176" fontId="12" fillId="4" borderId="6" xfId="1" applyNumberFormat="1" applyFont="1" applyFill="1" applyBorder="1" applyAlignment="1">
      <alignment horizontal="center" vertical="center"/>
    </xf>
    <xf numFmtId="177" fontId="13" fillId="4" borderId="7" xfId="1" applyNumberFormat="1" applyFont="1" applyFill="1" applyBorder="1" applyAlignment="1">
      <alignment horizontal="right" vertical="center" wrapText="1"/>
    </xf>
    <xf numFmtId="179" fontId="12" fillId="4" borderId="7" xfId="2" applyNumberFormat="1" applyFont="1" applyFill="1" applyBorder="1" applyAlignment="1">
      <alignment horizontal="center" vertical="center"/>
    </xf>
    <xf numFmtId="188" fontId="15" fillId="4" borderId="4" xfId="0" applyNumberFormat="1" applyFont="1" applyFill="1" applyBorder="1" applyAlignment="1">
      <alignment horizontal="center" vertical="center" wrapText="1"/>
    </xf>
    <xf numFmtId="0" fontId="18" fillId="4" borderId="25" xfId="0" applyFont="1" applyFill="1" applyBorder="1" applyAlignment="1">
      <alignment horizontal="center" vertical="center"/>
    </xf>
    <xf numFmtId="0" fontId="18" fillId="4" borderId="0" xfId="0" applyFont="1" applyFill="1" applyAlignment="1">
      <alignment horizontal="center" vertical="center"/>
    </xf>
    <xf numFmtId="0" fontId="18" fillId="4" borderId="1" xfId="0" applyFont="1" applyFill="1" applyBorder="1" applyAlignment="1">
      <alignment horizontal="center" vertical="center"/>
    </xf>
    <xf numFmtId="176" fontId="18" fillId="4" borderId="1" xfId="1" applyNumberFormat="1" applyFont="1" applyFill="1" applyBorder="1" applyAlignment="1">
      <alignment vertical="center" wrapText="1"/>
    </xf>
    <xf numFmtId="41" fontId="37" fillId="4" borderId="1" xfId="1" applyFont="1" applyFill="1" applyBorder="1" applyAlignment="1">
      <alignment horizontal="center" vertical="center"/>
    </xf>
    <xf numFmtId="41" fontId="37" fillId="4" borderId="1" xfId="1" applyFont="1" applyFill="1" applyBorder="1">
      <alignment vertical="center"/>
    </xf>
    <xf numFmtId="0" fontId="18" fillId="4" borderId="0" xfId="0" applyFont="1" applyFill="1">
      <alignment vertical="center"/>
    </xf>
    <xf numFmtId="0" fontId="15" fillId="4" borderId="10" xfId="0" applyFont="1" applyFill="1" applyBorder="1" applyAlignment="1">
      <alignment horizontal="center" vertical="center"/>
    </xf>
    <xf numFmtId="186" fontId="15" fillId="4" borderId="11" xfId="1" applyNumberFormat="1" applyFont="1" applyFill="1" applyBorder="1" applyAlignment="1">
      <alignment horizontal="right" vertical="center" wrapText="1"/>
    </xf>
    <xf numFmtId="177" fontId="14" fillId="4" borderId="11" xfId="1" applyNumberFormat="1" applyFont="1" applyFill="1" applyBorder="1" applyAlignment="1">
      <alignment horizontal="right" vertical="center" wrapText="1"/>
    </xf>
    <xf numFmtId="0" fontId="23" fillId="4" borderId="8" xfId="0" applyFont="1" applyFill="1" applyBorder="1" applyAlignment="1">
      <alignment horizontal="left" vertical="center" wrapText="1"/>
    </xf>
    <xf numFmtId="176" fontId="15" fillId="4" borderId="10" xfId="1" applyNumberFormat="1" applyFont="1" applyFill="1" applyBorder="1" applyAlignment="1">
      <alignment horizontal="center" vertical="center" wrapText="1"/>
    </xf>
    <xf numFmtId="188" fontId="15" fillId="4" borderId="12" xfId="0" applyNumberFormat="1" applyFont="1" applyFill="1" applyBorder="1" applyAlignment="1">
      <alignment horizontal="center" vertical="center" wrapText="1"/>
    </xf>
    <xf numFmtId="0" fontId="18" fillId="4" borderId="28" xfId="0" applyFont="1" applyFill="1" applyBorder="1" applyAlignment="1">
      <alignment horizontal="center" vertical="center"/>
    </xf>
    <xf numFmtId="0" fontId="18" fillId="4" borderId="27" xfId="0" applyFont="1" applyFill="1" applyBorder="1" applyAlignment="1">
      <alignment horizontal="center" vertical="center"/>
    </xf>
    <xf numFmtId="41" fontId="18" fillId="4" borderId="1" xfId="1" applyFont="1" applyFill="1" applyBorder="1" applyAlignment="1">
      <alignment horizontal="center" vertical="center"/>
    </xf>
    <xf numFmtId="41" fontId="18" fillId="4" borderId="0" xfId="1" applyFont="1" applyFill="1" applyAlignment="1">
      <alignment vertical="center" wrapText="1"/>
    </xf>
    <xf numFmtId="192" fontId="23" fillId="0" borderId="8" xfId="0" quotePrefix="1" applyNumberFormat="1" applyFont="1" applyBorder="1" applyAlignment="1">
      <alignment horizontal="left" vertical="center" wrapText="1"/>
    </xf>
    <xf numFmtId="0" fontId="26" fillId="0" borderId="0" xfId="0" applyFont="1" applyAlignment="1">
      <alignment horizontal="left" vertical="center"/>
    </xf>
    <xf numFmtId="0" fontId="18" fillId="0" borderId="0" xfId="0" applyFont="1" applyAlignment="1">
      <alignment horizontal="left" vertical="center"/>
    </xf>
    <xf numFmtId="192" fontId="26" fillId="0" borderId="0" xfId="0" applyNumberFormat="1" applyFont="1" applyAlignment="1">
      <alignment horizontal="center" vertical="center"/>
    </xf>
    <xf numFmtId="188" fontId="18" fillId="0" borderId="0" xfId="0" applyNumberFormat="1" applyFont="1" applyAlignment="1">
      <alignment horizontal="center" vertical="center"/>
    </xf>
    <xf numFmtId="178" fontId="18" fillId="0" borderId="0" xfId="0" applyNumberFormat="1" applyFont="1" applyAlignment="1">
      <alignment horizontal="center" vertical="center"/>
    </xf>
    <xf numFmtId="14" fontId="26" fillId="0" borderId="0" xfId="0" applyNumberFormat="1" applyFont="1" applyAlignment="1">
      <alignment horizontal="center" vertical="center"/>
    </xf>
    <xf numFmtId="0" fontId="18" fillId="0" borderId="0" xfId="0" applyFont="1" applyAlignment="1">
      <alignment horizontal="right"/>
    </xf>
    <xf numFmtId="0" fontId="36" fillId="4" borderId="1" xfId="0" applyFont="1" applyFill="1" applyBorder="1" applyAlignment="1">
      <alignment horizontal="center" vertical="center"/>
    </xf>
    <xf numFmtId="9" fontId="36" fillId="4" borderId="1" xfId="2" applyFont="1" applyFill="1" applyBorder="1" applyAlignment="1">
      <alignment horizontal="center" vertical="center" wrapText="1"/>
    </xf>
    <xf numFmtId="9" fontId="36" fillId="4" borderId="2" xfId="2" applyFont="1" applyFill="1" applyBorder="1" applyAlignment="1">
      <alignment horizontal="center" vertical="center" wrapText="1"/>
    </xf>
    <xf numFmtId="0" fontId="18" fillId="10" borderId="4" xfId="0" quotePrefix="1" applyFont="1" applyFill="1" applyBorder="1" applyAlignment="1">
      <alignment vertical="center" wrapText="1"/>
    </xf>
    <xf numFmtId="0" fontId="18" fillId="10" borderId="6" xfId="0" applyFont="1" applyFill="1" applyBorder="1" applyAlignment="1">
      <alignment horizontal="center" vertical="center"/>
    </xf>
    <xf numFmtId="186" fontId="18" fillId="10" borderId="7" xfId="1" applyNumberFormat="1" applyFont="1" applyFill="1" applyBorder="1" applyAlignment="1">
      <alignment horizontal="right" vertical="center" wrapText="1"/>
    </xf>
    <xf numFmtId="176" fontId="36" fillId="10" borderId="6" xfId="1" applyNumberFormat="1" applyFont="1" applyFill="1" applyBorder="1" applyAlignment="1">
      <alignment horizontal="center" vertical="center"/>
    </xf>
    <xf numFmtId="177" fontId="36" fillId="10" borderId="7" xfId="1" applyNumberFormat="1" applyFont="1" applyFill="1" applyBorder="1" applyAlignment="1">
      <alignment horizontal="right" vertical="center" wrapText="1"/>
    </xf>
    <xf numFmtId="9" fontId="36" fillId="10" borderId="7" xfId="2" applyFont="1" applyFill="1" applyBorder="1" applyAlignment="1">
      <alignment horizontal="center" vertical="center"/>
    </xf>
    <xf numFmtId="0" fontId="15" fillId="10" borderId="4" xfId="0" applyFont="1" applyFill="1" applyBorder="1" applyAlignment="1">
      <alignment horizontal="center" vertical="center" wrapText="1"/>
    </xf>
    <xf numFmtId="177" fontId="18" fillId="10" borderId="11" xfId="1" applyNumberFormat="1" applyFont="1" applyFill="1" applyBorder="1" applyAlignment="1">
      <alignment horizontal="right" vertical="center" wrapText="1"/>
    </xf>
    <xf numFmtId="0" fontId="15" fillId="10" borderId="8" xfId="0" applyFont="1" applyFill="1" applyBorder="1" applyAlignment="1">
      <alignment horizontal="center" vertical="center" wrapText="1"/>
    </xf>
    <xf numFmtId="0" fontId="18" fillId="10" borderId="8" xfId="0" applyFont="1" applyFill="1" applyBorder="1" applyAlignment="1">
      <alignment vertical="center" wrapText="1"/>
    </xf>
    <xf numFmtId="176" fontId="18" fillId="10" borderId="10" xfId="1" applyNumberFormat="1" applyFont="1" applyFill="1" applyBorder="1" applyAlignment="1">
      <alignment horizontal="center" vertical="center" wrapText="1"/>
    </xf>
    <xf numFmtId="0" fontId="15" fillId="10" borderId="12" xfId="0" applyFont="1" applyFill="1" applyBorder="1" applyAlignment="1">
      <alignment horizontal="center" vertical="center" wrapText="1"/>
    </xf>
    <xf numFmtId="0" fontId="18" fillId="0" borderId="4" xfId="0" quotePrefix="1" applyFont="1" applyBorder="1" applyAlignment="1">
      <alignment vertical="center" wrapText="1"/>
    </xf>
    <xf numFmtId="0" fontId="18" fillId="0" borderId="6" xfId="0" applyFont="1" applyBorder="1" applyAlignment="1">
      <alignment horizontal="center" vertical="center"/>
    </xf>
    <xf numFmtId="186" fontId="18" fillId="0" borderId="7" xfId="1" applyNumberFormat="1" applyFont="1" applyBorder="1" applyAlignment="1">
      <alignment horizontal="right" vertical="center" wrapText="1"/>
    </xf>
    <xf numFmtId="176" fontId="36" fillId="0" borderId="6" xfId="1" applyNumberFormat="1" applyFont="1" applyBorder="1" applyAlignment="1">
      <alignment horizontal="center" vertical="center"/>
    </xf>
    <xf numFmtId="177" fontId="36" fillId="0" borderId="7" xfId="1" applyNumberFormat="1" applyFont="1" applyBorder="1" applyAlignment="1">
      <alignment horizontal="right" vertical="center" wrapText="1"/>
    </xf>
    <xf numFmtId="9" fontId="36" fillId="0" borderId="7" xfId="2" applyFont="1" applyBorder="1" applyAlignment="1">
      <alignment horizontal="center" vertical="center"/>
    </xf>
    <xf numFmtId="0" fontId="15" fillId="0" borderId="4" xfId="0" applyFont="1" applyBorder="1" applyAlignment="1">
      <alignment horizontal="center" vertical="center" wrapText="1"/>
    </xf>
    <xf numFmtId="0" fontId="18" fillId="0" borderId="10" xfId="0" applyFont="1" applyBorder="1" applyAlignment="1">
      <alignment horizontal="center" vertical="center"/>
    </xf>
    <xf numFmtId="186" fontId="18" fillId="0" borderId="11" xfId="1" applyNumberFormat="1" applyFont="1" applyBorder="1" applyAlignment="1">
      <alignment horizontal="right" vertical="center" wrapText="1"/>
    </xf>
    <xf numFmtId="176" fontId="18" fillId="0" borderId="10" xfId="1" applyNumberFormat="1" applyFont="1" applyBorder="1" applyAlignment="1">
      <alignment horizontal="center" vertical="center"/>
    </xf>
    <xf numFmtId="177" fontId="18" fillId="0" borderId="11" xfId="1" applyNumberFormat="1" applyFont="1" applyBorder="1" applyAlignment="1">
      <alignment horizontal="right" vertical="center" wrapText="1"/>
    </xf>
    <xf numFmtId="178" fontId="18" fillId="0" borderId="11" xfId="0" applyNumberFormat="1" applyFont="1" applyBorder="1" applyAlignment="1">
      <alignment horizontal="center" vertical="center"/>
    </xf>
    <xf numFmtId="0" fontId="15" fillId="0" borderId="8" xfId="0" applyFont="1" applyBorder="1" applyAlignment="1">
      <alignment horizontal="center" vertical="center" wrapText="1"/>
    </xf>
    <xf numFmtId="0" fontId="18" fillId="0" borderId="8" xfId="0" applyFont="1" applyBorder="1" applyAlignment="1">
      <alignment vertical="center" wrapText="1"/>
    </xf>
    <xf numFmtId="176" fontId="18" fillId="0" borderId="10" xfId="1" applyNumberFormat="1" applyFont="1" applyBorder="1" applyAlignment="1">
      <alignment horizontal="center" vertical="center" wrapText="1"/>
    </xf>
    <xf numFmtId="0" fontId="15" fillId="0" borderId="12" xfId="0" applyFont="1" applyBorder="1" applyAlignment="1">
      <alignment horizontal="center" vertical="center" wrapText="1"/>
    </xf>
    <xf numFmtId="0" fontId="18" fillId="0" borderId="12" xfId="0" applyFont="1" applyBorder="1" applyAlignment="1">
      <alignment vertical="center" wrapText="1"/>
    </xf>
    <xf numFmtId="0" fontId="36" fillId="0" borderId="14" xfId="0" applyFont="1" applyBorder="1" applyAlignment="1">
      <alignment horizontal="center" vertical="center" wrapText="1"/>
    </xf>
    <xf numFmtId="179" fontId="36" fillId="0" borderId="15" xfId="2" applyNumberFormat="1" applyFont="1" applyBorder="1" applyAlignment="1">
      <alignment horizontal="right" vertical="center" wrapText="1"/>
    </xf>
    <xf numFmtId="176" fontId="18" fillId="0" borderId="0" xfId="1" applyNumberFormat="1" applyFont="1">
      <alignment vertical="center"/>
    </xf>
    <xf numFmtId="0" fontId="36" fillId="4" borderId="1" xfId="0" applyFont="1" applyFill="1" applyBorder="1" applyAlignment="1">
      <alignment horizontal="center" vertical="center" shrinkToFit="1"/>
    </xf>
    <xf numFmtId="0" fontId="36" fillId="4" borderId="1" xfId="0" applyFont="1" applyFill="1" applyBorder="1" applyAlignment="1">
      <alignment horizontal="center" vertical="center" wrapText="1" shrinkToFit="1"/>
    </xf>
    <xf numFmtId="0" fontId="15" fillId="0" borderId="4" xfId="0" quotePrefix="1" applyFont="1" applyBorder="1" applyAlignment="1">
      <alignment horizontal="left" vertical="center" wrapText="1"/>
    </xf>
    <xf numFmtId="177" fontId="12" fillId="0" borderId="7" xfId="1" applyNumberFormat="1" applyFont="1" applyBorder="1" applyAlignment="1">
      <alignment horizontal="right" vertical="center" wrapText="1"/>
    </xf>
    <xf numFmtId="0" fontId="15" fillId="0" borderId="9" xfId="0" applyFont="1" applyBorder="1" applyAlignment="1">
      <alignment horizontal="center" vertical="center" wrapText="1"/>
    </xf>
    <xf numFmtId="41" fontId="18" fillId="0" borderId="1" xfId="1" applyFont="1" applyBorder="1" applyAlignment="1">
      <alignment horizontal="center" vertical="center"/>
    </xf>
    <xf numFmtId="0" fontId="15" fillId="0" borderId="8" xfId="0" applyFont="1" applyBorder="1" applyAlignment="1">
      <alignment horizontal="left" vertical="center" wrapText="1"/>
    </xf>
    <xf numFmtId="0" fontId="15" fillId="10" borderId="4" xfId="0" quotePrefix="1" applyFont="1" applyFill="1" applyBorder="1" applyAlignment="1">
      <alignment horizontal="left" vertical="center" wrapText="1"/>
    </xf>
    <xf numFmtId="177" fontId="12" fillId="10" borderId="7" xfId="1" applyNumberFormat="1" applyFont="1" applyFill="1" applyBorder="1" applyAlignment="1">
      <alignment horizontal="right" vertical="center" wrapText="1"/>
    </xf>
    <xf numFmtId="0" fontId="15" fillId="10" borderId="9" xfId="0" applyFont="1" applyFill="1" applyBorder="1" applyAlignment="1">
      <alignment horizontal="center" vertical="center" wrapText="1"/>
    </xf>
    <xf numFmtId="0" fontId="15" fillId="10" borderId="8" xfId="0" applyFont="1" applyFill="1" applyBorder="1" applyAlignment="1">
      <alignment horizontal="left" vertical="center" wrapText="1"/>
    </xf>
    <xf numFmtId="0" fontId="18" fillId="0" borderId="18" xfId="0" applyFont="1" applyBorder="1" applyAlignment="1">
      <alignment horizontal="center" vertical="center"/>
    </xf>
    <xf numFmtId="0" fontId="32" fillId="0" borderId="0" xfId="0" applyFont="1" applyAlignment="1">
      <alignment horizontal="center" vertical="center"/>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xf>
    <xf numFmtId="0" fontId="15" fillId="0" borderId="5" xfId="0" applyFont="1" applyBorder="1" applyAlignment="1">
      <alignment horizontal="center" vertical="center" wrapText="1"/>
    </xf>
    <xf numFmtId="9" fontId="15" fillId="0" borderId="4" xfId="2" applyFont="1" applyBorder="1" applyAlignment="1">
      <alignment horizontal="center" vertical="center"/>
    </xf>
    <xf numFmtId="9" fontId="15" fillId="4" borderId="4" xfId="2" applyFont="1" applyFill="1" applyBorder="1" applyAlignment="1">
      <alignment horizontal="center" vertical="center"/>
    </xf>
    <xf numFmtId="0" fontId="31" fillId="0" borderId="4" xfId="0" applyFont="1" applyBorder="1" applyAlignment="1">
      <alignment horizontal="center" vertical="center" wrapText="1"/>
    </xf>
    <xf numFmtId="9" fontId="15" fillId="0" borderId="8" xfId="2" applyFont="1" applyBorder="1" applyAlignment="1">
      <alignment horizontal="center" vertical="center"/>
    </xf>
    <xf numFmtId="9" fontId="15" fillId="4" borderId="8" xfId="2" applyFont="1" applyFill="1" applyBorder="1" applyAlignment="1">
      <alignment horizontal="center" vertical="center"/>
    </xf>
    <xf numFmtId="0" fontId="31" fillId="0" borderId="8" xfId="0" applyFont="1" applyBorder="1" applyAlignment="1">
      <alignment horizontal="center" vertical="center" wrapText="1"/>
    </xf>
    <xf numFmtId="0" fontId="15" fillId="0" borderId="16" xfId="0" applyFont="1" applyBorder="1" applyAlignment="1">
      <alignment horizontal="center" vertical="center" wrapText="1"/>
    </xf>
    <xf numFmtId="9" fontId="15" fillId="0" borderId="12" xfId="2" applyFont="1" applyBorder="1" applyAlignment="1">
      <alignment horizontal="center" vertical="center"/>
    </xf>
    <xf numFmtId="9" fontId="15" fillId="4" borderId="12" xfId="2" applyFont="1" applyFill="1" applyBorder="1" applyAlignment="1">
      <alignment horizontal="center" vertical="center"/>
    </xf>
    <xf numFmtId="0" fontId="15" fillId="0" borderId="17" xfId="0" applyFont="1" applyBorder="1" applyAlignment="1">
      <alignment horizontal="center" vertical="center"/>
    </xf>
    <xf numFmtId="0" fontId="31" fillId="0" borderId="12" xfId="0" applyFont="1" applyBorder="1" applyAlignment="1">
      <alignment horizontal="center" vertical="center" wrapText="1"/>
    </xf>
    <xf numFmtId="49" fontId="37" fillId="0" borderId="4" xfId="0" applyNumberFormat="1" applyFont="1" applyBorder="1" applyAlignment="1">
      <alignment horizontal="center" vertical="center" wrapText="1"/>
    </xf>
    <xf numFmtId="49" fontId="37" fillId="0" borderId="8" xfId="0" applyNumberFormat="1" applyFont="1" applyBorder="1" applyAlignment="1">
      <alignment horizontal="center" vertical="center" wrapText="1"/>
    </xf>
    <xf numFmtId="0" fontId="14" fillId="10" borderId="4" xfId="0" applyFont="1" applyFill="1" applyBorder="1" applyAlignment="1">
      <alignment horizontal="center" vertical="center" wrapText="1"/>
    </xf>
    <xf numFmtId="0" fontId="15" fillId="10" borderId="5" xfId="0" applyFont="1" applyFill="1" applyBorder="1" applyAlignment="1">
      <alignment horizontal="center" vertical="center" wrapText="1"/>
    </xf>
    <xf numFmtId="9" fontId="15" fillId="10" borderId="4" xfId="2" applyFont="1" applyFill="1" applyBorder="1" applyAlignment="1">
      <alignment horizontal="center" vertical="center"/>
    </xf>
    <xf numFmtId="0" fontId="31" fillId="10" borderId="4" xfId="0" applyFont="1" applyFill="1" applyBorder="1" applyAlignment="1">
      <alignment horizontal="center" vertical="center" wrapText="1"/>
    </xf>
    <xf numFmtId="49" fontId="18" fillId="10" borderId="4" xfId="0" applyNumberFormat="1" applyFont="1" applyFill="1" applyBorder="1" applyAlignment="1">
      <alignment horizontal="center" vertical="center" wrapText="1"/>
    </xf>
    <xf numFmtId="0" fontId="14" fillId="10" borderId="8" xfId="0" applyFont="1" applyFill="1" applyBorder="1" applyAlignment="1">
      <alignment horizontal="center" vertical="center" wrapText="1"/>
    </xf>
    <xf numFmtId="9" fontId="15" fillId="10" borderId="8" xfId="2" applyFont="1" applyFill="1" applyBorder="1" applyAlignment="1">
      <alignment horizontal="center" vertical="center"/>
    </xf>
    <xf numFmtId="0" fontId="31" fillId="10" borderId="8" xfId="0" applyFont="1" applyFill="1" applyBorder="1" applyAlignment="1">
      <alignment horizontal="center" vertical="center" wrapText="1"/>
    </xf>
    <xf numFmtId="49" fontId="18" fillId="10" borderId="8" xfId="0" applyNumberFormat="1" applyFont="1" applyFill="1" applyBorder="1" applyAlignment="1">
      <alignment horizontal="center" vertical="center" wrapText="1"/>
    </xf>
    <xf numFmtId="0" fontId="15" fillId="10" borderId="16"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31" fillId="4" borderId="4" xfId="0" applyFont="1" applyFill="1" applyBorder="1" applyAlignment="1">
      <alignment horizontal="center" vertical="center" wrapText="1"/>
    </xf>
    <xf numFmtId="49" fontId="18" fillId="4" borderId="4" xfId="0" applyNumberFormat="1" applyFont="1" applyFill="1" applyBorder="1" applyAlignment="1">
      <alignment horizontal="center" vertical="center" wrapText="1"/>
    </xf>
    <xf numFmtId="0" fontId="14" fillId="4" borderId="8"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31" fillId="4" borderId="8" xfId="0" applyFont="1" applyFill="1" applyBorder="1" applyAlignment="1">
      <alignment horizontal="center" vertical="center" wrapText="1"/>
    </xf>
    <xf numFmtId="49" fontId="18" fillId="4" borderId="8" xfId="0" applyNumberFormat="1" applyFont="1" applyFill="1" applyBorder="1" applyAlignment="1">
      <alignment horizontal="center" vertical="center" wrapText="1"/>
    </xf>
    <xf numFmtId="0" fontId="15" fillId="4" borderId="16" xfId="0" applyFont="1" applyFill="1" applyBorder="1" applyAlignment="1">
      <alignment horizontal="center" vertical="center" wrapText="1"/>
    </xf>
    <xf numFmtId="0" fontId="36" fillId="4" borderId="2" xfId="0" applyFont="1" applyFill="1" applyBorder="1" applyAlignment="1">
      <alignment horizontal="center" vertical="center" wrapText="1"/>
    </xf>
    <xf numFmtId="0" fontId="36" fillId="4" borderId="3" xfId="0" applyFont="1" applyFill="1" applyBorder="1" applyAlignment="1">
      <alignment horizontal="center" vertical="center"/>
    </xf>
    <xf numFmtId="0" fontId="17" fillId="10" borderId="4" xfId="0" applyFont="1" applyFill="1" applyBorder="1" applyAlignment="1">
      <alignment horizontal="center" vertical="center" wrapText="1"/>
    </xf>
    <xf numFmtId="0" fontId="18" fillId="10" borderId="5" xfId="0" applyFont="1" applyFill="1" applyBorder="1" applyAlignment="1">
      <alignment horizontal="center" vertical="center" wrapText="1"/>
    </xf>
    <xf numFmtId="9" fontId="18" fillId="10" borderId="4" xfId="2" applyFont="1" applyFill="1" applyBorder="1" applyAlignment="1">
      <alignment horizontal="center" vertical="center"/>
    </xf>
    <xf numFmtId="0" fontId="18" fillId="10" borderId="4"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18" fillId="10" borderId="9" xfId="0" applyFont="1" applyFill="1" applyBorder="1" applyAlignment="1">
      <alignment horizontal="center" vertical="center" wrapText="1"/>
    </xf>
    <xf numFmtId="9" fontId="18" fillId="10" borderId="8" xfId="2" applyFont="1" applyFill="1" applyBorder="1" applyAlignment="1">
      <alignment horizontal="center" vertical="center"/>
    </xf>
    <xf numFmtId="0" fontId="18" fillId="10" borderId="8" xfId="0" applyFont="1" applyFill="1" applyBorder="1" applyAlignment="1">
      <alignment horizontal="center" vertical="center" wrapText="1"/>
    </xf>
    <xf numFmtId="0" fontId="18" fillId="10" borderId="18" xfId="0" applyFont="1" applyFill="1" applyBorder="1" applyAlignment="1">
      <alignment horizontal="center" vertical="center"/>
    </xf>
    <xf numFmtId="0" fontId="18" fillId="10" borderId="11" xfId="0" applyFont="1" applyFill="1" applyBorder="1" applyAlignment="1">
      <alignment horizontal="center" vertical="center"/>
    </xf>
    <xf numFmtId="0" fontId="18" fillId="10" borderId="16" xfId="0" applyFont="1" applyFill="1" applyBorder="1" applyAlignment="1">
      <alignment horizontal="center" vertical="center" wrapText="1"/>
    </xf>
    <xf numFmtId="0" fontId="17" fillId="0" borderId="4" xfId="0" applyFont="1" applyBorder="1" applyAlignment="1">
      <alignment horizontal="center" vertical="center" wrapText="1"/>
    </xf>
    <xf numFmtId="0" fontId="18" fillId="0" borderId="5" xfId="0" applyFont="1" applyBorder="1" applyAlignment="1">
      <alignment horizontal="center" vertical="center" wrapText="1"/>
    </xf>
    <xf numFmtId="9" fontId="18" fillId="0" borderId="4" xfId="2" applyFont="1" applyBorder="1" applyAlignment="1">
      <alignment horizontal="center" vertical="center"/>
    </xf>
    <xf numFmtId="9" fontId="18" fillId="4" borderId="4" xfId="2" applyFont="1" applyFill="1" applyBorder="1" applyAlignment="1">
      <alignment horizontal="center" vertical="center"/>
    </xf>
    <xf numFmtId="0" fontId="18" fillId="0" borderId="4" xfId="0" applyFont="1" applyBorder="1" applyAlignment="1">
      <alignment horizontal="center" vertical="center" wrapText="1"/>
    </xf>
    <xf numFmtId="0" fontId="17" fillId="0" borderId="8" xfId="0" applyFont="1" applyBorder="1" applyAlignment="1">
      <alignment horizontal="center" vertical="center" wrapText="1"/>
    </xf>
    <xf numFmtId="0" fontId="18" fillId="0" borderId="9" xfId="0" applyFont="1" applyBorder="1" applyAlignment="1">
      <alignment horizontal="center" vertical="center" wrapText="1"/>
    </xf>
    <xf numFmtId="9" fontId="18" fillId="0" borderId="8" xfId="2" applyFont="1" applyBorder="1" applyAlignment="1">
      <alignment horizontal="center" vertical="center"/>
    </xf>
    <xf numFmtId="9" fontId="18" fillId="4" borderId="8" xfId="2" applyFont="1" applyFill="1" applyBorder="1" applyAlignment="1">
      <alignment horizontal="center" vertical="center"/>
    </xf>
    <xf numFmtId="0" fontId="18" fillId="0" borderId="8" xfId="0" applyFont="1" applyBorder="1" applyAlignment="1">
      <alignment horizontal="center" vertical="center" wrapText="1"/>
    </xf>
    <xf numFmtId="0" fontId="18" fillId="0" borderId="11" xfId="0" applyFont="1" applyBorder="1" applyAlignment="1">
      <alignment horizontal="center" vertical="center"/>
    </xf>
    <xf numFmtId="0" fontId="18" fillId="0" borderId="16" xfId="0" applyFont="1" applyBorder="1" applyAlignment="1">
      <alignment horizontal="center" vertical="center" wrapText="1"/>
    </xf>
    <xf numFmtId="0" fontId="17" fillId="0" borderId="12" xfId="0" applyFont="1" applyBorder="1" applyAlignment="1">
      <alignment horizontal="center" vertical="center" wrapText="1"/>
    </xf>
    <xf numFmtId="9" fontId="18" fillId="0" borderId="12" xfId="2" applyFont="1" applyBorder="1" applyAlignment="1">
      <alignment horizontal="center" vertical="center"/>
    </xf>
    <xf numFmtId="9" fontId="18" fillId="4" borderId="12" xfId="2" applyFont="1" applyFill="1" applyBorder="1" applyAlignment="1">
      <alignment horizontal="center" vertical="center"/>
    </xf>
    <xf numFmtId="0" fontId="18" fillId="0" borderId="17" xfId="0" applyFont="1" applyBorder="1" applyAlignment="1">
      <alignment horizontal="center" vertical="center"/>
    </xf>
    <xf numFmtId="0" fontId="18" fillId="0" borderId="12" xfId="0" applyFont="1" applyBorder="1" applyAlignment="1">
      <alignment horizontal="center" vertical="center" wrapText="1"/>
    </xf>
    <xf numFmtId="0" fontId="17" fillId="7" borderId="4" xfId="0" applyFont="1" applyFill="1" applyBorder="1" applyAlignment="1">
      <alignment horizontal="center" vertical="center" wrapText="1"/>
    </xf>
    <xf numFmtId="0" fontId="17" fillId="7" borderId="8" xfId="0" applyFont="1" applyFill="1" applyBorder="1" applyAlignment="1">
      <alignment horizontal="center" vertical="center" wrapText="1"/>
    </xf>
    <xf numFmtId="0" fontId="17" fillId="7" borderId="12" xfId="0" applyFont="1" applyFill="1" applyBorder="1" applyAlignment="1">
      <alignment horizontal="center" vertical="center" wrapText="1"/>
    </xf>
    <xf numFmtId="0" fontId="14" fillId="0" borderId="0" xfId="0" applyFont="1" applyFill="1" applyBorder="1" applyAlignment="1">
      <alignment horizontal="center" vertical="center" wrapText="1"/>
    </xf>
    <xf numFmtId="43" fontId="34" fillId="0" borderId="0" xfId="0" applyNumberFormat="1" applyFont="1" applyAlignment="1">
      <alignment horizontal="center" vertical="center"/>
    </xf>
    <xf numFmtId="187" fontId="18" fillId="0" borderId="0" xfId="0" applyNumberFormat="1" applyFont="1" applyAlignment="1">
      <alignment horizontal="right"/>
    </xf>
    <xf numFmtId="0" fontId="16" fillId="4" borderId="1" xfId="0" applyFont="1" applyFill="1" applyBorder="1" applyAlignment="1">
      <alignment horizontal="center" vertical="center"/>
    </xf>
    <xf numFmtId="9" fontId="16" fillId="4" borderId="1" xfId="2" applyFont="1" applyFill="1" applyBorder="1" applyAlignment="1">
      <alignment horizontal="center" vertical="center" wrapText="1"/>
    </xf>
    <xf numFmtId="9" fontId="16" fillId="4" borderId="2" xfId="2"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4" borderId="0" xfId="0" applyFont="1" applyFill="1" applyBorder="1" applyAlignment="1">
      <alignment horizontal="center" vertical="center" wrapText="1"/>
    </xf>
    <xf numFmtId="41" fontId="38" fillId="0" borderId="1" xfId="1" applyFont="1" applyBorder="1">
      <alignment vertical="center"/>
    </xf>
    <xf numFmtId="41" fontId="18" fillId="0" borderId="19" xfId="1" applyFont="1" applyBorder="1">
      <alignment vertical="center"/>
    </xf>
    <xf numFmtId="0" fontId="17" fillId="0" borderId="4" xfId="0" quotePrefix="1" applyFont="1" applyBorder="1" applyAlignment="1">
      <alignment horizontal="left" vertical="center" wrapText="1"/>
    </xf>
    <xf numFmtId="0" fontId="17" fillId="0" borderId="6" xfId="0" applyFont="1" applyBorder="1" applyAlignment="1">
      <alignment horizontal="center" vertical="center"/>
    </xf>
    <xf numFmtId="186" fontId="17" fillId="0" borderId="7" xfId="1" applyNumberFormat="1" applyFont="1" applyBorder="1" applyAlignment="1">
      <alignment horizontal="right" vertical="center" wrapText="1"/>
    </xf>
    <xf numFmtId="176" fontId="16" fillId="0" borderId="6" xfId="1" applyNumberFormat="1" applyFont="1" applyBorder="1" applyAlignment="1">
      <alignment horizontal="center" vertical="center"/>
    </xf>
    <xf numFmtId="177" fontId="16" fillId="0" borderId="7" xfId="1" applyNumberFormat="1" applyFont="1" applyBorder="1" applyAlignment="1">
      <alignment horizontal="right" vertical="center" wrapText="1"/>
    </xf>
    <xf numFmtId="9" fontId="16" fillId="0" borderId="7" xfId="2" applyFont="1" applyBorder="1" applyAlignment="1">
      <alignment horizontal="center" vertical="center"/>
    </xf>
    <xf numFmtId="0" fontId="17" fillId="0" borderId="10" xfId="0" applyFont="1" applyBorder="1" applyAlignment="1">
      <alignment horizontal="center" vertical="center"/>
    </xf>
    <xf numFmtId="186" fontId="17" fillId="0" borderId="11" xfId="1" applyNumberFormat="1" applyFont="1" applyBorder="1" applyAlignment="1">
      <alignment horizontal="right" vertical="center" wrapText="1"/>
    </xf>
    <xf numFmtId="176" fontId="17" fillId="0" borderId="10" xfId="1" applyNumberFormat="1" applyFont="1" applyBorder="1" applyAlignment="1">
      <alignment horizontal="center" vertical="center"/>
    </xf>
    <xf numFmtId="177" fontId="17" fillId="0" borderId="11" xfId="1" applyNumberFormat="1" applyFont="1" applyBorder="1" applyAlignment="1">
      <alignment horizontal="right" vertical="center" wrapText="1"/>
    </xf>
    <xf numFmtId="178" fontId="17" fillId="0" borderId="11" xfId="0" applyNumberFormat="1" applyFont="1" applyBorder="1" applyAlignment="1">
      <alignment horizontal="center" vertical="center"/>
    </xf>
    <xf numFmtId="0" fontId="17" fillId="0" borderId="8" xfId="0" applyFont="1" applyBorder="1" applyAlignment="1">
      <alignment horizontal="left" vertical="center" wrapText="1"/>
    </xf>
    <xf numFmtId="176" fontId="17" fillId="0" borderId="10" xfId="1" applyNumberFormat="1" applyFont="1" applyBorder="1" applyAlignment="1">
      <alignment horizontal="center" vertical="center" wrapText="1"/>
    </xf>
    <xf numFmtId="0" fontId="17" fillId="0" borderId="0" xfId="0" applyFont="1" applyBorder="1" applyAlignment="1">
      <alignment horizontal="center" vertical="center" wrapText="1"/>
    </xf>
    <xf numFmtId="0" fontId="17" fillId="0" borderId="12" xfId="0" applyFont="1" applyBorder="1" applyAlignment="1">
      <alignment horizontal="left" vertical="center" wrapText="1"/>
    </xf>
    <xf numFmtId="0" fontId="16" fillId="0" borderId="14" xfId="0" applyFont="1" applyBorder="1" applyAlignment="1">
      <alignment horizontal="center" vertical="center" wrapText="1"/>
    </xf>
    <xf numFmtId="179" fontId="16" fillId="0" borderId="15" xfId="2" applyNumberFormat="1" applyFont="1" applyBorder="1" applyAlignment="1">
      <alignment horizontal="right" vertical="center" wrapText="1"/>
    </xf>
    <xf numFmtId="0" fontId="17" fillId="0" borderId="4" xfId="0" applyFont="1" applyBorder="1" applyAlignment="1">
      <alignment horizontal="left" vertical="center" wrapText="1"/>
    </xf>
    <xf numFmtId="0" fontId="18" fillId="0" borderId="1" xfId="0" applyFont="1" applyBorder="1" applyAlignment="1">
      <alignment horizontal="center" vertical="center"/>
    </xf>
    <xf numFmtId="41" fontId="18" fillId="0" borderId="1" xfId="1" applyFont="1" applyBorder="1">
      <alignment vertical="center"/>
    </xf>
    <xf numFmtId="176" fontId="18" fillId="0" borderId="1" xfId="0" applyNumberFormat="1" applyFont="1" applyBorder="1" applyAlignment="1">
      <alignment horizontal="center" vertical="center"/>
    </xf>
    <xf numFmtId="0" fontId="18" fillId="0" borderId="1" xfId="0" applyFont="1" applyBorder="1">
      <alignment vertical="center"/>
    </xf>
    <xf numFmtId="176" fontId="38" fillId="0" borderId="1" xfId="2" applyNumberFormat="1" applyFont="1" applyBorder="1" applyAlignment="1">
      <alignment horizontal="center" vertical="center"/>
    </xf>
    <xf numFmtId="9" fontId="18" fillId="0" borderId="1" xfId="2" applyFont="1" applyBorder="1" applyAlignment="1">
      <alignment horizontal="center" vertical="center"/>
    </xf>
    <xf numFmtId="176" fontId="18" fillId="0" borderId="0" xfId="0" applyNumberFormat="1" applyFont="1" applyAlignment="1">
      <alignment horizontal="center" vertical="center"/>
    </xf>
    <xf numFmtId="176" fontId="18" fillId="0" borderId="12" xfId="0" applyNumberFormat="1" applyFont="1" applyBorder="1" applyAlignment="1">
      <alignment horizontal="center" vertical="center"/>
    </xf>
    <xf numFmtId="0" fontId="17" fillId="0" borderId="13" xfId="0" applyFont="1" applyBorder="1" applyAlignment="1">
      <alignment horizontal="center" vertical="center"/>
    </xf>
    <xf numFmtId="0" fontId="17" fillId="3" borderId="25" xfId="0" applyFont="1" applyFill="1" applyBorder="1" applyAlignment="1">
      <alignment horizontal="center" vertical="center"/>
    </xf>
    <xf numFmtId="178" fontId="17" fillId="4" borderId="29" xfId="0" applyNumberFormat="1" applyFont="1" applyFill="1" applyBorder="1" applyAlignment="1">
      <alignment horizontal="center" vertical="center"/>
    </xf>
    <xf numFmtId="177" fontId="17" fillId="0" borderId="29" xfId="1" applyNumberFormat="1" applyFont="1" applyFill="1" applyBorder="1" applyAlignment="1">
      <alignment horizontal="center" vertical="center"/>
    </xf>
    <xf numFmtId="177" fontId="17" fillId="0" borderId="27" xfId="1" applyNumberFormat="1" applyFont="1" applyFill="1" applyBorder="1" applyAlignment="1">
      <alignment horizontal="center" vertical="center"/>
    </xf>
    <xf numFmtId="0" fontId="16" fillId="4" borderId="2" xfId="0" applyFont="1" applyFill="1" applyBorder="1" applyAlignment="1">
      <alignment horizontal="center" vertical="center" wrapText="1"/>
    </xf>
    <xf numFmtId="0" fontId="16" fillId="4" borderId="3" xfId="0" applyFont="1" applyFill="1" applyBorder="1" applyAlignment="1">
      <alignment horizontal="center" vertical="center"/>
    </xf>
    <xf numFmtId="0" fontId="16" fillId="0" borderId="5" xfId="0" applyFont="1" applyBorder="1" applyAlignment="1">
      <alignment horizontal="center" vertical="center" wrapText="1"/>
    </xf>
    <xf numFmtId="9" fontId="17" fillId="0" borderId="4" xfId="2" applyFont="1" applyBorder="1" applyAlignment="1">
      <alignment horizontal="center" vertical="center"/>
    </xf>
    <xf numFmtId="9" fontId="17" fillId="4" borderId="4" xfId="2" applyFont="1" applyFill="1" applyBorder="1" applyAlignment="1">
      <alignment horizontal="center" vertical="center"/>
    </xf>
    <xf numFmtId="0" fontId="17" fillId="0" borderId="4" xfId="0" quotePrefix="1" applyFont="1" applyBorder="1" applyAlignment="1">
      <alignment horizontal="center" vertical="center" wrapText="1"/>
    </xf>
    <xf numFmtId="0" fontId="16" fillId="0" borderId="9" xfId="0" applyFont="1" applyBorder="1" applyAlignment="1">
      <alignment horizontal="center" vertical="center" wrapText="1"/>
    </xf>
    <xf numFmtId="9" fontId="17" fillId="0" borderId="8" xfId="2" applyFont="1" applyBorder="1" applyAlignment="1">
      <alignment horizontal="center" vertical="center"/>
    </xf>
    <xf numFmtId="9" fontId="17" fillId="4" borderId="8" xfId="2" applyFont="1" applyFill="1" applyBorder="1" applyAlignment="1">
      <alignment horizontal="center" vertical="center"/>
    </xf>
    <xf numFmtId="0" fontId="17" fillId="0" borderId="16" xfId="0" applyFont="1" applyBorder="1" applyAlignment="1">
      <alignment horizontal="center" vertical="center" wrapText="1"/>
    </xf>
    <xf numFmtId="0" fontId="17" fillId="0" borderId="12" xfId="0" quotePrefix="1" applyFont="1" applyBorder="1" applyAlignment="1">
      <alignment horizontal="center" vertical="center" wrapText="1"/>
    </xf>
    <xf numFmtId="0" fontId="17" fillId="0" borderId="17" xfId="0" applyFont="1" applyBorder="1" applyAlignment="1">
      <alignment horizontal="center" vertical="center"/>
    </xf>
    <xf numFmtId="0" fontId="17" fillId="8" borderId="4" xfId="0" applyFont="1" applyFill="1" applyBorder="1" applyAlignment="1">
      <alignment horizontal="center" vertical="center" wrapText="1"/>
    </xf>
    <xf numFmtId="0" fontId="17" fillId="8" borderId="8" xfId="0" applyFont="1" applyFill="1" applyBorder="1" applyAlignment="1">
      <alignment horizontal="center" vertical="center" wrapText="1"/>
    </xf>
    <xf numFmtId="0" fontId="17" fillId="8" borderId="12" xfId="0" applyFont="1" applyFill="1" applyBorder="1" applyAlignment="1">
      <alignment horizontal="center" vertical="center" wrapText="1"/>
    </xf>
    <xf numFmtId="0" fontId="17" fillId="0" borderId="4" xfId="2" applyNumberFormat="1" applyFont="1" applyBorder="1" applyAlignment="1">
      <alignment horizontal="center" vertical="center" wrapText="1"/>
    </xf>
    <xf numFmtId="0" fontId="17" fillId="0" borderId="8" xfId="2" quotePrefix="1" applyNumberFormat="1" applyFont="1" applyBorder="1" applyAlignment="1">
      <alignment horizontal="center" vertical="center" wrapText="1"/>
    </xf>
    <xf numFmtId="0" fontId="17" fillId="0" borderId="12" xfId="2" quotePrefix="1" applyNumberFormat="1" applyFont="1" applyBorder="1" applyAlignment="1">
      <alignment horizontal="center" vertical="center" wrapText="1"/>
    </xf>
    <xf numFmtId="9" fontId="16" fillId="4" borderId="4" xfId="2" applyFont="1" applyFill="1" applyBorder="1" applyAlignment="1">
      <alignment horizontal="center" vertical="center"/>
    </xf>
    <xf numFmtId="9" fontId="16" fillId="4" borderId="8" xfId="2" applyFont="1" applyFill="1" applyBorder="1" applyAlignment="1">
      <alignment horizontal="center" vertical="center"/>
    </xf>
    <xf numFmtId="176" fontId="18" fillId="0" borderId="16" xfId="0" applyNumberFormat="1" applyFont="1" applyBorder="1" applyAlignment="1">
      <alignment horizontal="center" vertical="center"/>
    </xf>
    <xf numFmtId="0" fontId="18" fillId="0" borderId="8" xfId="0" applyFont="1" applyBorder="1" applyAlignment="1">
      <alignment horizontal="center" vertical="center"/>
    </xf>
    <xf numFmtId="0" fontId="18" fillId="0" borderId="23" xfId="0" applyFont="1" applyBorder="1" applyAlignment="1">
      <alignment horizontal="center" vertical="center"/>
    </xf>
    <xf numFmtId="9" fontId="38" fillId="0" borderId="4" xfId="2" applyFont="1" applyBorder="1" applyAlignment="1">
      <alignment horizontal="center" vertical="center"/>
    </xf>
    <xf numFmtId="9" fontId="38" fillId="0" borderId="12" xfId="2" applyFont="1" applyBorder="1" applyAlignment="1">
      <alignment horizontal="center" vertical="center"/>
    </xf>
    <xf numFmtId="0" fontId="18" fillId="0" borderId="4" xfId="0" applyFont="1" applyBorder="1" applyAlignment="1">
      <alignment horizontal="center" vertical="center"/>
    </xf>
    <xf numFmtId="0" fontId="18" fillId="0" borderId="12" xfId="0" applyFont="1" applyBorder="1" applyAlignment="1">
      <alignment horizontal="center" vertical="center"/>
    </xf>
    <xf numFmtId="0" fontId="17" fillId="0" borderId="18" xfId="0" applyFont="1" applyBorder="1" applyAlignment="1">
      <alignment horizontal="center" vertical="center"/>
    </xf>
    <xf numFmtId="0" fontId="17" fillId="0" borderId="11" xfId="0" applyFont="1" applyBorder="1" applyAlignment="1">
      <alignment horizontal="center" vertical="center"/>
    </xf>
    <xf numFmtId="176" fontId="18" fillId="6" borderId="0" xfId="1" applyNumberFormat="1" applyFont="1" applyFill="1" applyBorder="1" applyAlignment="1">
      <alignment horizontal="center" vertical="center" wrapText="1"/>
    </xf>
    <xf numFmtId="186" fontId="18" fillId="0" borderId="0" xfId="0" applyNumberFormat="1" applyFont="1" applyAlignment="1">
      <alignment horizontal="center" vertical="center"/>
    </xf>
    <xf numFmtId="0" fontId="13" fillId="4" borderId="0" xfId="0" applyFont="1" applyFill="1" applyBorder="1" applyAlignment="1">
      <alignment horizontal="center" vertical="center"/>
    </xf>
    <xf numFmtId="0" fontId="13" fillId="4" borderId="0" xfId="0" applyFont="1" applyFill="1" applyBorder="1" applyAlignment="1">
      <alignment horizontal="center" vertical="center" wrapText="1"/>
    </xf>
    <xf numFmtId="0" fontId="14" fillId="8" borderId="0" xfId="0" applyFont="1" applyFill="1" applyBorder="1" applyAlignment="1">
      <alignment horizontal="center" vertical="center" wrapText="1"/>
    </xf>
    <xf numFmtId="0" fontId="18" fillId="0" borderId="0" xfId="0" applyFont="1" applyBorder="1">
      <alignment vertical="center"/>
    </xf>
    <xf numFmtId="0" fontId="18" fillId="10" borderId="0" xfId="0" applyFont="1" applyFill="1" applyBorder="1">
      <alignment vertical="center"/>
    </xf>
    <xf numFmtId="0" fontId="36" fillId="4" borderId="0" xfId="0" applyFont="1" applyFill="1" applyBorder="1" applyAlignment="1">
      <alignment horizontal="center" vertical="center" wrapText="1"/>
    </xf>
    <xf numFmtId="41" fontId="33" fillId="0" borderId="0" xfId="1" applyFont="1" applyAlignment="1">
      <alignment horizontal="center" vertical="center"/>
    </xf>
    <xf numFmtId="41" fontId="33" fillId="0" borderId="0" xfId="1" applyFont="1">
      <alignment vertical="center"/>
    </xf>
    <xf numFmtId="0" fontId="33" fillId="0" borderId="0" xfId="0" applyFont="1">
      <alignment vertical="center"/>
    </xf>
    <xf numFmtId="0" fontId="18" fillId="0" borderId="12" xfId="0" applyFont="1" applyBorder="1" applyAlignment="1">
      <alignment horizontal="left" vertical="center" wrapText="1"/>
    </xf>
    <xf numFmtId="187" fontId="17" fillId="0" borderId="12" xfId="0" applyNumberFormat="1" applyFont="1" applyBorder="1" applyAlignment="1">
      <alignment horizontal="center" vertical="center" wrapText="1"/>
    </xf>
    <xf numFmtId="0" fontId="18" fillId="0" borderId="8" xfId="0" applyFont="1" applyBorder="1" applyAlignment="1">
      <alignment horizontal="left" vertical="center" wrapText="1"/>
    </xf>
    <xf numFmtId="0" fontId="18" fillId="0" borderId="4" xfId="0" quotePrefix="1" applyFont="1" applyBorder="1" applyAlignment="1">
      <alignment horizontal="left" vertical="center" wrapText="1"/>
    </xf>
    <xf numFmtId="0" fontId="18" fillId="0" borderId="8" xfId="0" quotePrefix="1" applyFont="1" applyBorder="1" applyAlignment="1">
      <alignment horizontal="left" vertical="center" wrapText="1"/>
    </xf>
    <xf numFmtId="49" fontId="18" fillId="0" borderId="22" xfId="0" applyNumberFormat="1" applyFont="1" applyBorder="1" applyAlignment="1">
      <alignment horizontal="center" vertical="center" wrapText="1"/>
    </xf>
    <xf numFmtId="49" fontId="18" fillId="0" borderId="16" xfId="0" applyNumberFormat="1" applyFont="1" applyBorder="1" applyAlignment="1">
      <alignment horizontal="center" vertical="center" wrapText="1"/>
    </xf>
    <xf numFmtId="9" fontId="39" fillId="4" borderId="4" xfId="2" applyFont="1" applyFill="1" applyBorder="1" applyAlignment="1">
      <alignment horizontal="center" vertical="center"/>
    </xf>
    <xf numFmtId="9" fontId="39" fillId="4" borderId="8" xfId="2" applyFont="1" applyFill="1" applyBorder="1" applyAlignment="1">
      <alignment horizontal="center" vertical="center"/>
    </xf>
    <xf numFmtId="0" fontId="18" fillId="0" borderId="30" xfId="0" applyFont="1" applyBorder="1" applyAlignment="1">
      <alignment horizontal="center" vertical="center" wrapText="1"/>
    </xf>
    <xf numFmtId="0" fontId="17" fillId="0" borderId="8" xfId="2" applyNumberFormat="1" applyFont="1" applyBorder="1" applyAlignment="1">
      <alignment horizontal="center" vertical="center" wrapText="1"/>
    </xf>
    <xf numFmtId="0" fontId="17" fillId="0" borderId="12" xfId="2" applyNumberFormat="1" applyFont="1" applyBorder="1" applyAlignment="1">
      <alignment horizontal="center" vertical="center" wrapText="1"/>
    </xf>
    <xf numFmtId="0" fontId="17" fillId="0" borderId="5" xfId="0" applyFont="1" applyBorder="1" applyAlignment="1">
      <alignment horizontal="center" vertical="center" wrapText="1"/>
    </xf>
    <xf numFmtId="0" fontId="17" fillId="0" borderId="9" xfId="0" applyFont="1" applyBorder="1" applyAlignment="1">
      <alignment horizontal="center" vertical="center" wrapText="1"/>
    </xf>
    <xf numFmtId="0" fontId="18" fillId="0" borderId="5" xfId="0" applyFont="1" applyFill="1" applyBorder="1" applyAlignment="1">
      <alignment horizontal="center" vertical="center" wrapText="1"/>
    </xf>
    <xf numFmtId="0" fontId="18" fillId="0" borderId="9" xfId="0" applyFont="1" applyFill="1" applyBorder="1" applyAlignment="1">
      <alignment horizontal="center" vertical="center" wrapText="1"/>
    </xf>
    <xf numFmtId="0" fontId="17" fillId="0" borderId="30"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3" xfId="0" applyFont="1" applyBorder="1" applyAlignment="1">
      <alignment horizontal="center" vertical="center" wrapText="1"/>
    </xf>
    <xf numFmtId="0" fontId="17" fillId="0" borderId="4" xfId="0" applyFont="1" applyBorder="1" applyAlignment="1">
      <alignment horizontal="center" vertical="center"/>
    </xf>
    <xf numFmtId="0" fontId="17" fillId="0" borderId="8" xfId="0" applyFont="1" applyBorder="1" applyAlignment="1">
      <alignment horizontal="center" vertical="center"/>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7" fillId="0" borderId="4" xfId="0" applyFont="1" applyBorder="1" applyAlignment="1">
      <alignment vertical="center" wrapText="1"/>
    </xf>
    <xf numFmtId="0" fontId="17" fillId="0" borderId="12" xfId="0" applyFont="1" applyBorder="1" applyAlignment="1">
      <alignment vertical="center" wrapText="1"/>
    </xf>
    <xf numFmtId="0" fontId="18" fillId="0" borderId="4" xfId="0" applyFont="1" applyBorder="1" applyAlignment="1">
      <alignment vertical="center" wrapText="1"/>
    </xf>
    <xf numFmtId="0" fontId="18" fillId="0" borderId="4" xfId="0" applyFont="1" applyFill="1" applyBorder="1" applyAlignment="1">
      <alignment vertical="center" wrapText="1"/>
    </xf>
    <xf numFmtId="0" fontId="18" fillId="0" borderId="12" xfId="0" applyFont="1" applyFill="1" applyBorder="1" applyAlignment="1">
      <alignment vertical="center" wrapText="1"/>
    </xf>
    <xf numFmtId="0" fontId="18" fillId="8" borderId="4" xfId="0" applyFont="1" applyFill="1" applyBorder="1" applyAlignment="1">
      <alignment vertical="center" wrapText="1"/>
    </xf>
    <xf numFmtId="0" fontId="18" fillId="8" borderId="12" xfId="0" applyFont="1" applyFill="1" applyBorder="1" applyAlignment="1">
      <alignment vertical="center" wrapText="1"/>
    </xf>
    <xf numFmtId="0" fontId="18" fillId="0" borderId="30" xfId="0" applyFont="1" applyBorder="1" applyAlignment="1">
      <alignment vertical="center" wrapText="1"/>
    </xf>
    <xf numFmtId="9" fontId="40" fillId="0" borderId="4" xfId="2" applyFont="1" applyBorder="1" applyAlignment="1">
      <alignment horizontal="center" vertical="center"/>
    </xf>
    <xf numFmtId="9" fontId="40" fillId="0" borderId="8" xfId="2" applyFont="1" applyBorder="1" applyAlignment="1">
      <alignment horizontal="center" vertical="center"/>
    </xf>
    <xf numFmtId="41" fontId="18" fillId="4" borderId="2" xfId="1" applyFont="1" applyFill="1" applyBorder="1">
      <alignment vertical="center"/>
    </xf>
    <xf numFmtId="41" fontId="18" fillId="4" borderId="0" xfId="1" applyFont="1" applyFill="1" applyBorder="1">
      <alignment vertical="center"/>
    </xf>
    <xf numFmtId="41" fontId="18" fillId="0" borderId="0" xfId="1" applyFont="1" applyBorder="1">
      <alignment vertical="center"/>
    </xf>
    <xf numFmtId="0" fontId="18" fillId="0" borderId="19" xfId="0" applyFont="1" applyBorder="1" applyAlignment="1">
      <alignment horizontal="center" vertical="center"/>
    </xf>
    <xf numFmtId="0" fontId="18" fillId="0" borderId="24" xfId="0" applyFont="1" applyBorder="1" applyAlignment="1">
      <alignment horizontal="center" vertical="center"/>
    </xf>
    <xf numFmtId="41" fontId="18" fillId="0" borderId="24" xfId="1" applyFont="1" applyBorder="1" applyAlignment="1">
      <alignment horizontal="center" vertical="center"/>
    </xf>
    <xf numFmtId="41" fontId="18" fillId="0" borderId="24" xfId="1" applyFont="1" applyBorder="1">
      <alignment vertical="center"/>
    </xf>
    <xf numFmtId="0" fontId="17" fillId="8" borderId="4" xfId="0" quotePrefix="1" applyFont="1" applyFill="1" applyBorder="1" applyAlignment="1">
      <alignment horizontal="left" vertical="center" wrapText="1"/>
    </xf>
    <xf numFmtId="0" fontId="17" fillId="8" borderId="6" xfId="0" applyFont="1" applyFill="1" applyBorder="1" applyAlignment="1">
      <alignment horizontal="center" vertical="center"/>
    </xf>
    <xf numFmtId="186" fontId="17" fillId="8" borderId="7" xfId="1" applyNumberFormat="1" applyFont="1" applyFill="1" applyBorder="1" applyAlignment="1">
      <alignment horizontal="right" vertical="center" wrapText="1"/>
    </xf>
    <xf numFmtId="176" fontId="16" fillId="8" borderId="6" xfId="1" applyNumberFormat="1" applyFont="1" applyFill="1" applyBorder="1" applyAlignment="1">
      <alignment horizontal="center" vertical="center"/>
    </xf>
    <xf numFmtId="177" fontId="16" fillId="8" borderId="7" xfId="1" applyNumberFormat="1" applyFont="1" applyFill="1" applyBorder="1" applyAlignment="1">
      <alignment horizontal="right" vertical="center" wrapText="1"/>
    </xf>
    <xf numFmtId="179" fontId="16" fillId="8" borderId="7" xfId="2" applyNumberFormat="1" applyFont="1" applyFill="1" applyBorder="1" applyAlignment="1">
      <alignment horizontal="center" vertical="center"/>
    </xf>
    <xf numFmtId="0" fontId="17" fillId="8" borderId="10" xfId="0" applyFont="1" applyFill="1" applyBorder="1" applyAlignment="1">
      <alignment horizontal="center" vertical="center"/>
    </xf>
    <xf numFmtId="186" fontId="17" fillId="8" borderId="11" xfId="1" applyNumberFormat="1" applyFont="1" applyFill="1" applyBorder="1" applyAlignment="1">
      <alignment horizontal="right" vertical="center" wrapText="1"/>
    </xf>
    <xf numFmtId="177" fontId="17" fillId="8" borderId="11" xfId="1" applyNumberFormat="1" applyFont="1" applyFill="1" applyBorder="1" applyAlignment="1">
      <alignment horizontal="right" vertical="center" wrapText="1"/>
    </xf>
    <xf numFmtId="0" fontId="17" fillId="8" borderId="8" xfId="0" applyFont="1" applyFill="1" applyBorder="1" applyAlignment="1">
      <alignment horizontal="left" vertical="center" wrapText="1"/>
    </xf>
    <xf numFmtId="176" fontId="17" fillId="8" borderId="10" xfId="1" applyNumberFormat="1" applyFont="1" applyFill="1" applyBorder="1" applyAlignment="1">
      <alignment horizontal="center" vertical="center" wrapText="1"/>
    </xf>
    <xf numFmtId="179" fontId="16" fillId="8" borderId="15" xfId="2" applyNumberFormat="1" applyFont="1" applyFill="1" applyBorder="1" applyAlignment="1">
      <alignment horizontal="right" vertical="center" wrapText="1"/>
    </xf>
    <xf numFmtId="0" fontId="14" fillId="8" borderId="4" xfId="0" quotePrefix="1" applyFont="1" applyFill="1" applyBorder="1" applyAlignment="1">
      <alignment horizontal="left" vertical="center" wrapText="1"/>
    </xf>
    <xf numFmtId="0" fontId="14" fillId="8" borderId="8" xfId="0" quotePrefix="1" applyFont="1" applyFill="1" applyBorder="1" applyAlignment="1">
      <alignment horizontal="left" vertical="center" wrapText="1"/>
    </xf>
    <xf numFmtId="0" fontId="17" fillId="0" borderId="4" xfId="0" quotePrefix="1" applyFont="1" applyFill="1" applyBorder="1" applyAlignment="1">
      <alignment horizontal="left" vertical="center" wrapText="1"/>
    </xf>
    <xf numFmtId="0" fontId="17" fillId="0" borderId="6" xfId="0" applyFont="1" applyFill="1" applyBorder="1" applyAlignment="1">
      <alignment horizontal="center" vertical="center"/>
    </xf>
    <xf numFmtId="0" fontId="17" fillId="0" borderId="10" xfId="0" applyFont="1" applyFill="1" applyBorder="1" applyAlignment="1">
      <alignment horizontal="center" vertical="center"/>
    </xf>
    <xf numFmtId="0" fontId="16" fillId="0" borderId="6" xfId="0" applyFont="1" applyBorder="1" applyAlignment="1">
      <alignment horizontal="center" vertical="center"/>
    </xf>
    <xf numFmtId="9" fontId="18" fillId="0" borderId="0" xfId="2" applyFont="1">
      <alignment vertical="center"/>
    </xf>
    <xf numFmtId="186" fontId="16" fillId="0" borderId="7" xfId="1" applyNumberFormat="1" applyFont="1" applyBorder="1" applyAlignment="1">
      <alignment horizontal="right" vertical="center" wrapText="1"/>
    </xf>
    <xf numFmtId="179" fontId="16" fillId="0" borderId="7" xfId="2" applyNumberFormat="1" applyFont="1" applyBorder="1" applyAlignment="1">
      <alignment horizontal="center" vertical="center"/>
    </xf>
    <xf numFmtId="0" fontId="18" fillId="6" borderId="4" xfId="0" applyFont="1" applyFill="1" applyBorder="1" applyAlignment="1">
      <alignment horizontal="center" vertical="center"/>
    </xf>
    <xf numFmtId="176" fontId="36" fillId="6" borderId="4" xfId="1" applyNumberFormat="1" applyFont="1" applyFill="1" applyBorder="1" applyAlignment="1">
      <alignment vertical="center" wrapText="1"/>
    </xf>
    <xf numFmtId="9" fontId="18" fillId="3" borderId="1" xfId="2" applyFont="1" applyFill="1" applyBorder="1" applyAlignment="1">
      <alignment horizontal="center" vertical="center"/>
    </xf>
    <xf numFmtId="0" fontId="18" fillId="6" borderId="36" xfId="0" applyFont="1" applyFill="1" applyBorder="1" applyAlignment="1">
      <alignment horizontal="center" vertical="center"/>
    </xf>
    <xf numFmtId="0" fontId="36" fillId="6" borderId="12" xfId="0" applyFont="1" applyFill="1" applyBorder="1" applyAlignment="1">
      <alignment horizontal="center" vertical="center"/>
    </xf>
    <xf numFmtId="176" fontId="36" fillId="6" borderId="12" xfId="1" applyNumberFormat="1" applyFont="1" applyFill="1" applyBorder="1" applyAlignment="1">
      <alignment vertical="center" wrapText="1"/>
    </xf>
    <xf numFmtId="9" fontId="16" fillId="0" borderId="15" xfId="2" applyNumberFormat="1" applyFont="1" applyBorder="1" applyAlignment="1">
      <alignment horizontal="right" vertical="center" wrapText="1"/>
    </xf>
    <xf numFmtId="41" fontId="42" fillId="3" borderId="3" xfId="1" applyFont="1" applyFill="1" applyBorder="1" applyAlignment="1">
      <alignment horizontal="center" vertical="center"/>
    </xf>
    <xf numFmtId="0" fontId="16" fillId="8" borderId="6" xfId="0" applyFont="1" applyFill="1" applyBorder="1" applyAlignment="1">
      <alignment horizontal="center" vertical="center"/>
    </xf>
    <xf numFmtId="186" fontId="16" fillId="8" borderId="7" xfId="1" applyNumberFormat="1" applyFont="1" applyFill="1" applyBorder="1" applyAlignment="1">
      <alignment horizontal="right" vertical="center" wrapText="1"/>
    </xf>
    <xf numFmtId="41" fontId="18" fillId="7" borderId="0" xfId="1" applyFont="1" applyFill="1">
      <alignment vertical="center"/>
    </xf>
    <xf numFmtId="0" fontId="18" fillId="7" borderId="4" xfId="0" applyFont="1" applyFill="1" applyBorder="1" applyAlignment="1">
      <alignment horizontal="center" vertical="center"/>
    </xf>
    <xf numFmtId="176" fontId="12" fillId="7" borderId="4" xfId="1" applyNumberFormat="1" applyFont="1" applyFill="1" applyBorder="1" applyAlignment="1">
      <alignment vertical="center" wrapText="1"/>
    </xf>
    <xf numFmtId="41" fontId="18" fillId="7" borderId="3" xfId="1" applyFont="1" applyFill="1" applyBorder="1">
      <alignment vertical="center"/>
    </xf>
    <xf numFmtId="0" fontId="18" fillId="6" borderId="12" xfId="0" applyFont="1" applyFill="1" applyBorder="1" applyAlignment="1">
      <alignment horizontal="center" vertical="center"/>
    </xf>
    <xf numFmtId="176" fontId="36" fillId="0" borderId="4" xfId="1" applyNumberFormat="1" applyFont="1" applyFill="1" applyBorder="1" applyAlignment="1">
      <alignment vertical="center" wrapText="1"/>
    </xf>
    <xf numFmtId="176" fontId="36" fillId="0" borderId="12" xfId="1" applyNumberFormat="1" applyFont="1" applyFill="1" applyBorder="1" applyAlignment="1">
      <alignment vertical="center" wrapText="1"/>
    </xf>
    <xf numFmtId="0" fontId="13" fillId="8" borderId="6" xfId="0" applyFont="1" applyFill="1" applyBorder="1" applyAlignment="1">
      <alignment horizontal="center" vertical="center"/>
    </xf>
    <xf numFmtId="186" fontId="13" fillId="8" borderId="7" xfId="1" applyNumberFormat="1" applyFont="1" applyFill="1" applyBorder="1" applyAlignment="1">
      <alignment horizontal="right" vertical="center" wrapText="1"/>
    </xf>
    <xf numFmtId="176" fontId="13" fillId="8" borderId="6" xfId="1" applyNumberFormat="1" applyFont="1" applyFill="1" applyBorder="1" applyAlignment="1">
      <alignment horizontal="center" vertical="center"/>
    </xf>
    <xf numFmtId="176" fontId="12" fillId="6" borderId="4" xfId="1" applyNumberFormat="1" applyFont="1" applyFill="1" applyBorder="1" applyAlignment="1">
      <alignment vertical="center" wrapText="1"/>
    </xf>
    <xf numFmtId="176" fontId="14" fillId="8" borderId="10" xfId="1" applyNumberFormat="1" applyFont="1" applyFill="1" applyBorder="1" applyAlignment="1">
      <alignment horizontal="center" vertical="center"/>
    </xf>
    <xf numFmtId="176" fontId="14" fillId="8" borderId="10" xfId="1" applyNumberFormat="1" applyFont="1" applyFill="1" applyBorder="1" applyAlignment="1">
      <alignment horizontal="center" vertical="center" wrapText="1"/>
    </xf>
    <xf numFmtId="0" fontId="13" fillId="8" borderId="14" xfId="0" applyFont="1" applyFill="1" applyBorder="1" applyAlignment="1">
      <alignment horizontal="center" vertical="center" wrapText="1"/>
    </xf>
    <xf numFmtId="179" fontId="13" fillId="8" borderId="7" xfId="2" applyNumberFormat="1" applyFont="1" applyFill="1" applyBorder="1" applyAlignment="1">
      <alignment horizontal="center" vertical="center"/>
    </xf>
    <xf numFmtId="176" fontId="15" fillId="6" borderId="4" xfId="1" applyNumberFormat="1" applyFont="1" applyFill="1" applyBorder="1" applyAlignment="1">
      <alignment vertical="center" wrapText="1"/>
    </xf>
    <xf numFmtId="176" fontId="18" fillId="6" borderId="37" xfId="1" applyNumberFormat="1" applyFont="1" applyFill="1" applyBorder="1" applyAlignment="1">
      <alignment vertical="center" wrapText="1"/>
    </xf>
    <xf numFmtId="0" fontId="18" fillId="0" borderId="13" xfId="0" applyFont="1" applyFill="1" applyBorder="1" applyAlignment="1">
      <alignment horizontal="center" vertical="center"/>
    </xf>
    <xf numFmtId="0" fontId="16" fillId="8" borderId="5" xfId="0" applyFont="1" applyFill="1" applyBorder="1" applyAlignment="1">
      <alignment horizontal="center" vertical="center" wrapText="1"/>
    </xf>
    <xf numFmtId="9" fontId="17" fillId="8" borderId="4" xfId="2" applyFont="1" applyFill="1" applyBorder="1" applyAlignment="1">
      <alignment horizontal="center" vertical="center"/>
    </xf>
    <xf numFmtId="49" fontId="17" fillId="8" borderId="4" xfId="2" applyNumberFormat="1" applyFont="1" applyFill="1" applyBorder="1" applyAlignment="1">
      <alignment horizontal="left" vertical="center" wrapText="1"/>
    </xf>
    <xf numFmtId="0" fontId="17" fillId="8" borderId="4" xfId="0" applyFont="1" applyFill="1" applyBorder="1" applyAlignment="1">
      <alignment horizontal="left" vertical="center" wrapText="1"/>
    </xf>
    <xf numFmtId="0" fontId="16" fillId="8" borderId="9" xfId="0" applyFont="1" applyFill="1" applyBorder="1" applyAlignment="1">
      <alignment horizontal="center" vertical="center" wrapText="1"/>
    </xf>
    <xf numFmtId="9" fontId="17" fillId="8" borderId="8" xfId="2" applyFont="1" applyFill="1" applyBorder="1" applyAlignment="1">
      <alignment horizontal="center" vertical="center"/>
    </xf>
    <xf numFmtId="49" fontId="17" fillId="8" borderId="8" xfId="2" applyNumberFormat="1" applyFont="1" applyFill="1" applyBorder="1" applyAlignment="1">
      <alignment horizontal="left" vertical="center" wrapText="1"/>
    </xf>
    <xf numFmtId="0" fontId="17" fillId="8" borderId="16" xfId="0" applyFont="1" applyFill="1" applyBorder="1" applyAlignment="1">
      <alignment horizontal="center" vertical="center" wrapText="1"/>
    </xf>
    <xf numFmtId="0" fontId="17" fillId="8" borderId="17" xfId="0" applyFont="1" applyFill="1" applyBorder="1" applyAlignment="1">
      <alignment horizontal="center" vertical="center"/>
    </xf>
    <xf numFmtId="49" fontId="17" fillId="8" borderId="4" xfId="0" applyNumberFormat="1" applyFont="1" applyFill="1" applyBorder="1" applyAlignment="1">
      <alignment horizontal="left" vertical="center" wrapText="1"/>
    </xf>
    <xf numFmtId="49" fontId="17" fillId="8" borderId="8" xfId="0" applyNumberFormat="1" applyFont="1" applyFill="1" applyBorder="1" applyAlignment="1">
      <alignment horizontal="left" vertical="center" wrapText="1"/>
    </xf>
    <xf numFmtId="49" fontId="18" fillId="7" borderId="4" xfId="0" applyNumberFormat="1" applyFont="1" applyFill="1" applyBorder="1" applyAlignment="1">
      <alignment horizontal="center" vertical="center" wrapText="1"/>
    </xf>
    <xf numFmtId="49" fontId="18" fillId="7" borderId="8" xfId="0" applyNumberFormat="1" applyFont="1" applyFill="1" applyBorder="1" applyAlignment="1">
      <alignment horizontal="center" vertical="center" wrapText="1"/>
    </xf>
    <xf numFmtId="0" fontId="17" fillId="8" borderId="16" xfId="0" quotePrefix="1" applyFont="1" applyFill="1" applyBorder="1" applyAlignment="1">
      <alignment horizontal="center" vertical="center" wrapText="1"/>
    </xf>
    <xf numFmtId="9" fontId="14" fillId="8" borderId="4" xfId="2" applyFont="1" applyFill="1" applyBorder="1" applyAlignment="1">
      <alignment horizontal="center" vertical="center"/>
    </xf>
    <xf numFmtId="0" fontId="14" fillId="8" borderId="4" xfId="2" quotePrefix="1" applyNumberFormat="1" applyFont="1" applyFill="1" applyBorder="1" applyAlignment="1">
      <alignment horizontal="left" vertical="center" wrapText="1"/>
    </xf>
    <xf numFmtId="9" fontId="14" fillId="8" borderId="8" xfId="2" applyFont="1" applyFill="1" applyBorder="1" applyAlignment="1">
      <alignment horizontal="center" vertical="center"/>
    </xf>
    <xf numFmtId="0" fontId="14" fillId="8" borderId="12" xfId="2" applyNumberFormat="1" applyFont="1" applyFill="1" applyBorder="1" applyAlignment="1">
      <alignment horizontal="left" vertical="center" wrapText="1"/>
    </xf>
    <xf numFmtId="9" fontId="17" fillId="0" borderId="4" xfId="2" applyFont="1" applyFill="1" applyBorder="1" applyAlignment="1">
      <alignment horizontal="center" vertical="center"/>
    </xf>
    <xf numFmtId="9" fontId="17" fillId="0" borderId="8" xfId="2" applyFont="1" applyFill="1" applyBorder="1" applyAlignment="1">
      <alignment horizontal="center" vertical="center"/>
    </xf>
    <xf numFmtId="0" fontId="16" fillId="0" borderId="4" xfId="0" applyFont="1" applyBorder="1" applyAlignment="1">
      <alignment horizontal="center" vertical="center" wrapText="1"/>
    </xf>
    <xf numFmtId="49" fontId="17" fillId="0" borderId="4" xfId="2" quotePrefix="1" applyNumberFormat="1" applyFont="1" applyBorder="1" applyAlignment="1">
      <alignment horizontal="left" vertical="center" wrapText="1"/>
    </xf>
    <xf numFmtId="49" fontId="17" fillId="0" borderId="8" xfId="2" quotePrefix="1" applyNumberFormat="1" applyFont="1" applyBorder="1" applyAlignment="1">
      <alignment horizontal="left" vertical="center" wrapText="1"/>
    </xf>
    <xf numFmtId="49" fontId="18" fillId="0" borderId="23" xfId="0" applyNumberFormat="1" applyFont="1" applyBorder="1" applyAlignment="1">
      <alignment horizontal="center" vertical="center" wrapText="1"/>
    </xf>
    <xf numFmtId="0" fontId="17" fillId="8" borderId="31" xfId="0" applyFont="1" applyFill="1" applyBorder="1" applyAlignment="1">
      <alignment horizontal="center" vertical="center" wrapText="1"/>
    </xf>
    <xf numFmtId="49" fontId="17" fillId="0" borderId="12" xfId="2" quotePrefix="1" applyNumberFormat="1" applyFont="1" applyBorder="1" applyAlignment="1">
      <alignment horizontal="left" vertical="center" wrapText="1"/>
    </xf>
    <xf numFmtId="49" fontId="17" fillId="0" borderId="8" xfId="2" applyNumberFormat="1" applyFont="1" applyBorder="1" applyAlignment="1">
      <alignment horizontal="left" vertical="center" wrapText="1"/>
    </xf>
    <xf numFmtId="0" fontId="17" fillId="8" borderId="18" xfId="0" applyFont="1" applyFill="1" applyBorder="1" applyAlignment="1">
      <alignment horizontal="center" vertical="center"/>
    </xf>
    <xf numFmtId="0" fontId="17" fillId="8" borderId="11" xfId="0" applyFont="1" applyFill="1" applyBorder="1" applyAlignment="1">
      <alignment horizontal="center" vertical="center"/>
    </xf>
    <xf numFmtId="49" fontId="17" fillId="8" borderId="4" xfId="0" quotePrefix="1" applyNumberFormat="1" applyFont="1" applyFill="1" applyBorder="1" applyAlignment="1">
      <alignment horizontal="left" vertical="center" wrapText="1"/>
    </xf>
    <xf numFmtId="49" fontId="17" fillId="8" borderId="8" xfId="0" quotePrefix="1" applyNumberFormat="1" applyFont="1" applyFill="1" applyBorder="1" applyAlignment="1">
      <alignment horizontal="left" vertical="center" wrapText="1"/>
    </xf>
    <xf numFmtId="0" fontId="14" fillId="8" borderId="31" xfId="0" applyFont="1" applyFill="1" applyBorder="1" applyAlignment="1">
      <alignment horizontal="center" vertical="center" wrapText="1"/>
    </xf>
    <xf numFmtId="0" fontId="14" fillId="8" borderId="20" xfId="0" applyFont="1" applyFill="1" applyBorder="1" applyAlignment="1">
      <alignment horizontal="center" vertical="center" wrapText="1"/>
    </xf>
    <xf numFmtId="0" fontId="17" fillId="8" borderId="8" xfId="0" applyFont="1" applyFill="1" applyBorder="1" applyAlignment="1">
      <alignment horizontal="left" vertical="center"/>
    </xf>
    <xf numFmtId="0" fontId="14" fillId="8" borderId="18" xfId="0" applyFont="1" applyFill="1" applyBorder="1" applyAlignment="1">
      <alignment horizontal="center" vertical="center"/>
    </xf>
    <xf numFmtId="0" fontId="14" fillId="8" borderId="11" xfId="0" applyFont="1" applyFill="1" applyBorder="1" applyAlignment="1">
      <alignment horizontal="center" vertical="center"/>
    </xf>
    <xf numFmtId="0" fontId="17" fillId="8" borderId="4" xfId="0" applyFont="1" applyFill="1" applyBorder="1" applyAlignment="1">
      <alignment horizontal="center" vertical="center"/>
    </xf>
    <xf numFmtId="0" fontId="17" fillId="8" borderId="8" xfId="0" applyFont="1" applyFill="1" applyBorder="1" applyAlignment="1">
      <alignment horizontal="center" vertical="center"/>
    </xf>
    <xf numFmtId="0" fontId="17" fillId="8" borderId="12" xfId="0" applyFont="1" applyFill="1" applyBorder="1" applyAlignment="1">
      <alignment horizontal="center" vertical="center"/>
    </xf>
    <xf numFmtId="0" fontId="18" fillId="0" borderId="4" xfId="0" applyFont="1" applyBorder="1" applyAlignment="1">
      <alignment horizontal="left" vertical="center" wrapText="1"/>
    </xf>
    <xf numFmtId="0" fontId="18" fillId="0" borderId="4" xfId="2" applyNumberFormat="1" applyFont="1" applyBorder="1" applyAlignment="1">
      <alignment horizontal="center" vertical="center" wrapText="1"/>
    </xf>
    <xf numFmtId="0" fontId="18" fillId="0" borderId="8" xfId="2" applyNumberFormat="1" applyFont="1" applyBorder="1" applyAlignment="1">
      <alignment horizontal="center" vertical="center" wrapText="1"/>
    </xf>
    <xf numFmtId="0" fontId="18" fillId="0" borderId="12" xfId="2" applyNumberFormat="1" applyFont="1" applyBorder="1" applyAlignment="1">
      <alignment horizontal="center" vertical="center" wrapText="1"/>
    </xf>
    <xf numFmtId="0" fontId="17" fillId="8" borderId="0" xfId="0" applyFont="1" applyFill="1" applyBorder="1" applyAlignment="1">
      <alignment horizontal="center" vertical="center" wrapText="1"/>
    </xf>
    <xf numFmtId="0" fontId="18" fillId="0" borderId="0" xfId="0" applyFont="1" applyBorder="1" applyAlignment="1">
      <alignment horizontal="left" vertical="center" wrapText="1"/>
    </xf>
    <xf numFmtId="0" fontId="17" fillId="0" borderId="21" xfId="0" applyFont="1" applyBorder="1" applyAlignment="1">
      <alignment horizontal="center" vertical="center" wrapText="1"/>
    </xf>
    <xf numFmtId="0" fontId="17" fillId="0" borderId="23" xfId="0" applyFont="1" applyBorder="1" applyAlignment="1">
      <alignment horizontal="center" vertical="center" wrapText="1"/>
    </xf>
    <xf numFmtId="0" fontId="17" fillId="8" borderId="21" xfId="0" applyFont="1" applyFill="1" applyBorder="1" applyAlignment="1">
      <alignment horizontal="center" vertical="center" wrapText="1"/>
    </xf>
    <xf numFmtId="0" fontId="14" fillId="8" borderId="21" xfId="0" applyFont="1" applyFill="1" applyBorder="1" applyAlignment="1">
      <alignment horizontal="center" vertical="center" wrapText="1"/>
    </xf>
    <xf numFmtId="0" fontId="14" fillId="0" borderId="21" xfId="0" applyFont="1" applyFill="1" applyBorder="1" applyAlignment="1">
      <alignment horizontal="left" vertical="center" wrapText="1"/>
    </xf>
    <xf numFmtId="0" fontId="14" fillId="0" borderId="23" xfId="0" applyFont="1" applyFill="1" applyBorder="1" applyAlignment="1">
      <alignment horizontal="left" vertical="center" wrapText="1"/>
    </xf>
    <xf numFmtId="0" fontId="14" fillId="8" borderId="21" xfId="0" applyFont="1" applyFill="1" applyBorder="1" applyAlignment="1">
      <alignment horizontal="left" vertical="center" wrapText="1"/>
    </xf>
    <xf numFmtId="0" fontId="17" fillId="8" borderId="23" xfId="0" applyFont="1" applyFill="1" applyBorder="1" applyAlignment="1">
      <alignment horizontal="center" vertical="center" wrapText="1"/>
    </xf>
    <xf numFmtId="0" fontId="14" fillId="8" borderId="23" xfId="0" applyFont="1" applyFill="1" applyBorder="1" applyAlignment="1">
      <alignment horizontal="center" vertical="center" wrapText="1"/>
    </xf>
    <xf numFmtId="0" fontId="17" fillId="0" borderId="4" xfId="0" quotePrefix="1" applyFont="1" applyBorder="1" applyAlignment="1">
      <alignment horizontal="left" vertical="center" shrinkToFit="1"/>
    </xf>
    <xf numFmtId="0" fontId="17" fillId="6" borderId="1" xfId="0" applyFont="1" applyFill="1" applyBorder="1" applyAlignment="1">
      <alignment horizontal="center" vertical="center"/>
    </xf>
    <xf numFmtId="176" fontId="16" fillId="6" borderId="1" xfId="1" applyNumberFormat="1" applyFont="1" applyFill="1" applyBorder="1" applyAlignment="1">
      <alignment vertical="center" wrapText="1"/>
    </xf>
    <xf numFmtId="41" fontId="16" fillId="3" borderId="1" xfId="1" applyFont="1" applyFill="1" applyBorder="1" applyAlignment="1">
      <alignment horizontal="center" vertical="center"/>
    </xf>
    <xf numFmtId="41" fontId="17" fillId="3" borderId="1" xfId="1" applyFont="1" applyFill="1" applyBorder="1">
      <alignment vertical="center"/>
    </xf>
    <xf numFmtId="41" fontId="17" fillId="4" borderId="3" xfId="1" applyFont="1" applyFill="1" applyBorder="1">
      <alignment vertical="center"/>
    </xf>
    <xf numFmtId="41" fontId="17" fillId="4" borderId="1" xfId="1" applyFont="1" applyFill="1" applyBorder="1">
      <alignment vertical="center"/>
    </xf>
    <xf numFmtId="0" fontId="17" fillId="0" borderId="0" xfId="0" applyFont="1">
      <alignment vertical="center"/>
    </xf>
    <xf numFmtId="0" fontId="17" fillId="0" borderId="0" xfId="0" applyFont="1" applyAlignment="1">
      <alignment horizontal="left" vertical="center"/>
    </xf>
    <xf numFmtId="178" fontId="17" fillId="3" borderId="26" xfId="0" applyNumberFormat="1" applyFont="1" applyFill="1" applyBorder="1" applyAlignment="1">
      <alignment horizontal="center" vertical="center"/>
    </xf>
    <xf numFmtId="176" fontId="17" fillId="6" borderId="1" xfId="1" applyNumberFormat="1" applyFont="1" applyFill="1" applyBorder="1" applyAlignment="1">
      <alignment vertical="center" wrapText="1"/>
    </xf>
    <xf numFmtId="0" fontId="17" fillId="0" borderId="0" xfId="0" applyFont="1" applyFill="1">
      <alignment vertical="center"/>
    </xf>
    <xf numFmtId="0" fontId="17" fillId="0" borderId="8" xfId="0" applyFont="1" applyBorder="1" applyAlignment="1">
      <alignment horizontal="left" vertical="center" shrinkToFit="1"/>
    </xf>
    <xf numFmtId="41" fontId="17" fillId="0" borderId="0" xfId="1" applyFont="1">
      <alignment vertical="center"/>
    </xf>
    <xf numFmtId="179" fontId="17" fillId="6" borderId="1" xfId="2" applyNumberFormat="1" applyFont="1" applyFill="1" applyBorder="1" applyAlignment="1">
      <alignment horizontal="center" vertical="center"/>
    </xf>
    <xf numFmtId="41" fontId="17" fillId="3" borderId="1" xfId="1" applyFont="1" applyFill="1" applyBorder="1" applyAlignment="1">
      <alignment horizontal="center" vertical="center"/>
    </xf>
    <xf numFmtId="41" fontId="17" fillId="5" borderId="1" xfId="1" applyFont="1" applyFill="1" applyBorder="1">
      <alignment vertical="center"/>
    </xf>
    <xf numFmtId="41" fontId="17" fillId="0" borderId="1" xfId="1" applyFont="1" applyBorder="1">
      <alignment vertical="center"/>
    </xf>
    <xf numFmtId="41" fontId="17" fillId="7" borderId="1" xfId="1" applyFont="1" applyFill="1" applyBorder="1">
      <alignment vertical="center"/>
    </xf>
    <xf numFmtId="186" fontId="17" fillId="0" borderId="7" xfId="1" applyNumberFormat="1" applyFont="1" applyFill="1" applyBorder="1" applyAlignment="1">
      <alignment horizontal="right" vertical="center" wrapText="1"/>
    </xf>
    <xf numFmtId="194" fontId="17" fillId="0" borderId="0" xfId="0" applyNumberFormat="1" applyFont="1">
      <alignment vertical="center"/>
    </xf>
    <xf numFmtId="43" fontId="17" fillId="0" borderId="0" xfId="0" applyNumberFormat="1" applyFont="1" applyAlignment="1">
      <alignment horizontal="left" vertical="center"/>
    </xf>
    <xf numFmtId="41" fontId="17" fillId="0" borderId="0" xfId="1" applyFont="1" applyAlignment="1">
      <alignment horizontal="left" vertical="center"/>
    </xf>
    <xf numFmtId="195" fontId="17" fillId="0" borderId="0" xfId="0" applyNumberFormat="1" applyFont="1" applyAlignment="1">
      <alignment horizontal="left" vertical="center"/>
    </xf>
    <xf numFmtId="0" fontId="17" fillId="0" borderId="0" xfId="0" applyFont="1" applyAlignment="1">
      <alignment horizontal="right" vertical="center"/>
    </xf>
    <xf numFmtId="41" fontId="19" fillId="0" borderId="0" xfId="1" applyFont="1" applyAlignment="1">
      <alignment horizontal="left" vertical="center"/>
    </xf>
    <xf numFmtId="179" fontId="16" fillId="0" borderId="7" xfId="2" applyNumberFormat="1" applyFont="1" applyFill="1" applyBorder="1" applyAlignment="1">
      <alignment horizontal="center" vertical="center"/>
    </xf>
    <xf numFmtId="176" fontId="17" fillId="0" borderId="0" xfId="1" applyNumberFormat="1" applyFont="1">
      <alignment vertical="center"/>
    </xf>
    <xf numFmtId="9" fontId="17" fillId="0" borderId="0" xfId="2" applyFont="1" applyAlignment="1">
      <alignment horizontal="center" vertical="center"/>
    </xf>
    <xf numFmtId="41" fontId="17" fillId="0" borderId="0" xfId="1" applyFont="1" applyAlignment="1">
      <alignment horizontal="center" vertical="center"/>
    </xf>
    <xf numFmtId="41" fontId="17" fillId="5" borderId="1" xfId="1" applyFont="1" applyFill="1" applyBorder="1" applyAlignment="1">
      <alignment horizontal="center" vertical="center"/>
    </xf>
    <xf numFmtId="190" fontId="17" fillId="0" borderId="0" xfId="0" applyNumberFormat="1" applyFont="1" applyAlignment="1">
      <alignment horizontal="center" vertical="center"/>
    </xf>
    <xf numFmtId="0" fontId="17" fillId="0" borderId="0" xfId="0" applyFont="1" applyAlignment="1">
      <alignment horizontal="center" vertical="center" wrapText="1"/>
    </xf>
    <xf numFmtId="177" fontId="16" fillId="0" borderId="7" xfId="1" applyNumberFormat="1" applyFont="1" applyFill="1" applyBorder="1" applyAlignment="1">
      <alignment horizontal="right" vertical="center" wrapText="1"/>
    </xf>
    <xf numFmtId="0" fontId="17" fillId="0" borderId="0" xfId="0" applyFont="1" applyFill="1" applyAlignment="1">
      <alignment horizontal="right" vertical="center"/>
    </xf>
    <xf numFmtId="196" fontId="14" fillId="0" borderId="0" xfId="0" applyNumberFormat="1" applyFont="1" applyAlignment="1">
      <alignment horizontal="left" vertical="center"/>
    </xf>
    <xf numFmtId="41" fontId="17" fillId="0" borderId="0" xfId="0" applyNumberFormat="1" applyFont="1" applyAlignment="1">
      <alignment horizontal="center" vertical="center"/>
    </xf>
    <xf numFmtId="193" fontId="17" fillId="0" borderId="0" xfId="0" applyNumberFormat="1" applyFont="1" applyAlignment="1">
      <alignment horizontal="center" vertical="center"/>
    </xf>
    <xf numFmtId="41" fontId="17" fillId="0" borderId="0" xfId="0" applyNumberFormat="1" applyFont="1">
      <alignment vertical="center"/>
    </xf>
    <xf numFmtId="0" fontId="19" fillId="0" borderId="4" xfId="0" quotePrefix="1" applyFont="1" applyBorder="1" applyAlignment="1">
      <alignment vertical="center" wrapText="1"/>
    </xf>
    <xf numFmtId="49" fontId="17" fillId="0" borderId="4" xfId="0" applyNumberFormat="1" applyFont="1" applyBorder="1" applyAlignment="1">
      <alignment horizontal="center" vertical="center" wrapText="1"/>
    </xf>
    <xf numFmtId="49" fontId="17" fillId="0" borderId="8" xfId="0" applyNumberFormat="1" applyFont="1" applyBorder="1" applyAlignment="1">
      <alignment horizontal="center" vertical="center" wrapText="1"/>
    </xf>
    <xf numFmtId="0" fontId="19" fillId="0" borderId="30" xfId="0" applyFont="1" applyBorder="1" applyAlignment="1">
      <alignment vertical="center" wrapText="1"/>
    </xf>
    <xf numFmtId="0" fontId="44" fillId="0" borderId="4" xfId="0" quotePrefix="1" applyFont="1" applyBorder="1" applyAlignment="1">
      <alignment vertical="center" wrapText="1"/>
    </xf>
    <xf numFmtId="0" fontId="44" fillId="0" borderId="30" xfId="0" applyFont="1" applyBorder="1" applyAlignment="1">
      <alignment vertical="center" wrapText="1"/>
    </xf>
    <xf numFmtId="0" fontId="44" fillId="0" borderId="4" xfId="0" quotePrefix="1" applyFont="1" applyBorder="1" applyAlignment="1">
      <alignment horizontal="center" vertical="center" wrapText="1"/>
    </xf>
    <xf numFmtId="0" fontId="17" fillId="0" borderId="31" xfId="0" applyFont="1" applyBorder="1" applyAlignment="1">
      <alignment horizontal="center" vertical="center" wrapText="1"/>
    </xf>
    <xf numFmtId="0" fontId="44" fillId="0" borderId="30" xfId="0" applyFont="1" applyBorder="1" applyAlignment="1">
      <alignment horizontal="center" vertical="center" wrapText="1"/>
    </xf>
    <xf numFmtId="49" fontId="17" fillId="0" borderId="22" xfId="0" applyNumberFormat="1" applyFont="1" applyBorder="1" applyAlignment="1">
      <alignment horizontal="center" vertical="center" wrapText="1"/>
    </xf>
    <xf numFmtId="49" fontId="17" fillId="0" borderId="16" xfId="0" applyNumberFormat="1" applyFont="1" applyBorder="1" applyAlignment="1">
      <alignment horizontal="center" vertical="center" wrapText="1"/>
    </xf>
    <xf numFmtId="0" fontId="16" fillId="0" borderId="30" xfId="0" applyFont="1" applyBorder="1" applyAlignment="1">
      <alignment horizontal="center" vertical="center" wrapText="1"/>
    </xf>
    <xf numFmtId="0" fontId="18" fillId="0" borderId="31" xfId="0" applyFont="1" applyBorder="1" applyAlignment="1">
      <alignment horizontal="center" vertical="center" wrapText="1"/>
    </xf>
    <xf numFmtId="0" fontId="35" fillId="0" borderId="0" xfId="0" applyFont="1" applyFill="1" applyAlignment="1">
      <alignment horizontal="left" vertical="center"/>
    </xf>
    <xf numFmtId="9" fontId="18" fillId="0" borderId="0" xfId="2" applyFont="1" applyAlignment="1">
      <alignment horizontal="center" vertical="center" shrinkToFit="1"/>
    </xf>
    <xf numFmtId="0" fontId="39" fillId="4" borderId="1" xfId="0" applyFont="1" applyFill="1" applyBorder="1" applyAlignment="1">
      <alignment horizontal="center" vertical="center" wrapText="1" shrinkToFit="1"/>
    </xf>
    <xf numFmtId="41" fontId="38" fillId="4" borderId="1" xfId="1" applyFont="1" applyFill="1" applyBorder="1">
      <alignment vertical="center"/>
    </xf>
    <xf numFmtId="176" fontId="38" fillId="6" borderId="1" xfId="1" applyNumberFormat="1" applyFont="1" applyFill="1" applyBorder="1" applyAlignment="1">
      <alignment vertical="center" wrapText="1"/>
    </xf>
    <xf numFmtId="3" fontId="45" fillId="0" borderId="0" xfId="0" applyNumberFormat="1" applyFont="1" applyAlignment="1">
      <alignment horizontal="center" vertical="center"/>
    </xf>
    <xf numFmtId="0" fontId="17" fillId="0" borderId="28" xfId="0" applyFont="1" applyBorder="1" applyAlignment="1">
      <alignment horizontal="center" vertical="center"/>
    </xf>
    <xf numFmtId="0" fontId="17" fillId="0" borderId="25" xfId="0" applyFont="1" applyBorder="1" applyAlignment="1">
      <alignment horizontal="center" vertical="center"/>
    </xf>
    <xf numFmtId="176" fontId="19" fillId="6" borderId="1" xfId="1" applyNumberFormat="1" applyFont="1" applyFill="1" applyBorder="1" applyAlignment="1">
      <alignment vertical="center" wrapText="1"/>
    </xf>
    <xf numFmtId="0" fontId="18" fillId="0" borderId="16" xfId="0" applyFont="1" applyBorder="1" applyAlignment="1">
      <alignment horizontal="left" vertical="center" wrapText="1"/>
    </xf>
    <xf numFmtId="0" fontId="46" fillId="4" borderId="1" xfId="0" applyFont="1" applyFill="1" applyBorder="1" applyAlignment="1">
      <alignment horizontal="center" vertical="center" wrapText="1"/>
    </xf>
    <xf numFmtId="49" fontId="18" fillId="0" borderId="32" xfId="0" applyNumberFormat="1" applyFont="1" applyBorder="1" applyAlignment="1">
      <alignment horizontal="center" vertical="center" wrapText="1"/>
    </xf>
    <xf numFmtId="49" fontId="18" fillId="0" borderId="33" xfId="0" applyNumberFormat="1" applyFont="1" applyBorder="1" applyAlignment="1">
      <alignment horizontal="center" vertical="center" wrapText="1"/>
    </xf>
    <xf numFmtId="190" fontId="17" fillId="0" borderId="4" xfId="0" applyNumberFormat="1" applyFont="1" applyBorder="1" applyAlignment="1">
      <alignment horizontal="center" vertical="center" wrapText="1"/>
    </xf>
    <xf numFmtId="190" fontId="17" fillId="0" borderId="12" xfId="0" applyNumberFormat="1" applyFont="1" applyBorder="1" applyAlignment="1">
      <alignment horizontal="center" vertical="center" wrapText="1"/>
    </xf>
    <xf numFmtId="0" fontId="39" fillId="4" borderId="0" xfId="0" applyFont="1" applyFill="1" applyBorder="1" applyAlignment="1">
      <alignment horizontal="center" vertical="center" wrapText="1" shrinkToFit="1"/>
    </xf>
    <xf numFmtId="0" fontId="18" fillId="0" borderId="2" xfId="0" applyFont="1" applyBorder="1">
      <alignment vertical="center"/>
    </xf>
    <xf numFmtId="0" fontId="18" fillId="10" borderId="1" xfId="0" applyFont="1" applyFill="1" applyBorder="1">
      <alignment vertical="center"/>
    </xf>
    <xf numFmtId="0" fontId="18" fillId="10" borderId="2" xfId="0" applyFont="1" applyFill="1" applyBorder="1">
      <alignment vertical="center"/>
    </xf>
    <xf numFmtId="41" fontId="18" fillId="0" borderId="2" xfId="1" applyFont="1" applyBorder="1">
      <alignment vertical="center"/>
    </xf>
    <xf numFmtId="0" fontId="17" fillId="0" borderId="1" xfId="0" applyFont="1" applyBorder="1">
      <alignment vertical="center"/>
    </xf>
    <xf numFmtId="0" fontId="17" fillId="0" borderId="2" xfId="0" applyFont="1" applyBorder="1" applyAlignment="1">
      <alignment horizontal="left" vertical="center"/>
    </xf>
    <xf numFmtId="0" fontId="17" fillId="0" borderId="1" xfId="0" applyFont="1" applyFill="1" applyBorder="1" applyAlignment="1">
      <alignment horizontal="right" vertical="center"/>
    </xf>
    <xf numFmtId="41" fontId="17" fillId="0" borderId="2" xfId="1" applyFont="1" applyBorder="1" applyAlignment="1">
      <alignment horizontal="left" vertical="center"/>
    </xf>
    <xf numFmtId="196" fontId="14" fillId="0" borderId="2" xfId="0" applyNumberFormat="1" applyFont="1" applyBorder="1" applyAlignment="1">
      <alignment horizontal="left" vertical="center"/>
    </xf>
    <xf numFmtId="9" fontId="20" fillId="0" borderId="7" xfId="2" applyFont="1" applyBorder="1" applyAlignment="1">
      <alignment horizontal="center" vertical="center"/>
    </xf>
    <xf numFmtId="0" fontId="47" fillId="0" borderId="0" xfId="0" applyFont="1">
      <alignment vertical="center"/>
    </xf>
    <xf numFmtId="0" fontId="26" fillId="0" borderId="16" xfId="0" applyFont="1" applyBorder="1" applyAlignment="1">
      <alignment horizontal="center" vertical="center" wrapText="1"/>
    </xf>
    <xf numFmtId="0" fontId="17" fillId="0" borderId="4" xfId="2" applyNumberFormat="1" applyFont="1" applyBorder="1" applyAlignment="1">
      <alignment horizontal="left" vertical="center" wrapText="1"/>
    </xf>
    <xf numFmtId="0" fontId="40" fillId="0" borderId="16" xfId="0" applyFont="1" applyBorder="1" applyAlignment="1">
      <alignment horizontal="center" vertical="center" wrapText="1"/>
    </xf>
    <xf numFmtId="0" fontId="17" fillId="0" borderId="12" xfId="2" applyNumberFormat="1" applyFont="1" applyBorder="1" applyAlignment="1">
      <alignment horizontal="left" vertical="center" wrapText="1"/>
    </xf>
    <xf numFmtId="0" fontId="40" fillId="0" borderId="31" xfId="0" applyFont="1" applyBorder="1" applyAlignment="1">
      <alignment horizontal="center" vertical="center" wrapText="1"/>
    </xf>
    <xf numFmtId="0" fontId="26" fillId="0" borderId="31" xfId="0" applyFont="1" applyBorder="1" applyAlignment="1">
      <alignment horizontal="center" vertical="center" wrapText="1"/>
    </xf>
    <xf numFmtId="9" fontId="17" fillId="0" borderId="4" xfId="2" applyFont="1" applyBorder="1" applyAlignment="1">
      <alignment horizontal="center" vertical="center" shrinkToFit="1"/>
    </xf>
    <xf numFmtId="9" fontId="17" fillId="0" borderId="8" xfId="2" applyFont="1" applyBorder="1" applyAlignment="1">
      <alignment horizontal="center" vertical="center" shrinkToFit="1"/>
    </xf>
    <xf numFmtId="0" fontId="19" fillId="0" borderId="16" xfId="0" applyFont="1" applyBorder="1" applyAlignment="1">
      <alignment horizontal="center" vertical="center" wrapText="1"/>
    </xf>
    <xf numFmtId="10" fontId="18" fillId="0" borderId="0" xfId="2" applyNumberFormat="1" applyFont="1" applyAlignment="1">
      <alignment horizontal="center" vertical="center"/>
    </xf>
    <xf numFmtId="179" fontId="18" fillId="0" borderId="0" xfId="2" applyNumberFormat="1" applyFont="1" applyAlignment="1">
      <alignment horizontal="center" vertical="center"/>
    </xf>
    <xf numFmtId="9" fontId="19" fillId="0" borderId="4" xfId="2" applyNumberFormat="1" applyFont="1" applyBorder="1" applyAlignment="1">
      <alignment horizontal="center" vertical="center"/>
    </xf>
    <xf numFmtId="9" fontId="17" fillId="4" borderId="4" xfId="2" applyNumberFormat="1" applyFont="1" applyFill="1" applyBorder="1" applyAlignment="1">
      <alignment horizontal="center" vertical="center"/>
    </xf>
    <xf numFmtId="179" fontId="20" fillId="0" borderId="7" xfId="2" applyNumberFormat="1" applyFont="1" applyBorder="1" applyAlignment="1">
      <alignment horizontal="center" vertical="center"/>
    </xf>
    <xf numFmtId="0" fontId="17" fillId="0" borderId="4" xfId="0" quotePrefix="1" applyFont="1" applyBorder="1" applyAlignment="1">
      <alignment horizontal="left" vertical="top" wrapText="1"/>
    </xf>
    <xf numFmtId="0" fontId="31" fillId="0" borderId="4" xfId="0" quotePrefix="1" applyFont="1" applyBorder="1" applyAlignment="1">
      <alignment horizontal="left" vertical="center" wrapText="1"/>
    </xf>
    <xf numFmtId="0" fontId="17" fillId="0" borderId="4" xfId="0" applyNumberFormat="1" applyFont="1" applyBorder="1" applyAlignment="1">
      <alignment horizontal="center" vertical="center" wrapText="1"/>
    </xf>
    <xf numFmtId="41" fontId="17" fillId="4" borderId="3" xfId="1" applyFont="1" applyFill="1" applyBorder="1" applyAlignment="1">
      <alignment horizontal="center" vertical="center"/>
    </xf>
    <xf numFmtId="41" fontId="19" fillId="4" borderId="1" xfId="1" applyFont="1" applyFill="1" applyBorder="1">
      <alignment vertical="center"/>
    </xf>
    <xf numFmtId="41" fontId="17" fillId="4" borderId="1" xfId="1" applyFont="1" applyFill="1" applyBorder="1" applyAlignment="1">
      <alignment horizontal="center" vertical="center"/>
    </xf>
    <xf numFmtId="9" fontId="19" fillId="0" borderId="8" xfId="2" applyNumberFormat="1" applyFont="1" applyBorder="1" applyAlignment="1">
      <alignment horizontal="center" vertical="center"/>
    </xf>
    <xf numFmtId="9" fontId="17" fillId="4" borderId="8" xfId="2" applyNumberFormat="1" applyFont="1" applyFill="1" applyBorder="1" applyAlignment="1">
      <alignment horizontal="center" vertical="center"/>
    </xf>
    <xf numFmtId="0" fontId="17" fillId="0" borderId="12" xfId="0" quotePrefix="1" applyFont="1" applyBorder="1" applyAlignment="1">
      <alignment horizontal="left" vertical="top" wrapText="1"/>
    </xf>
    <xf numFmtId="0" fontId="31" fillId="7" borderId="8" xfId="0" applyFont="1" applyFill="1" applyBorder="1" applyAlignment="1">
      <alignment horizontal="left" vertical="center" wrapText="1"/>
    </xf>
    <xf numFmtId="0" fontId="17" fillId="0" borderId="8" xfId="0" applyNumberFormat="1" applyFont="1" applyBorder="1" applyAlignment="1">
      <alignment horizontal="center" vertical="center" wrapText="1"/>
    </xf>
    <xf numFmtId="0" fontId="17" fillId="0" borderId="4" xfId="0" quotePrefix="1" applyFont="1" applyBorder="1" applyAlignment="1">
      <alignment vertical="top" wrapText="1"/>
    </xf>
    <xf numFmtId="0" fontId="17" fillId="0" borderId="8" xfId="0" applyFont="1" applyBorder="1" applyAlignment="1">
      <alignment vertical="top" wrapText="1"/>
    </xf>
    <xf numFmtId="0" fontId="31" fillId="0" borderId="8" xfId="0" quotePrefix="1" applyFont="1" applyBorder="1" applyAlignment="1">
      <alignment horizontal="left" vertical="center" wrapText="1"/>
    </xf>
    <xf numFmtId="0" fontId="17" fillId="0" borderId="16" xfId="0" applyFont="1" applyBorder="1" applyAlignment="1">
      <alignment horizontal="left" vertical="center" wrapText="1"/>
    </xf>
    <xf numFmtId="0" fontId="17" fillId="0" borderId="12" xfId="0" applyFont="1" applyBorder="1" applyAlignment="1">
      <alignment vertical="top" wrapText="1"/>
    </xf>
    <xf numFmtId="0" fontId="31" fillId="0" borderId="8" xfId="0" applyFont="1" applyBorder="1" applyAlignment="1">
      <alignment horizontal="left" vertical="center" wrapText="1"/>
    </xf>
    <xf numFmtId="9" fontId="19" fillId="0" borderId="12" xfId="2" applyNumberFormat="1" applyFont="1" applyBorder="1" applyAlignment="1">
      <alignment horizontal="center" vertical="center"/>
    </xf>
    <xf numFmtId="9" fontId="17" fillId="4" borderId="12" xfId="2" applyNumberFormat="1" applyFont="1" applyFill="1" applyBorder="1" applyAlignment="1">
      <alignment horizontal="center" vertical="center"/>
    </xf>
    <xf numFmtId="0" fontId="17" fillId="0" borderId="17" xfId="0" applyFont="1" applyBorder="1" applyAlignment="1">
      <alignment horizontal="left" vertical="center"/>
    </xf>
    <xf numFmtId="0" fontId="31" fillId="0" borderId="12" xfId="0" applyFont="1" applyBorder="1" applyAlignment="1">
      <alignment horizontal="left" vertical="center" wrapText="1"/>
    </xf>
    <xf numFmtId="0" fontId="17" fillId="0" borderId="12" xfId="0" applyNumberFormat="1" applyFont="1" applyBorder="1" applyAlignment="1">
      <alignment horizontal="center" vertical="center" wrapText="1"/>
    </xf>
    <xf numFmtId="9" fontId="26" fillId="4" borderId="4" xfId="2" applyNumberFormat="1" applyFont="1" applyFill="1" applyBorder="1" applyAlignment="1">
      <alignment horizontal="center" vertical="center"/>
    </xf>
    <xf numFmtId="9" fontId="26" fillId="4" borderId="8" xfId="2" applyNumberFormat="1" applyFont="1" applyFill="1" applyBorder="1" applyAlignment="1">
      <alignment horizontal="center" vertical="center"/>
    </xf>
    <xf numFmtId="0" fontId="17" fillId="0" borderId="8" xfId="0" quotePrefix="1" applyFont="1" applyBorder="1" applyAlignment="1">
      <alignment horizontal="left" vertical="top" wrapText="1"/>
    </xf>
    <xf numFmtId="9" fontId="26" fillId="4" borderId="12" xfId="2" applyNumberFormat="1" applyFont="1" applyFill="1" applyBorder="1" applyAlignment="1">
      <alignment horizontal="center" vertical="center"/>
    </xf>
    <xf numFmtId="10" fontId="20" fillId="0" borderId="7" xfId="2" applyNumberFormat="1" applyFont="1" applyBorder="1" applyAlignment="1">
      <alignment horizontal="center" vertical="center"/>
    </xf>
    <xf numFmtId="197" fontId="48" fillId="0" borderId="16" xfId="0" applyNumberFormat="1" applyFont="1" applyBorder="1" applyAlignment="1">
      <alignment horizontal="center" vertical="center" wrapText="1"/>
    </xf>
    <xf numFmtId="197" fontId="48" fillId="0" borderId="17" xfId="0" applyNumberFormat="1" applyFont="1" applyBorder="1" applyAlignment="1">
      <alignment horizontal="center" vertical="center"/>
    </xf>
    <xf numFmtId="0" fontId="17" fillId="0" borderId="8" xfId="0" quotePrefix="1" applyFont="1" applyBorder="1" applyAlignment="1">
      <alignment vertical="top" wrapText="1"/>
    </xf>
    <xf numFmtId="10" fontId="17" fillId="0" borderId="0" xfId="2" applyNumberFormat="1" applyFont="1" applyAlignment="1">
      <alignment horizontal="center" vertical="center"/>
    </xf>
    <xf numFmtId="9" fontId="19" fillId="0" borderId="4" xfId="2" applyNumberFormat="1" applyFont="1" applyFill="1" applyBorder="1" applyAlignment="1">
      <alignment horizontal="center" vertical="center"/>
    </xf>
    <xf numFmtId="179" fontId="49" fillId="4" borderId="4" xfId="2" applyNumberFormat="1" applyFont="1" applyFill="1" applyBorder="1" applyAlignment="1">
      <alignment horizontal="center" vertical="center"/>
    </xf>
    <xf numFmtId="0" fontId="16" fillId="7" borderId="5" xfId="0" applyFont="1" applyFill="1" applyBorder="1" applyAlignment="1">
      <alignment horizontal="center" vertical="center" wrapText="1"/>
    </xf>
    <xf numFmtId="9" fontId="19" fillId="0" borderId="8" xfId="2" applyNumberFormat="1" applyFont="1" applyFill="1" applyBorder="1" applyAlignment="1">
      <alignment horizontal="center" vertical="center"/>
    </xf>
    <xf numFmtId="179" fontId="49" fillId="4" borderId="8" xfId="2" applyNumberFormat="1" applyFont="1" applyFill="1" applyBorder="1" applyAlignment="1">
      <alignment horizontal="center" vertical="center"/>
    </xf>
    <xf numFmtId="0" fontId="16" fillId="7" borderId="9" xfId="0" applyFont="1" applyFill="1" applyBorder="1" applyAlignment="1">
      <alignment horizontal="center" vertical="center" wrapText="1"/>
    </xf>
    <xf numFmtId="9" fontId="19" fillId="0" borderId="12" xfId="2" applyNumberFormat="1" applyFont="1" applyFill="1" applyBorder="1" applyAlignment="1">
      <alignment horizontal="center" vertical="center"/>
    </xf>
    <xf numFmtId="179" fontId="49" fillId="4" borderId="12" xfId="2" applyNumberFormat="1" applyFont="1" applyFill="1" applyBorder="1" applyAlignment="1">
      <alignment horizontal="center" vertical="center"/>
    </xf>
    <xf numFmtId="9" fontId="19" fillId="11" borderId="4" xfId="2" applyNumberFormat="1" applyFont="1" applyFill="1" applyBorder="1" applyAlignment="1">
      <alignment horizontal="center" vertical="center"/>
    </xf>
    <xf numFmtId="9" fontId="19" fillId="11" borderId="8" xfId="2" applyNumberFormat="1" applyFont="1" applyFill="1" applyBorder="1" applyAlignment="1">
      <alignment horizontal="center" vertical="center"/>
    </xf>
    <xf numFmtId="9" fontId="19" fillId="11" borderId="12" xfId="2" applyNumberFormat="1" applyFont="1" applyFill="1" applyBorder="1" applyAlignment="1">
      <alignment horizontal="center" vertical="center"/>
    </xf>
    <xf numFmtId="0" fontId="17" fillId="0" borderId="4" xfId="0" quotePrefix="1" applyFont="1" applyBorder="1" applyAlignment="1">
      <alignment vertical="center" wrapText="1"/>
    </xf>
    <xf numFmtId="0" fontId="17" fillId="0" borderId="12" xfId="0" applyFont="1" applyBorder="1" applyAlignment="1">
      <alignment vertical="center"/>
    </xf>
    <xf numFmtId="9" fontId="19" fillId="7" borderId="4" xfId="2" applyNumberFormat="1" applyFont="1" applyFill="1" applyBorder="1" applyAlignment="1">
      <alignment horizontal="center" vertical="center"/>
    </xf>
    <xf numFmtId="9" fontId="19" fillId="7" borderId="8" xfId="2" applyNumberFormat="1" applyFont="1" applyFill="1" applyBorder="1" applyAlignment="1">
      <alignment horizontal="center" vertical="center"/>
    </xf>
    <xf numFmtId="179" fontId="48" fillId="4" borderId="4" xfId="2" applyNumberFormat="1" applyFont="1" applyFill="1" applyBorder="1" applyAlignment="1">
      <alignment horizontal="center" vertical="center"/>
    </xf>
    <xf numFmtId="179" fontId="48" fillId="4" borderId="8" xfId="2" applyNumberFormat="1" applyFont="1" applyFill="1" applyBorder="1" applyAlignment="1">
      <alignment horizontal="center" vertical="center"/>
    </xf>
    <xf numFmtId="179" fontId="48" fillId="4" borderId="12" xfId="2" applyNumberFormat="1" applyFont="1" applyFill="1" applyBorder="1" applyAlignment="1">
      <alignment horizontal="center" vertical="center"/>
    </xf>
    <xf numFmtId="0" fontId="17" fillId="0" borderId="8" xfId="0" applyFont="1" applyBorder="1" applyAlignment="1">
      <alignment vertical="center"/>
    </xf>
    <xf numFmtId="0" fontId="17" fillId="9" borderId="4" xfId="0" applyFont="1" applyFill="1" applyBorder="1" applyAlignment="1">
      <alignment horizontal="center" vertical="center" wrapText="1"/>
    </xf>
    <xf numFmtId="9" fontId="19" fillId="9" borderId="4" xfId="2" applyNumberFormat="1" applyFont="1" applyFill="1" applyBorder="1" applyAlignment="1">
      <alignment horizontal="center" vertical="center"/>
    </xf>
    <xf numFmtId="9" fontId="17" fillId="9" borderId="4" xfId="2" applyNumberFormat="1" applyFont="1" applyFill="1" applyBorder="1" applyAlignment="1">
      <alignment horizontal="center" vertical="center"/>
    </xf>
    <xf numFmtId="179" fontId="20" fillId="9" borderId="7" xfId="2" applyNumberFormat="1" applyFont="1" applyFill="1" applyBorder="1" applyAlignment="1">
      <alignment horizontal="center" vertical="center"/>
    </xf>
    <xf numFmtId="0" fontId="25" fillId="9" borderId="4" xfId="0" quotePrefix="1" applyFont="1" applyFill="1" applyBorder="1" applyAlignment="1">
      <alignment vertical="top" wrapText="1"/>
    </xf>
    <xf numFmtId="0" fontId="17" fillId="9" borderId="4" xfId="0" applyFont="1" applyFill="1" applyBorder="1" applyAlignment="1">
      <alignment horizontal="left" vertical="center" wrapText="1"/>
    </xf>
    <xf numFmtId="0" fontId="16" fillId="9" borderId="5" xfId="0" applyFont="1" applyFill="1" applyBorder="1" applyAlignment="1">
      <alignment horizontal="center" vertical="center" wrapText="1"/>
    </xf>
    <xf numFmtId="0" fontId="31" fillId="9" borderId="4" xfId="0" quotePrefix="1" applyFont="1" applyFill="1" applyBorder="1" applyAlignment="1">
      <alignment horizontal="left" vertical="center" wrapText="1"/>
    </xf>
    <xf numFmtId="0" fontId="17" fillId="9" borderId="6" xfId="0" applyFont="1" applyFill="1" applyBorder="1" applyAlignment="1">
      <alignment horizontal="center" vertical="center"/>
    </xf>
    <xf numFmtId="186" fontId="17" fillId="9" borderId="7" xfId="1" applyNumberFormat="1" applyFont="1" applyFill="1" applyBorder="1" applyAlignment="1">
      <alignment horizontal="right" vertical="center" wrapText="1"/>
    </xf>
    <xf numFmtId="176" fontId="16" fillId="9" borderId="6" xfId="1" applyNumberFormat="1" applyFont="1" applyFill="1" applyBorder="1" applyAlignment="1">
      <alignment horizontal="center" vertical="center"/>
    </xf>
    <xf numFmtId="177" fontId="16" fillId="9" borderId="7" xfId="1" applyNumberFormat="1" applyFont="1" applyFill="1" applyBorder="1" applyAlignment="1">
      <alignment horizontal="right" vertical="center" wrapText="1"/>
    </xf>
    <xf numFmtId="0" fontId="17" fillId="9" borderId="28" xfId="0" applyFont="1" applyFill="1" applyBorder="1" applyAlignment="1">
      <alignment horizontal="center" vertical="center"/>
    </xf>
    <xf numFmtId="0" fontId="17" fillId="9" borderId="25" xfId="0" applyFont="1" applyFill="1" applyBorder="1" applyAlignment="1">
      <alignment horizontal="center" vertical="center"/>
    </xf>
    <xf numFmtId="0" fontId="17" fillId="9" borderId="4" xfId="0" applyNumberFormat="1" applyFont="1" applyFill="1" applyBorder="1" applyAlignment="1">
      <alignment horizontal="center" vertical="center" wrapText="1"/>
    </xf>
    <xf numFmtId="0" fontId="17" fillId="9" borderId="1" xfId="0" applyFont="1" applyFill="1" applyBorder="1" applyAlignment="1">
      <alignment horizontal="center" vertical="center"/>
    </xf>
    <xf numFmtId="176" fontId="19" fillId="9" borderId="1" xfId="1" applyNumberFormat="1" applyFont="1" applyFill="1" applyBorder="1" applyAlignment="1">
      <alignment vertical="center" wrapText="1"/>
    </xf>
    <xf numFmtId="41" fontId="17" fillId="9" borderId="1" xfId="1" applyFont="1" applyFill="1" applyBorder="1" applyAlignment="1">
      <alignment horizontal="center" vertical="center"/>
    </xf>
    <xf numFmtId="41" fontId="17" fillId="9" borderId="1" xfId="1" applyFont="1" applyFill="1" applyBorder="1">
      <alignment vertical="center"/>
    </xf>
    <xf numFmtId="41" fontId="17" fillId="9" borderId="3" xfId="1" applyFont="1" applyFill="1" applyBorder="1" applyAlignment="1">
      <alignment horizontal="center" vertical="center"/>
    </xf>
    <xf numFmtId="0" fontId="17" fillId="9" borderId="0" xfId="0" applyFont="1" applyFill="1">
      <alignment vertical="center"/>
    </xf>
    <xf numFmtId="0" fontId="17" fillId="9" borderId="8" xfId="0" applyFont="1" applyFill="1" applyBorder="1" applyAlignment="1">
      <alignment horizontal="center" vertical="center" wrapText="1"/>
    </xf>
    <xf numFmtId="9" fontId="19" fillId="9" borderId="8" xfId="2" applyNumberFormat="1" applyFont="1" applyFill="1" applyBorder="1" applyAlignment="1">
      <alignment horizontal="center" vertical="center"/>
    </xf>
    <xf numFmtId="9" fontId="17" fillId="9" borderId="8" xfId="2" applyNumberFormat="1" applyFont="1" applyFill="1" applyBorder="1" applyAlignment="1">
      <alignment horizontal="center" vertical="center"/>
    </xf>
    <xf numFmtId="0" fontId="17" fillId="9" borderId="16" xfId="0" applyFont="1" applyFill="1" applyBorder="1" applyAlignment="1">
      <alignment horizontal="center" vertical="center" wrapText="1"/>
    </xf>
    <xf numFmtId="0" fontId="17" fillId="9" borderId="12" xfId="0" applyFont="1" applyFill="1" applyBorder="1" applyAlignment="1">
      <alignment vertical="center"/>
    </xf>
    <xf numFmtId="0" fontId="17" fillId="9" borderId="8" xfId="0" applyFont="1" applyFill="1" applyBorder="1" applyAlignment="1">
      <alignment horizontal="left" vertical="center" wrapText="1"/>
    </xf>
    <xf numFmtId="0" fontId="16" fillId="9" borderId="9" xfId="0" applyFont="1" applyFill="1" applyBorder="1" applyAlignment="1">
      <alignment horizontal="center" vertical="center" wrapText="1"/>
    </xf>
    <xf numFmtId="0" fontId="31" fillId="9" borderId="8" xfId="0" applyFont="1" applyFill="1" applyBorder="1" applyAlignment="1">
      <alignment horizontal="left" vertical="center" wrapText="1"/>
    </xf>
    <xf numFmtId="0" fontId="17" fillId="9" borderId="10" xfId="0" applyFont="1" applyFill="1" applyBorder="1" applyAlignment="1">
      <alignment horizontal="center" vertical="center"/>
    </xf>
    <xf numFmtId="186" fontId="17" fillId="9" borderId="11" xfId="1" applyNumberFormat="1" applyFont="1" applyFill="1" applyBorder="1" applyAlignment="1">
      <alignment horizontal="right" vertical="center" wrapText="1"/>
    </xf>
    <xf numFmtId="176" fontId="17" fillId="9" borderId="10" xfId="1" applyNumberFormat="1" applyFont="1" applyFill="1" applyBorder="1" applyAlignment="1">
      <alignment horizontal="center" vertical="center" wrapText="1"/>
    </xf>
    <xf numFmtId="177" fontId="17" fillId="9" borderId="11" xfId="1" applyNumberFormat="1" applyFont="1" applyFill="1" applyBorder="1" applyAlignment="1">
      <alignment horizontal="right" vertical="center" wrapText="1"/>
    </xf>
    <xf numFmtId="0" fontId="17" fillId="9" borderId="8" xfId="0" applyNumberFormat="1" applyFont="1" applyFill="1" applyBorder="1" applyAlignment="1">
      <alignment horizontal="center" vertical="center" wrapText="1"/>
    </xf>
    <xf numFmtId="176" fontId="17" fillId="9" borderId="1" xfId="1" applyNumberFormat="1" applyFont="1" applyFill="1" applyBorder="1" applyAlignment="1">
      <alignment vertical="center" wrapText="1"/>
    </xf>
    <xf numFmtId="41" fontId="17" fillId="9" borderId="0" xfId="1" applyFont="1" applyFill="1" applyAlignment="1">
      <alignment horizontal="center" vertical="center"/>
    </xf>
    <xf numFmtId="41" fontId="17" fillId="9" borderId="0" xfId="1" applyFont="1" applyFill="1">
      <alignment vertical="center"/>
    </xf>
    <xf numFmtId="0" fontId="17" fillId="9" borderId="4" xfId="0" quotePrefix="1" applyFont="1" applyFill="1" applyBorder="1" applyAlignment="1">
      <alignment vertical="top" wrapText="1"/>
    </xf>
    <xf numFmtId="179" fontId="20" fillId="0" borderId="7" xfId="2" applyNumberFormat="1" applyFont="1" applyFill="1" applyBorder="1" applyAlignment="1">
      <alignment horizontal="center" vertical="center"/>
    </xf>
    <xf numFmtId="0" fontId="17" fillId="0" borderId="12" xfId="0" quotePrefix="1" applyFont="1" applyBorder="1" applyAlignment="1">
      <alignment vertical="top" wrapText="1"/>
    </xf>
    <xf numFmtId="0" fontId="17" fillId="0" borderId="8" xfId="0" quotePrefix="1" applyFont="1" applyBorder="1" applyAlignment="1">
      <alignment vertical="center" wrapText="1"/>
    </xf>
    <xf numFmtId="0" fontId="17" fillId="0" borderId="4" xfId="0" quotePrefix="1" applyFont="1" applyBorder="1" applyAlignment="1">
      <alignment horizontal="center" vertical="top" wrapText="1"/>
    </xf>
    <xf numFmtId="0" fontId="17" fillId="0" borderId="8" xfId="0" quotePrefix="1" applyFont="1" applyBorder="1" applyAlignment="1">
      <alignment horizontal="center" vertical="top" wrapText="1"/>
    </xf>
    <xf numFmtId="3" fontId="17" fillId="9" borderId="4" xfId="0" applyNumberFormat="1" applyFont="1" applyFill="1" applyBorder="1" applyAlignment="1">
      <alignment horizontal="center" vertical="center" wrapText="1"/>
    </xf>
    <xf numFmtId="0" fontId="17" fillId="9" borderId="12" xfId="0" applyFont="1" applyFill="1" applyBorder="1" applyAlignment="1">
      <alignment vertical="top" wrapText="1"/>
    </xf>
    <xf numFmtId="3" fontId="17" fillId="9" borderId="8" xfId="0" applyNumberFormat="1" applyFont="1" applyFill="1" applyBorder="1" applyAlignment="1">
      <alignment horizontal="center" vertical="center" wrapText="1"/>
    </xf>
    <xf numFmtId="0" fontId="14" fillId="9" borderId="4" xfId="0" quotePrefix="1" applyFont="1" applyFill="1" applyBorder="1" applyAlignment="1">
      <alignment vertical="center" wrapText="1"/>
    </xf>
    <xf numFmtId="0" fontId="17" fillId="9" borderId="16" xfId="0" applyFont="1" applyFill="1" applyBorder="1" applyAlignment="1">
      <alignment horizontal="left" vertical="center" wrapText="1"/>
    </xf>
    <xf numFmtId="190" fontId="17" fillId="0" borderId="4" xfId="0" quotePrefix="1" applyNumberFormat="1" applyFont="1" applyBorder="1" applyAlignment="1">
      <alignment horizontal="center" vertical="center" wrapText="1"/>
    </xf>
    <xf numFmtId="0" fontId="50" fillId="0" borderId="12" xfId="0" applyFont="1" applyBorder="1" applyAlignment="1">
      <alignment horizontal="left" vertical="center" wrapText="1"/>
    </xf>
    <xf numFmtId="0" fontId="21" fillId="0" borderId="4" xfId="0" applyFont="1" applyBorder="1" applyAlignment="1">
      <alignment horizontal="left" vertical="center" wrapText="1"/>
    </xf>
    <xf numFmtId="0" fontId="21" fillId="0" borderId="8" xfId="0" applyFont="1" applyBorder="1" applyAlignment="1">
      <alignment horizontal="left" vertical="center" wrapText="1"/>
    </xf>
    <xf numFmtId="190" fontId="17" fillId="9" borderId="4" xfId="0" quotePrefix="1" applyNumberFormat="1" applyFont="1" applyFill="1" applyBorder="1" applyAlignment="1">
      <alignment horizontal="center" vertical="center" wrapText="1"/>
    </xf>
    <xf numFmtId="0" fontId="17" fillId="0" borderId="4" xfId="0" quotePrefix="1" applyNumberFormat="1" applyFont="1" applyBorder="1" applyAlignment="1">
      <alignment horizontal="center" vertical="center" wrapText="1"/>
    </xf>
    <xf numFmtId="41" fontId="19" fillId="4" borderId="3" xfId="1" applyFont="1" applyFill="1" applyBorder="1" applyAlignment="1">
      <alignment horizontal="center" vertical="center"/>
    </xf>
    <xf numFmtId="41" fontId="16" fillId="7" borderId="7" xfId="1" applyNumberFormat="1" applyFont="1" applyFill="1" applyBorder="1" applyAlignment="1">
      <alignment horizontal="right" vertical="center" wrapText="1"/>
    </xf>
    <xf numFmtId="0" fontId="18" fillId="0" borderId="0" xfId="0" applyFont="1" applyAlignment="1">
      <alignment vertical="center"/>
    </xf>
    <xf numFmtId="187" fontId="18" fillId="0" borderId="0" xfId="0" applyNumberFormat="1" applyFont="1" applyAlignment="1">
      <alignment horizontal="center" vertical="center"/>
    </xf>
    <xf numFmtId="0" fontId="18" fillId="0" borderId="0" xfId="0" quotePrefix="1" applyFont="1" applyAlignment="1">
      <alignment horizontal="center" vertical="center" wrapText="1"/>
    </xf>
    <xf numFmtId="0" fontId="17" fillId="0" borderId="19" xfId="0" applyFont="1" applyBorder="1" applyAlignment="1">
      <alignment horizontal="center" vertical="center" wrapText="1"/>
    </xf>
    <xf numFmtId="0" fontId="17" fillId="0" borderId="17" xfId="0" applyFont="1" applyBorder="1" applyAlignment="1">
      <alignment horizontal="center" vertical="center" wrapText="1"/>
    </xf>
    <xf numFmtId="9" fontId="17" fillId="0" borderId="12" xfId="2" applyFont="1" applyBorder="1" applyAlignment="1">
      <alignment horizontal="center" vertical="center"/>
    </xf>
    <xf numFmtId="9" fontId="17" fillId="4" borderId="12" xfId="2" applyFont="1" applyFill="1" applyBorder="1" applyAlignment="1">
      <alignment horizontal="center" vertical="center"/>
    </xf>
    <xf numFmtId="0" fontId="26" fillId="0" borderId="17" xfId="0" applyFont="1" applyBorder="1" applyAlignment="1">
      <alignment horizontal="center" vertical="center" wrapText="1"/>
    </xf>
    <xf numFmtId="9" fontId="19" fillId="8" borderId="4" xfId="2" applyNumberFormat="1" applyFont="1" applyFill="1" applyBorder="1" applyAlignment="1">
      <alignment horizontal="center" vertical="center"/>
    </xf>
    <xf numFmtId="179" fontId="20" fillId="8" borderId="7" xfId="2" applyNumberFormat="1" applyFont="1" applyFill="1" applyBorder="1" applyAlignment="1">
      <alignment horizontal="center" vertical="center"/>
    </xf>
    <xf numFmtId="0" fontId="14" fillId="8" borderId="4" xfId="0" quotePrefix="1" applyFont="1" applyFill="1" applyBorder="1" applyAlignment="1">
      <alignment vertical="center" wrapText="1"/>
    </xf>
    <xf numFmtId="0" fontId="31" fillId="8" borderId="4" xfId="0" quotePrefix="1" applyFont="1" applyFill="1" applyBorder="1" applyAlignment="1">
      <alignment horizontal="left" vertical="center" wrapText="1"/>
    </xf>
    <xf numFmtId="0" fontId="17" fillId="8" borderId="28" xfId="0" applyFont="1" applyFill="1" applyBorder="1" applyAlignment="1">
      <alignment horizontal="center" vertical="center"/>
    </xf>
    <xf numFmtId="0" fontId="17" fillId="8" borderId="25" xfId="0" applyFont="1" applyFill="1" applyBorder="1" applyAlignment="1">
      <alignment horizontal="center" vertical="center"/>
    </xf>
    <xf numFmtId="0" fontId="17" fillId="8" borderId="4" xfId="0" applyNumberFormat="1" applyFont="1" applyFill="1" applyBorder="1" applyAlignment="1">
      <alignment horizontal="center" vertical="center" wrapText="1"/>
    </xf>
    <xf numFmtId="0" fontId="17" fillId="8" borderId="1" xfId="0" applyFont="1" applyFill="1" applyBorder="1" applyAlignment="1">
      <alignment horizontal="center" vertical="center"/>
    </xf>
    <xf numFmtId="176" fontId="19" fillId="8" borderId="1" xfId="1" applyNumberFormat="1" applyFont="1" applyFill="1" applyBorder="1" applyAlignment="1">
      <alignment vertical="center" wrapText="1"/>
    </xf>
    <xf numFmtId="41" fontId="17" fillId="8" borderId="1" xfId="1" applyFont="1" applyFill="1" applyBorder="1" applyAlignment="1">
      <alignment horizontal="center" vertical="center"/>
    </xf>
    <xf numFmtId="41" fontId="17" fillId="8" borderId="1" xfId="1" applyFont="1" applyFill="1" applyBorder="1">
      <alignment vertical="center"/>
    </xf>
    <xf numFmtId="41" fontId="17" fillId="8" borderId="3" xfId="1" applyFont="1" applyFill="1" applyBorder="1" applyAlignment="1">
      <alignment horizontal="center" vertical="center"/>
    </xf>
    <xf numFmtId="0" fontId="17" fillId="8" borderId="0" xfId="0" applyFont="1" applyFill="1">
      <alignment vertical="center"/>
    </xf>
    <xf numFmtId="9" fontId="19" fillId="8" borderId="8" xfId="2" applyNumberFormat="1" applyFont="1" applyFill="1" applyBorder="1" applyAlignment="1">
      <alignment horizontal="center" vertical="center"/>
    </xf>
    <xf numFmtId="0" fontId="17" fillId="8" borderId="16" xfId="0" applyFont="1" applyFill="1" applyBorder="1" applyAlignment="1">
      <alignment horizontal="left" vertical="center" wrapText="1"/>
    </xf>
    <xf numFmtId="0" fontId="17" fillId="8" borderId="12" xfId="0" applyFont="1" applyFill="1" applyBorder="1" applyAlignment="1">
      <alignment vertical="center"/>
    </xf>
    <xf numFmtId="0" fontId="31" fillId="8" borderId="8" xfId="0" applyFont="1" applyFill="1" applyBorder="1" applyAlignment="1">
      <alignment horizontal="left" vertical="center" wrapText="1"/>
    </xf>
    <xf numFmtId="0" fontId="17" fillId="8" borderId="8" xfId="0" applyNumberFormat="1" applyFont="1" applyFill="1" applyBorder="1" applyAlignment="1">
      <alignment horizontal="center" vertical="center" wrapText="1"/>
    </xf>
    <xf numFmtId="176" fontId="17" fillId="8" borderId="1" xfId="1" applyNumberFormat="1" applyFont="1" applyFill="1" applyBorder="1" applyAlignment="1">
      <alignment vertical="center" wrapText="1"/>
    </xf>
    <xf numFmtId="41" fontId="17" fillId="8" borderId="0" xfId="1" applyFont="1" applyFill="1" applyAlignment="1">
      <alignment horizontal="center" vertical="center"/>
    </xf>
    <xf numFmtId="41" fontId="17" fillId="8" borderId="0" xfId="1" applyFont="1" applyFill="1">
      <alignment vertical="center"/>
    </xf>
    <xf numFmtId="0" fontId="17" fillId="8" borderId="4" xfId="0" quotePrefix="1" applyFont="1" applyFill="1" applyBorder="1" applyAlignment="1">
      <alignment vertical="top" wrapText="1"/>
    </xf>
    <xf numFmtId="3" fontId="17" fillId="8" borderId="4" xfId="0" applyNumberFormat="1" applyFont="1" applyFill="1" applyBorder="1" applyAlignment="1">
      <alignment horizontal="center" vertical="center" wrapText="1"/>
    </xf>
    <xf numFmtId="0" fontId="17" fillId="8" borderId="12" xfId="0" applyFont="1" applyFill="1" applyBorder="1" applyAlignment="1">
      <alignment vertical="top" wrapText="1"/>
    </xf>
    <xf numFmtId="3" fontId="17" fillId="8" borderId="8" xfId="0" applyNumberFormat="1" applyFont="1" applyFill="1" applyBorder="1" applyAlignment="1">
      <alignment horizontal="center" vertical="center" wrapText="1"/>
    </xf>
    <xf numFmtId="0" fontId="25" fillId="8" borderId="4" xfId="0" quotePrefix="1" applyFont="1" applyFill="1" applyBorder="1" applyAlignment="1">
      <alignment vertical="top" wrapText="1"/>
    </xf>
    <xf numFmtId="9" fontId="15" fillId="8" borderId="8" xfId="2" applyFont="1" applyFill="1" applyBorder="1" applyAlignment="1">
      <alignment horizontal="center" vertical="center"/>
    </xf>
    <xf numFmtId="0" fontId="15" fillId="8" borderId="16" xfId="0" applyFont="1" applyFill="1" applyBorder="1" applyAlignment="1">
      <alignment horizontal="center" vertical="center" wrapText="1"/>
    </xf>
    <xf numFmtId="188" fontId="15" fillId="8" borderId="12" xfId="0" applyNumberFormat="1" applyFont="1" applyFill="1" applyBorder="1" applyAlignment="1">
      <alignment horizontal="center" vertical="center" wrapText="1"/>
    </xf>
    <xf numFmtId="0" fontId="31" fillId="8" borderId="8"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23" fillId="8" borderId="8" xfId="0" applyFont="1" applyFill="1" applyBorder="1" applyAlignment="1">
      <alignment horizontal="left" vertical="center" wrapText="1"/>
    </xf>
    <xf numFmtId="0" fontId="15" fillId="8" borderId="10" xfId="0" applyFont="1" applyFill="1" applyBorder="1" applyAlignment="1">
      <alignment horizontal="center" vertical="center"/>
    </xf>
    <xf numFmtId="186" fontId="15" fillId="8" borderId="11" xfId="1" applyNumberFormat="1" applyFont="1" applyFill="1" applyBorder="1" applyAlignment="1">
      <alignment horizontal="right" vertical="center" wrapText="1"/>
    </xf>
    <xf numFmtId="176" fontId="15" fillId="8" borderId="10" xfId="1" applyNumberFormat="1" applyFont="1" applyFill="1" applyBorder="1" applyAlignment="1">
      <alignment horizontal="center" vertical="center" wrapText="1"/>
    </xf>
    <xf numFmtId="177" fontId="14" fillId="8" borderId="11" xfId="1" applyNumberFormat="1" applyFont="1" applyFill="1" applyBorder="1" applyAlignment="1">
      <alignment horizontal="right" vertical="center" wrapText="1"/>
    </xf>
    <xf numFmtId="0" fontId="18" fillId="8" borderId="28" xfId="0" applyFont="1" applyFill="1" applyBorder="1" applyAlignment="1">
      <alignment horizontal="center" vertical="center"/>
    </xf>
    <xf numFmtId="0" fontId="18" fillId="8" borderId="27" xfId="0" applyFont="1" applyFill="1" applyBorder="1" applyAlignment="1">
      <alignment horizontal="center" vertical="center"/>
    </xf>
    <xf numFmtId="0" fontId="18" fillId="8" borderId="0" xfId="0" applyFont="1" applyFill="1" applyAlignment="1">
      <alignment horizontal="center" vertical="center"/>
    </xf>
    <xf numFmtId="49" fontId="18" fillId="8" borderId="8" xfId="0" applyNumberFormat="1" applyFont="1" applyFill="1" applyBorder="1" applyAlignment="1">
      <alignment horizontal="center" vertical="center" wrapText="1"/>
    </xf>
    <xf numFmtId="0" fontId="18" fillId="8" borderId="1" xfId="0" applyFont="1" applyFill="1" applyBorder="1" applyAlignment="1">
      <alignment horizontal="center" vertical="center"/>
    </xf>
    <xf numFmtId="176" fontId="18" fillId="8" borderId="1" xfId="1" applyNumberFormat="1" applyFont="1" applyFill="1" applyBorder="1" applyAlignment="1">
      <alignment vertical="center" wrapText="1"/>
    </xf>
    <xf numFmtId="41" fontId="18" fillId="8" borderId="1" xfId="1" applyFont="1" applyFill="1" applyBorder="1" applyAlignment="1">
      <alignment horizontal="center" vertical="center"/>
    </xf>
    <xf numFmtId="41" fontId="18" fillId="8" borderId="1" xfId="1" applyFont="1" applyFill="1" applyBorder="1">
      <alignment vertical="center"/>
    </xf>
    <xf numFmtId="41" fontId="18" fillId="8" borderId="0" xfId="1" applyFont="1" applyFill="1" applyAlignment="1">
      <alignment vertical="center" wrapText="1"/>
    </xf>
    <xf numFmtId="0" fontId="18" fillId="8" borderId="0" xfId="0" applyFont="1" applyFill="1">
      <alignment vertical="center"/>
    </xf>
    <xf numFmtId="9" fontId="15" fillId="8" borderId="4" xfId="2" applyFont="1" applyFill="1" applyBorder="1" applyAlignment="1">
      <alignment horizontal="center" vertical="center"/>
    </xf>
    <xf numFmtId="179" fontId="12" fillId="8" borderId="7" xfId="2" applyNumberFormat="1" applyFont="1" applyFill="1" applyBorder="1" applyAlignment="1">
      <alignment horizontal="center" vertical="center"/>
    </xf>
    <xf numFmtId="188" fontId="15" fillId="8" borderId="4" xfId="0" applyNumberFormat="1" applyFont="1" applyFill="1" applyBorder="1" applyAlignment="1">
      <alignment horizontal="center" vertical="center" wrapText="1"/>
    </xf>
    <xf numFmtId="0" fontId="31" fillId="8" borderId="4" xfId="0" applyFont="1" applyFill="1" applyBorder="1" applyAlignment="1">
      <alignment horizontal="center" vertical="center" wrapText="1"/>
    </xf>
    <xf numFmtId="0" fontId="15" fillId="8" borderId="5" xfId="0" applyFont="1" applyFill="1" applyBorder="1" applyAlignment="1">
      <alignment horizontal="center" vertical="center" wrapText="1"/>
    </xf>
    <xf numFmtId="0" fontId="23" fillId="8" borderId="4" xfId="0" quotePrefix="1" applyFont="1" applyFill="1" applyBorder="1" applyAlignment="1">
      <alignment horizontal="left" vertical="center" wrapText="1"/>
    </xf>
    <xf numFmtId="0" fontId="15" fillId="8" borderId="6" xfId="0" applyFont="1" applyFill="1" applyBorder="1" applyAlignment="1">
      <alignment horizontal="center" vertical="center"/>
    </xf>
    <xf numFmtId="186" fontId="15" fillId="8" borderId="7" xfId="1" applyNumberFormat="1" applyFont="1" applyFill="1" applyBorder="1" applyAlignment="1">
      <alignment horizontal="right" vertical="center" wrapText="1"/>
    </xf>
    <xf numFmtId="176" fontId="12" fillId="8" borderId="6" xfId="1" applyNumberFormat="1" applyFont="1" applyFill="1" applyBorder="1" applyAlignment="1">
      <alignment horizontal="center" vertical="center"/>
    </xf>
    <xf numFmtId="177" fontId="13" fillId="8" borderId="7" xfId="1" applyNumberFormat="1" applyFont="1" applyFill="1" applyBorder="1" applyAlignment="1">
      <alignment horizontal="right" vertical="center" wrapText="1"/>
    </xf>
    <xf numFmtId="0" fontId="18" fillId="8" borderId="25" xfId="0" applyFont="1" applyFill="1" applyBorder="1" applyAlignment="1">
      <alignment horizontal="center" vertical="center"/>
    </xf>
    <xf numFmtId="49" fontId="18" fillId="8" borderId="4" xfId="0" applyNumberFormat="1" applyFont="1" applyFill="1" applyBorder="1" applyAlignment="1">
      <alignment horizontal="center" vertical="center" wrapText="1"/>
    </xf>
    <xf numFmtId="41" fontId="37" fillId="8" borderId="1" xfId="1" applyFont="1" applyFill="1" applyBorder="1" applyAlignment="1">
      <alignment horizontal="center" vertical="center"/>
    </xf>
    <xf numFmtId="41" fontId="37" fillId="8" borderId="1" xfId="1" applyFont="1" applyFill="1" applyBorder="1">
      <alignment vertical="center"/>
    </xf>
    <xf numFmtId="41" fontId="37" fillId="8" borderId="3" xfId="1" applyFont="1" applyFill="1" applyBorder="1" applyAlignment="1">
      <alignment vertical="center" wrapText="1"/>
    </xf>
    <xf numFmtId="41" fontId="37" fillId="8" borderId="1" xfId="1" applyFont="1" applyFill="1" applyBorder="1" applyAlignment="1">
      <alignment vertical="center" wrapText="1"/>
    </xf>
    <xf numFmtId="41" fontId="18" fillId="8" borderId="1" xfId="1" applyFont="1" applyFill="1" applyBorder="1" applyAlignment="1">
      <alignment vertical="center" wrapText="1"/>
    </xf>
    <xf numFmtId="190" fontId="17" fillId="8" borderId="4" xfId="0" quotePrefix="1" applyNumberFormat="1" applyFont="1" applyFill="1" applyBorder="1" applyAlignment="1">
      <alignment horizontal="center" vertical="center" wrapText="1"/>
    </xf>
    <xf numFmtId="9" fontId="19" fillId="8" borderId="12" xfId="2" applyNumberFormat="1" applyFont="1" applyFill="1" applyBorder="1" applyAlignment="1">
      <alignment horizontal="center" vertical="center"/>
    </xf>
    <xf numFmtId="0" fontId="17" fillId="8" borderId="17" xfId="0" applyFont="1" applyFill="1" applyBorder="1" applyAlignment="1">
      <alignment horizontal="center" vertical="center" wrapText="1"/>
    </xf>
    <xf numFmtId="0" fontId="17" fillId="8" borderId="17" xfId="0" applyFont="1" applyFill="1" applyBorder="1" applyAlignment="1">
      <alignment horizontal="left" vertical="center" wrapText="1"/>
    </xf>
    <xf numFmtId="0" fontId="17" fillId="8" borderId="12" xfId="0" applyFont="1" applyFill="1" applyBorder="1" applyAlignment="1">
      <alignment horizontal="left" vertical="center" wrapText="1"/>
    </xf>
    <xf numFmtId="9" fontId="40" fillId="4" borderId="4" xfId="2" applyFont="1" applyFill="1" applyBorder="1" applyAlignment="1">
      <alignment horizontal="center" vertical="center"/>
    </xf>
    <xf numFmtId="9" fontId="40" fillId="4" borderId="8" xfId="2" applyFont="1" applyFill="1" applyBorder="1" applyAlignment="1">
      <alignment horizontal="center" vertical="center"/>
    </xf>
    <xf numFmtId="9" fontId="18" fillId="8" borderId="4" xfId="2" applyFont="1" applyFill="1" applyBorder="1" applyAlignment="1">
      <alignment horizontal="center" vertical="center"/>
    </xf>
    <xf numFmtId="9" fontId="36" fillId="8" borderId="7" xfId="2" applyFont="1" applyFill="1" applyBorder="1" applyAlignment="1">
      <alignment horizontal="center" vertical="center"/>
    </xf>
    <xf numFmtId="0" fontId="15" fillId="8" borderId="4" xfId="0" applyFont="1" applyFill="1" applyBorder="1" applyAlignment="1">
      <alignment horizontal="center" vertical="center" wrapText="1"/>
    </xf>
    <xf numFmtId="0" fontId="18" fillId="8" borderId="21" xfId="0" applyFont="1" applyFill="1" applyBorder="1" applyAlignment="1">
      <alignment horizontal="center" vertical="center" wrapText="1"/>
    </xf>
    <xf numFmtId="0" fontId="18" fillId="8" borderId="5" xfId="0" applyFont="1" applyFill="1" applyBorder="1" applyAlignment="1">
      <alignment horizontal="center" vertical="center" wrapText="1"/>
    </xf>
    <xf numFmtId="0" fontId="18" fillId="8" borderId="4" xfId="0" quotePrefix="1" applyFont="1" applyFill="1" applyBorder="1" applyAlignment="1">
      <alignment vertical="center" wrapText="1"/>
    </xf>
    <xf numFmtId="0" fontId="18" fillId="8" borderId="6" xfId="0" applyFont="1" applyFill="1" applyBorder="1" applyAlignment="1">
      <alignment horizontal="center" vertical="center"/>
    </xf>
    <xf numFmtId="186" fontId="18" fillId="8" borderId="7" xfId="1" applyNumberFormat="1" applyFont="1" applyFill="1" applyBorder="1" applyAlignment="1">
      <alignment horizontal="right" vertical="center" wrapText="1"/>
    </xf>
    <xf numFmtId="176" fontId="36" fillId="8" borderId="6" xfId="1" applyNumberFormat="1" applyFont="1" applyFill="1" applyBorder="1" applyAlignment="1">
      <alignment horizontal="center" vertical="center"/>
    </xf>
    <xf numFmtId="177" fontId="36" fillId="8" borderId="7" xfId="1" applyNumberFormat="1" applyFont="1" applyFill="1" applyBorder="1" applyAlignment="1">
      <alignment horizontal="right" vertical="center" wrapText="1"/>
    </xf>
    <xf numFmtId="41" fontId="18" fillId="8" borderId="3" xfId="1" applyFont="1" applyFill="1" applyBorder="1">
      <alignment vertical="center"/>
    </xf>
    <xf numFmtId="9" fontId="18" fillId="8" borderId="8" xfId="2" applyFont="1" applyFill="1" applyBorder="1" applyAlignment="1">
      <alignment horizontal="center" vertical="center"/>
    </xf>
    <xf numFmtId="0" fontId="18" fillId="8" borderId="16"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8" fillId="8" borderId="23" xfId="0" applyFont="1" applyFill="1" applyBorder="1" applyAlignment="1">
      <alignment horizontal="center" vertical="center" wrapText="1"/>
    </xf>
    <xf numFmtId="0" fontId="18" fillId="8" borderId="9" xfId="0" applyFont="1" applyFill="1" applyBorder="1" applyAlignment="1">
      <alignment horizontal="center" vertical="center" wrapText="1"/>
    </xf>
    <xf numFmtId="0" fontId="18" fillId="8" borderId="8" xfId="0" applyFont="1" applyFill="1" applyBorder="1" applyAlignment="1">
      <alignment vertical="center" wrapText="1"/>
    </xf>
    <xf numFmtId="0" fontId="18" fillId="8" borderId="18" xfId="0" applyFont="1" applyFill="1" applyBorder="1" applyAlignment="1">
      <alignment horizontal="center" vertical="center"/>
    </xf>
    <xf numFmtId="0" fontId="18" fillId="8" borderId="11" xfId="0" applyFont="1" applyFill="1" applyBorder="1" applyAlignment="1">
      <alignment horizontal="center" vertical="center"/>
    </xf>
    <xf numFmtId="176" fontId="18" fillId="8" borderId="10" xfId="1" applyNumberFormat="1" applyFont="1" applyFill="1" applyBorder="1" applyAlignment="1">
      <alignment horizontal="center" vertical="center" wrapText="1"/>
    </xf>
    <xf numFmtId="177" fontId="18" fillId="8" borderId="11" xfId="1" applyNumberFormat="1" applyFont="1" applyFill="1" applyBorder="1" applyAlignment="1">
      <alignment horizontal="right" vertical="center" wrapText="1"/>
    </xf>
    <xf numFmtId="41" fontId="18" fillId="8" borderId="0" xfId="1" applyFont="1" applyFill="1">
      <alignment vertical="center"/>
    </xf>
    <xf numFmtId="0" fontId="15" fillId="0" borderId="19" xfId="0" applyFont="1" applyBorder="1" applyAlignment="1">
      <alignment horizontal="center" vertical="center"/>
    </xf>
  </cellXfs>
  <cellStyles count="164">
    <cellStyle name="Comma [0]_ SG&amp;A Bridge " xfId="3" xr:uid="{00000000-0005-0000-0000-000000000000}"/>
    <cellStyle name="Comma_ SG&amp;A Bridge " xfId="4" xr:uid="{00000000-0005-0000-0000-000001000000}"/>
    <cellStyle name="Currency [0]_ SG&amp;A Bridge " xfId="5" xr:uid="{00000000-0005-0000-0000-000002000000}"/>
    <cellStyle name="Currency_ SG&amp;A Bridge " xfId="6" xr:uid="{00000000-0005-0000-0000-000003000000}"/>
    <cellStyle name="Normal_ SG&amp;A Bridge " xfId="7" xr:uid="{00000000-0005-0000-0000-000004000000}"/>
    <cellStyle name="경고문 2" xfId="8" xr:uid="{00000000-0005-0000-0000-000005000000}"/>
    <cellStyle name="백분율" xfId="2" builtinId="5"/>
    <cellStyle name="백분율 2" xfId="9" xr:uid="{00000000-0005-0000-0000-000007000000}"/>
    <cellStyle name="백분율 2 2" xfId="10" xr:uid="{00000000-0005-0000-0000-000008000000}"/>
    <cellStyle name="백분율 2 3" xfId="11" xr:uid="{00000000-0005-0000-0000-000009000000}"/>
    <cellStyle name="백분율 4" xfId="12" xr:uid="{00000000-0005-0000-0000-00000A000000}"/>
    <cellStyle name="백분율 5" xfId="13" xr:uid="{00000000-0005-0000-0000-00000B000000}"/>
    <cellStyle name="백분율 6" xfId="14" xr:uid="{00000000-0005-0000-0000-00000C000000}"/>
    <cellStyle name="뷭?_BOOKSHIP" xfId="15" xr:uid="{00000000-0005-0000-0000-00000D000000}"/>
    <cellStyle name="쉼표 [0]" xfId="1" builtinId="6"/>
    <cellStyle name="쉼표 [0] 2" xfId="16" xr:uid="{00000000-0005-0000-0000-00000F000000}"/>
    <cellStyle name="쉼표 [0] 2 2" xfId="17" xr:uid="{00000000-0005-0000-0000-000010000000}"/>
    <cellStyle name="쉼표 [0] 2 2 2" xfId="18" xr:uid="{00000000-0005-0000-0000-000011000000}"/>
    <cellStyle name="쉼표 [0] 2 2 3" xfId="19" xr:uid="{00000000-0005-0000-0000-000012000000}"/>
    <cellStyle name="쉼표 [0] 2 3" xfId="20" xr:uid="{00000000-0005-0000-0000-000013000000}"/>
    <cellStyle name="쉼표 [0] 2 4" xfId="21" xr:uid="{00000000-0005-0000-0000-000014000000}"/>
    <cellStyle name="쉼표 [0] 2 5" xfId="22" xr:uid="{00000000-0005-0000-0000-000015000000}"/>
    <cellStyle name="쉼표 [0] 2 6" xfId="23" xr:uid="{00000000-0005-0000-0000-000016000000}"/>
    <cellStyle name="쉼표 [0] 2 7" xfId="24" xr:uid="{00000000-0005-0000-0000-000017000000}"/>
    <cellStyle name="쉼표 [0] 3" xfId="25" xr:uid="{00000000-0005-0000-0000-000018000000}"/>
    <cellStyle name="쉼표 [0] 3 2" xfId="26" xr:uid="{00000000-0005-0000-0000-000019000000}"/>
    <cellStyle name="쉼표 [0] 3 2 2" xfId="27" xr:uid="{00000000-0005-0000-0000-00001A000000}"/>
    <cellStyle name="쉼표 [0] 3 2 2 2" xfId="28" xr:uid="{00000000-0005-0000-0000-00001B000000}"/>
    <cellStyle name="쉼표 [0] 3 2 2 3" xfId="29" xr:uid="{00000000-0005-0000-0000-00001C000000}"/>
    <cellStyle name="쉼표 [0] 3 2 2 4" xfId="30" xr:uid="{00000000-0005-0000-0000-00001D000000}"/>
    <cellStyle name="쉼표 [0] 3 2 3" xfId="31" xr:uid="{00000000-0005-0000-0000-00001E000000}"/>
    <cellStyle name="쉼표 [0] 3 2 4" xfId="32" xr:uid="{00000000-0005-0000-0000-00001F000000}"/>
    <cellStyle name="쉼표 [0] 3 3" xfId="33" xr:uid="{00000000-0005-0000-0000-000020000000}"/>
    <cellStyle name="쉼표 [0] 3 4" xfId="34" xr:uid="{00000000-0005-0000-0000-000021000000}"/>
    <cellStyle name="쉼표 [0] 3 5" xfId="35" xr:uid="{00000000-0005-0000-0000-000022000000}"/>
    <cellStyle name="쉼표 [0] 4" xfId="36" xr:uid="{00000000-0005-0000-0000-000023000000}"/>
    <cellStyle name="쉼표 [0] 4 2" xfId="37" xr:uid="{00000000-0005-0000-0000-000024000000}"/>
    <cellStyle name="쉼표 [0] 4 3" xfId="38" xr:uid="{00000000-0005-0000-0000-000025000000}"/>
    <cellStyle name="쉼표 [0] 4 4" xfId="39" xr:uid="{00000000-0005-0000-0000-000026000000}"/>
    <cellStyle name="쉼표 [0] 4 5" xfId="40" xr:uid="{00000000-0005-0000-0000-000027000000}"/>
    <cellStyle name="쉼표 [0] 4 6" xfId="41" xr:uid="{00000000-0005-0000-0000-000028000000}"/>
    <cellStyle name="쉼표 [0] 5" xfId="42" xr:uid="{00000000-0005-0000-0000-000029000000}"/>
    <cellStyle name="쉼표 [0] 5 2" xfId="43" xr:uid="{00000000-0005-0000-0000-00002A000000}"/>
    <cellStyle name="쉼표 [0] 5 3" xfId="44" xr:uid="{00000000-0005-0000-0000-00002B000000}"/>
    <cellStyle name="쉼표 [0] 6" xfId="45" xr:uid="{00000000-0005-0000-0000-00002C000000}"/>
    <cellStyle name="쉼표 [0] 7" xfId="46" xr:uid="{00000000-0005-0000-0000-00002D000000}"/>
    <cellStyle name="쉼표 [0] 8" xfId="47" xr:uid="{00000000-0005-0000-0000-00002E000000}"/>
    <cellStyle name="좋음 2" xfId="48" xr:uid="{00000000-0005-0000-0000-00002F000000}"/>
    <cellStyle name="콤마 [0]_1202" xfId="49" xr:uid="{00000000-0005-0000-0000-000030000000}"/>
    <cellStyle name="콤마_1202" xfId="50" xr:uid="{00000000-0005-0000-0000-000031000000}"/>
    <cellStyle name="표준" xfId="0" builtinId="0"/>
    <cellStyle name="표준 10" xfId="51" xr:uid="{00000000-0005-0000-0000-000033000000}"/>
    <cellStyle name="표준 10 2" xfId="52" xr:uid="{00000000-0005-0000-0000-000034000000}"/>
    <cellStyle name="표준 10 3" xfId="53" xr:uid="{00000000-0005-0000-0000-000035000000}"/>
    <cellStyle name="표준 11" xfId="54" xr:uid="{00000000-0005-0000-0000-000036000000}"/>
    <cellStyle name="표준 11 2" xfId="55" xr:uid="{00000000-0005-0000-0000-000037000000}"/>
    <cellStyle name="표준 11 3" xfId="56" xr:uid="{00000000-0005-0000-0000-000038000000}"/>
    <cellStyle name="표준 12" xfId="57" xr:uid="{00000000-0005-0000-0000-000039000000}"/>
    <cellStyle name="표준 13" xfId="58" xr:uid="{00000000-0005-0000-0000-00003A000000}"/>
    <cellStyle name="표준 14" xfId="59" xr:uid="{00000000-0005-0000-0000-00003B000000}"/>
    <cellStyle name="표준 2" xfId="60" xr:uid="{00000000-0005-0000-0000-00003C000000}"/>
    <cellStyle name="표준 2 10" xfId="61" xr:uid="{00000000-0005-0000-0000-00003D000000}"/>
    <cellStyle name="표준 2 10 2" xfId="62" xr:uid="{00000000-0005-0000-0000-00003E000000}"/>
    <cellStyle name="표준 2 11" xfId="63" xr:uid="{00000000-0005-0000-0000-00003F000000}"/>
    <cellStyle name="표준 2 2" xfId="64" xr:uid="{00000000-0005-0000-0000-000040000000}"/>
    <cellStyle name="표준 2 2 2" xfId="65" xr:uid="{00000000-0005-0000-0000-000041000000}"/>
    <cellStyle name="표준 2 2 2 2" xfId="66" xr:uid="{00000000-0005-0000-0000-000042000000}"/>
    <cellStyle name="표준 2 2 3" xfId="67" xr:uid="{00000000-0005-0000-0000-000043000000}"/>
    <cellStyle name="표준 2 3" xfId="68" xr:uid="{00000000-0005-0000-0000-000044000000}"/>
    <cellStyle name="표준 2 3 2" xfId="69" xr:uid="{00000000-0005-0000-0000-000045000000}"/>
    <cellStyle name="표준 2 3 3" xfId="70" xr:uid="{00000000-0005-0000-0000-000046000000}"/>
    <cellStyle name="표준 2 3 4" xfId="71" xr:uid="{00000000-0005-0000-0000-000047000000}"/>
    <cellStyle name="표준 2 4" xfId="72" xr:uid="{00000000-0005-0000-0000-000048000000}"/>
    <cellStyle name="표준 2 5" xfId="73" xr:uid="{00000000-0005-0000-0000-000049000000}"/>
    <cellStyle name="표준 2 5 2" xfId="74" xr:uid="{00000000-0005-0000-0000-00004A000000}"/>
    <cellStyle name="표준 2 6" xfId="75" xr:uid="{00000000-0005-0000-0000-00004B000000}"/>
    <cellStyle name="표준 2 7" xfId="76" xr:uid="{00000000-0005-0000-0000-00004C000000}"/>
    <cellStyle name="표준 2 8" xfId="77" xr:uid="{00000000-0005-0000-0000-00004D000000}"/>
    <cellStyle name="표준 2 8 2" xfId="78" xr:uid="{00000000-0005-0000-0000-00004E000000}"/>
    <cellStyle name="표준 2 8 3" xfId="79" xr:uid="{00000000-0005-0000-0000-00004F000000}"/>
    <cellStyle name="표준 2 9" xfId="80" xr:uid="{00000000-0005-0000-0000-000050000000}"/>
    <cellStyle name="표준 3" xfId="81" xr:uid="{00000000-0005-0000-0000-000051000000}"/>
    <cellStyle name="표준 3 10" xfId="82" xr:uid="{00000000-0005-0000-0000-000052000000}"/>
    <cellStyle name="표준 3 2" xfId="83" xr:uid="{00000000-0005-0000-0000-000053000000}"/>
    <cellStyle name="표준 3 2 2" xfId="84" xr:uid="{00000000-0005-0000-0000-000054000000}"/>
    <cellStyle name="표준 3 2 2 2" xfId="85" xr:uid="{00000000-0005-0000-0000-000055000000}"/>
    <cellStyle name="표준 3 2 2 2 2" xfId="86" xr:uid="{00000000-0005-0000-0000-000056000000}"/>
    <cellStyle name="표준 3 2 2 2 3" xfId="87" xr:uid="{00000000-0005-0000-0000-000057000000}"/>
    <cellStyle name="표준 3 2 2 3" xfId="88" xr:uid="{00000000-0005-0000-0000-000058000000}"/>
    <cellStyle name="표준 3 2 2 3 2" xfId="89" xr:uid="{00000000-0005-0000-0000-000059000000}"/>
    <cellStyle name="표준 3 2 2 3 3" xfId="90" xr:uid="{00000000-0005-0000-0000-00005A000000}"/>
    <cellStyle name="표준 3 2 2 4" xfId="91" xr:uid="{00000000-0005-0000-0000-00005B000000}"/>
    <cellStyle name="표준 3 2 2 5" xfId="92" xr:uid="{00000000-0005-0000-0000-00005C000000}"/>
    <cellStyle name="표준 3 2 3" xfId="93" xr:uid="{00000000-0005-0000-0000-00005D000000}"/>
    <cellStyle name="표준 3 2 3 2" xfId="94" xr:uid="{00000000-0005-0000-0000-00005E000000}"/>
    <cellStyle name="표준 3 2 3 2 2" xfId="95" xr:uid="{00000000-0005-0000-0000-00005F000000}"/>
    <cellStyle name="표준 3 2 3 2 3" xfId="96" xr:uid="{00000000-0005-0000-0000-000060000000}"/>
    <cellStyle name="표준 3 2 3 3" xfId="97" xr:uid="{00000000-0005-0000-0000-000061000000}"/>
    <cellStyle name="표준 3 2 3 3 2" xfId="98" xr:uid="{00000000-0005-0000-0000-000062000000}"/>
    <cellStyle name="표준 3 2 3 3 3" xfId="99" xr:uid="{00000000-0005-0000-0000-000063000000}"/>
    <cellStyle name="표준 3 2 3 4" xfId="100" xr:uid="{00000000-0005-0000-0000-000064000000}"/>
    <cellStyle name="표준 3 2 3 5" xfId="101" xr:uid="{00000000-0005-0000-0000-000065000000}"/>
    <cellStyle name="표준 3 2 4" xfId="102" xr:uid="{00000000-0005-0000-0000-000066000000}"/>
    <cellStyle name="표준 3 2 4 2" xfId="103" xr:uid="{00000000-0005-0000-0000-000067000000}"/>
    <cellStyle name="표준 3 2 4 3" xfId="104" xr:uid="{00000000-0005-0000-0000-000068000000}"/>
    <cellStyle name="표준 3 2 5" xfId="105" xr:uid="{00000000-0005-0000-0000-000069000000}"/>
    <cellStyle name="표준 3 2 5 2" xfId="106" xr:uid="{00000000-0005-0000-0000-00006A000000}"/>
    <cellStyle name="표준 3 2 5 3" xfId="107" xr:uid="{00000000-0005-0000-0000-00006B000000}"/>
    <cellStyle name="표준 3 2 6" xfId="108" xr:uid="{00000000-0005-0000-0000-00006C000000}"/>
    <cellStyle name="표준 3 2 7" xfId="109" xr:uid="{00000000-0005-0000-0000-00006D000000}"/>
    <cellStyle name="표준 3 2 8" xfId="110" xr:uid="{00000000-0005-0000-0000-00006E000000}"/>
    <cellStyle name="표준 3 3" xfId="111" xr:uid="{00000000-0005-0000-0000-00006F000000}"/>
    <cellStyle name="표준 3 3 2" xfId="112" xr:uid="{00000000-0005-0000-0000-000070000000}"/>
    <cellStyle name="표준 3 3 2 2" xfId="113" xr:uid="{00000000-0005-0000-0000-000071000000}"/>
    <cellStyle name="표준 3 3 2 3" xfId="114" xr:uid="{00000000-0005-0000-0000-000072000000}"/>
    <cellStyle name="표준 3 3 3" xfId="115" xr:uid="{00000000-0005-0000-0000-000073000000}"/>
    <cellStyle name="표준 3 3 3 2" xfId="116" xr:uid="{00000000-0005-0000-0000-000074000000}"/>
    <cellStyle name="표준 3 3 3 3" xfId="117" xr:uid="{00000000-0005-0000-0000-000075000000}"/>
    <cellStyle name="표준 3 3 4" xfId="118" xr:uid="{00000000-0005-0000-0000-000076000000}"/>
    <cellStyle name="표준 3 3 5" xfId="119" xr:uid="{00000000-0005-0000-0000-000077000000}"/>
    <cellStyle name="표준 3 4" xfId="120" xr:uid="{00000000-0005-0000-0000-000078000000}"/>
    <cellStyle name="표준 3 4 2" xfId="121" xr:uid="{00000000-0005-0000-0000-000079000000}"/>
    <cellStyle name="표준 3 4 2 2" xfId="122" xr:uid="{00000000-0005-0000-0000-00007A000000}"/>
    <cellStyle name="표준 3 4 2 3" xfId="123" xr:uid="{00000000-0005-0000-0000-00007B000000}"/>
    <cellStyle name="표준 3 4 3" xfId="124" xr:uid="{00000000-0005-0000-0000-00007C000000}"/>
    <cellStyle name="표준 3 4 3 2" xfId="125" xr:uid="{00000000-0005-0000-0000-00007D000000}"/>
    <cellStyle name="표준 3 4 3 3" xfId="126" xr:uid="{00000000-0005-0000-0000-00007E000000}"/>
    <cellStyle name="표준 3 4 4" xfId="127" xr:uid="{00000000-0005-0000-0000-00007F000000}"/>
    <cellStyle name="표준 3 4 5" xfId="128" xr:uid="{00000000-0005-0000-0000-000080000000}"/>
    <cellStyle name="표준 3 5" xfId="129" xr:uid="{00000000-0005-0000-0000-000081000000}"/>
    <cellStyle name="표준 3 5 2" xfId="130" xr:uid="{00000000-0005-0000-0000-000082000000}"/>
    <cellStyle name="표준 3 5 3" xfId="131" xr:uid="{00000000-0005-0000-0000-000083000000}"/>
    <cellStyle name="표준 3 6" xfId="132" xr:uid="{00000000-0005-0000-0000-000084000000}"/>
    <cellStyle name="표준 3 6 2" xfId="133" xr:uid="{00000000-0005-0000-0000-000085000000}"/>
    <cellStyle name="표준 3 6 3" xfId="134" xr:uid="{00000000-0005-0000-0000-000086000000}"/>
    <cellStyle name="표준 3 7" xfId="135" xr:uid="{00000000-0005-0000-0000-000087000000}"/>
    <cellStyle name="표준 3 8" xfId="136" xr:uid="{00000000-0005-0000-0000-000088000000}"/>
    <cellStyle name="표준 3 9" xfId="137" xr:uid="{00000000-0005-0000-0000-000089000000}"/>
    <cellStyle name="표준 4" xfId="138" xr:uid="{00000000-0005-0000-0000-00008A000000}"/>
    <cellStyle name="표준 4 2" xfId="139" xr:uid="{00000000-0005-0000-0000-00008B000000}"/>
    <cellStyle name="표준 4 2 2" xfId="140" xr:uid="{00000000-0005-0000-0000-00008C000000}"/>
    <cellStyle name="표준 4 2 3" xfId="141" xr:uid="{00000000-0005-0000-0000-00008D000000}"/>
    <cellStyle name="표준 4 3" xfId="142" xr:uid="{00000000-0005-0000-0000-00008E000000}"/>
    <cellStyle name="표준 4 4" xfId="143" xr:uid="{00000000-0005-0000-0000-00008F000000}"/>
    <cellStyle name="표준 4 5" xfId="144" xr:uid="{00000000-0005-0000-0000-000090000000}"/>
    <cellStyle name="표준 4 6" xfId="145" xr:uid="{00000000-0005-0000-0000-000091000000}"/>
    <cellStyle name="표준 5" xfId="146" xr:uid="{00000000-0005-0000-0000-000092000000}"/>
    <cellStyle name="표준 5 2" xfId="147" xr:uid="{00000000-0005-0000-0000-000093000000}"/>
    <cellStyle name="표준 5 2 2" xfId="148" xr:uid="{00000000-0005-0000-0000-000094000000}"/>
    <cellStyle name="표준 5 2 3" xfId="149" xr:uid="{00000000-0005-0000-0000-000095000000}"/>
    <cellStyle name="표준 5 3" xfId="150" xr:uid="{00000000-0005-0000-0000-000096000000}"/>
    <cellStyle name="표준 5 4" xfId="151" xr:uid="{00000000-0005-0000-0000-000097000000}"/>
    <cellStyle name="표준 6" xfId="152" xr:uid="{00000000-0005-0000-0000-000098000000}"/>
    <cellStyle name="표준 6 2" xfId="153" xr:uid="{00000000-0005-0000-0000-000099000000}"/>
    <cellStyle name="표준 6 3" xfId="154" xr:uid="{00000000-0005-0000-0000-00009A000000}"/>
    <cellStyle name="표준 6 4" xfId="155" xr:uid="{00000000-0005-0000-0000-00009B000000}"/>
    <cellStyle name="표준 7" xfId="156" xr:uid="{00000000-0005-0000-0000-00009C000000}"/>
    <cellStyle name="표준 7 2" xfId="157" xr:uid="{00000000-0005-0000-0000-00009D000000}"/>
    <cellStyle name="표준 7 3" xfId="158" xr:uid="{00000000-0005-0000-0000-00009E000000}"/>
    <cellStyle name="표준 7 4" xfId="159" xr:uid="{00000000-0005-0000-0000-00009F000000}"/>
    <cellStyle name="표준 8" xfId="160" xr:uid="{00000000-0005-0000-0000-0000A0000000}"/>
    <cellStyle name="표준 8 2" xfId="161" xr:uid="{00000000-0005-0000-0000-0000A1000000}"/>
    <cellStyle name="표준 8 3" xfId="162" xr:uid="{00000000-0005-0000-0000-0000A2000000}"/>
    <cellStyle name="표준 9" xfId="163" xr:uid="{00000000-0005-0000-0000-0000A3000000}"/>
  </cellStyles>
  <dxfs count="0"/>
  <tableStyles count="0" defaultTableStyle="TableStyleMedium9"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408"/>
  <sheetViews>
    <sheetView view="pageBreakPreview" zoomScale="85" zoomScaleNormal="84" zoomScaleSheetLayoutView="85" workbookViewId="0">
      <pane xSplit="1" ySplit="1" topLeftCell="B2" activePane="bottomRight" state="frozen"/>
      <selection activeCell="AI79" sqref="AI79:AI86"/>
      <selection pane="topRight" activeCell="AI79" sqref="AI79:AI86"/>
      <selection pane="bottomLeft" activeCell="AI79" sqref="AI79:AI86"/>
      <selection pane="bottomRight" sqref="A1:XFD2"/>
    </sheetView>
  </sheetViews>
  <sheetFormatPr defaultColWidth="9" defaultRowHeight="30.75" customHeight="1"/>
  <cols>
    <col min="1" max="1" width="12.625" style="9" customWidth="1"/>
    <col min="2" max="2" width="6.625" style="3" customWidth="1"/>
    <col min="3" max="3" width="5.875" style="3" customWidth="1"/>
    <col min="4" max="15" width="8.875" style="2" customWidth="1"/>
    <col min="16" max="16" width="18.875" style="2" customWidth="1"/>
    <col min="17" max="17" width="11" style="2" customWidth="1"/>
    <col min="18" max="18" width="19.375" style="29" customWidth="1"/>
    <col min="19" max="19" width="9.875" style="2" customWidth="1"/>
    <col min="20" max="20" width="5.125" style="2" customWidth="1"/>
    <col min="21" max="21" width="8.75" style="2" customWidth="1"/>
    <col min="22" max="22" width="5.125" style="2" customWidth="1"/>
    <col min="23" max="23" width="8.625" style="2" customWidth="1"/>
    <col min="24" max="24" width="11.75" style="2" bestFit="1" customWidth="1"/>
    <col min="25" max="25" width="12" style="2" bestFit="1" customWidth="1"/>
    <col min="26" max="27" width="4.5" style="2" customWidth="1"/>
    <col min="28" max="28" width="6.125" style="2" customWidth="1"/>
    <col min="29" max="29" width="17.125" style="2" customWidth="1"/>
    <col min="30" max="30" width="9" style="4"/>
    <col min="31" max="31" width="15.75" style="5" customWidth="1"/>
    <col min="32" max="54" width="16.5" style="4" customWidth="1"/>
    <col min="55" max="55" width="16.5" style="1" customWidth="1"/>
    <col min="56" max="56" width="9" style="1"/>
    <col min="57" max="57" width="15.75" style="1" bestFit="1" customWidth="1"/>
    <col min="58" max="16384" width="9" style="1"/>
  </cols>
  <sheetData>
    <row r="1" spans="1:61" ht="28.5" customHeight="1" thickBot="1">
      <c r="A1" s="8" t="s">
        <v>0</v>
      </c>
      <c r="B1" s="6" t="s">
        <v>22</v>
      </c>
      <c r="C1" s="7" t="s">
        <v>23</v>
      </c>
      <c r="D1" s="114" t="s">
        <v>756</v>
      </c>
      <c r="E1" s="114" t="s">
        <v>757</v>
      </c>
      <c r="F1" s="114" t="s">
        <v>758</v>
      </c>
      <c r="G1" s="114" t="s">
        <v>759</v>
      </c>
      <c r="H1" s="114" t="s">
        <v>760</v>
      </c>
      <c r="I1" s="114" t="s">
        <v>761</v>
      </c>
      <c r="J1" s="114" t="s">
        <v>762</v>
      </c>
      <c r="K1" s="114" t="s">
        <v>763</v>
      </c>
      <c r="L1" s="114" t="s">
        <v>764</v>
      </c>
      <c r="M1" s="114" t="s">
        <v>765</v>
      </c>
      <c r="N1" s="114" t="s">
        <v>766</v>
      </c>
      <c r="O1" s="114" t="s">
        <v>767</v>
      </c>
      <c r="P1" s="8" t="s">
        <v>706</v>
      </c>
      <c r="Q1" s="8" t="s">
        <v>5</v>
      </c>
      <c r="R1" s="184" t="s">
        <v>2</v>
      </c>
      <c r="S1" s="184" t="s">
        <v>3</v>
      </c>
      <c r="T1" s="114" t="s">
        <v>4</v>
      </c>
      <c r="U1" s="115"/>
      <c r="V1" s="116" t="s">
        <v>20</v>
      </c>
      <c r="W1" s="115"/>
      <c r="X1" s="9"/>
      <c r="Y1" s="9"/>
      <c r="Z1" s="10" t="s">
        <v>1</v>
      </c>
      <c r="AA1" s="10" t="s">
        <v>118</v>
      </c>
    </row>
    <row r="2" spans="1:61" s="29" customFormat="1" ht="22.5" customHeight="1" thickBot="1">
      <c r="A2" s="117" t="s">
        <v>708</v>
      </c>
      <c r="B2" s="209">
        <v>0.95</v>
      </c>
      <c r="C2" s="211">
        <f>B2+D2+E2+F2+G2+H2+I2+J2+K2+L2+M2+N2+O2</f>
        <v>0.95</v>
      </c>
      <c r="D2" s="37"/>
      <c r="E2" s="37"/>
      <c r="F2" s="37"/>
      <c r="G2" s="37"/>
      <c r="H2" s="37"/>
      <c r="I2" s="37"/>
      <c r="J2" s="37"/>
      <c r="K2" s="37"/>
      <c r="L2" s="37"/>
      <c r="M2" s="37"/>
      <c r="N2" s="37"/>
      <c r="O2" s="37"/>
      <c r="P2" s="147" t="s">
        <v>354</v>
      </c>
      <c r="Q2" s="135" t="s">
        <v>355</v>
      </c>
      <c r="R2" s="107" t="s">
        <v>350</v>
      </c>
      <c r="S2" s="11" t="s">
        <v>351</v>
      </c>
      <c r="T2" s="33" t="s">
        <v>352</v>
      </c>
      <c r="U2" s="34">
        <f>AC2/1100000</f>
        <v>130.52727272727273</v>
      </c>
      <c r="V2" s="35" t="s">
        <v>353</v>
      </c>
      <c r="W2" s="36" t="e">
        <f>U2*0.75-(#REF!+W3)</f>
        <v>#REF!</v>
      </c>
      <c r="X2" s="96" t="s">
        <v>33</v>
      </c>
      <c r="Y2" s="32" t="s">
        <v>34</v>
      </c>
      <c r="Z2" s="125" t="s">
        <v>194</v>
      </c>
      <c r="AA2" s="159" t="s">
        <v>195</v>
      </c>
      <c r="AB2" s="57" t="s">
        <v>6</v>
      </c>
      <c r="AC2" s="58">
        <v>143580000</v>
      </c>
      <c r="AD2" s="59" t="s">
        <v>8</v>
      </c>
      <c r="AE2" s="60">
        <f>SUM(AF2:BB2)</f>
        <v>0</v>
      </c>
      <c r="AF2" s="97"/>
      <c r="AG2" s="59"/>
      <c r="AH2" s="59"/>
      <c r="AI2" s="59"/>
      <c r="AJ2" s="59"/>
      <c r="AK2" s="59"/>
      <c r="AL2" s="59"/>
      <c r="AM2" s="59"/>
      <c r="AN2" s="59"/>
      <c r="AO2" s="59"/>
      <c r="AP2" s="59"/>
      <c r="AQ2" s="59"/>
      <c r="AR2" s="59"/>
      <c r="AS2" s="59"/>
      <c r="AT2" s="29" t="s">
        <v>1290</v>
      </c>
      <c r="AU2" s="59"/>
      <c r="AV2" s="59"/>
      <c r="AW2" s="59"/>
      <c r="AX2" s="59"/>
      <c r="AY2" s="59"/>
      <c r="AZ2" s="59"/>
      <c r="BA2" s="59"/>
      <c r="BB2" s="59"/>
    </row>
    <row r="3" spans="1:61" s="29" customFormat="1" ht="22.5" customHeight="1" thickBot="1">
      <c r="A3" s="118"/>
      <c r="B3" s="210"/>
      <c r="C3" s="212"/>
      <c r="D3" s="106" t="s">
        <v>78</v>
      </c>
      <c r="E3" s="106" t="s">
        <v>78</v>
      </c>
      <c r="F3" s="106" t="s">
        <v>78</v>
      </c>
      <c r="G3" s="106" t="s">
        <v>78</v>
      </c>
      <c r="H3" s="106"/>
      <c r="I3" s="106"/>
      <c r="J3" s="106"/>
      <c r="K3" s="106"/>
      <c r="L3" s="106" t="s">
        <v>357</v>
      </c>
      <c r="M3" s="106" t="s">
        <v>356</v>
      </c>
      <c r="N3" s="106" t="s">
        <v>358</v>
      </c>
      <c r="O3" s="106"/>
      <c r="P3" s="152"/>
      <c r="Q3" s="136"/>
      <c r="R3" s="108"/>
      <c r="S3" s="49" t="s">
        <v>221</v>
      </c>
      <c r="T3" s="45" t="s">
        <v>14</v>
      </c>
      <c r="U3" s="46" t="e">
        <f>U2-#REF!</f>
        <v>#REF!</v>
      </c>
      <c r="V3" s="47" t="s">
        <v>101</v>
      </c>
      <c r="W3" s="48" t="e">
        <f>(#REF!+AE3)/1100000</f>
        <v>#REF!</v>
      </c>
      <c r="X3" s="31"/>
      <c r="Y3" s="51"/>
      <c r="Z3" s="126"/>
      <c r="AA3" s="160"/>
      <c r="AB3" s="57" t="s">
        <v>196</v>
      </c>
      <c r="AC3" s="58" t="e">
        <f>AC2-#REF!</f>
        <v>#REF!</v>
      </c>
      <c r="AD3" s="59" t="s">
        <v>197</v>
      </c>
      <c r="AE3" s="60"/>
      <c r="AF3" s="65"/>
      <c r="AG3" s="65"/>
      <c r="AH3" s="65"/>
      <c r="AI3" s="65"/>
      <c r="AJ3" s="65"/>
      <c r="AK3" s="65"/>
      <c r="AL3" s="65"/>
      <c r="AM3" s="65"/>
      <c r="AN3" s="65"/>
      <c r="AO3" s="65"/>
      <c r="AP3" s="65"/>
      <c r="AQ3" s="65"/>
      <c r="AR3" s="65"/>
      <c r="AS3" s="65"/>
      <c r="AU3" s="65"/>
      <c r="AV3" s="65"/>
      <c r="AW3" s="65"/>
      <c r="AX3" s="65"/>
      <c r="AY3" s="65"/>
      <c r="AZ3" s="65"/>
      <c r="BA3" s="65"/>
      <c r="BB3" s="65"/>
    </row>
    <row r="4" spans="1:61" s="29" customFormat="1" ht="22.5" customHeight="1" thickBot="1">
      <c r="A4" s="117" t="s">
        <v>709</v>
      </c>
      <c r="B4" s="209">
        <v>0.99</v>
      </c>
      <c r="C4" s="211">
        <f>B4+D4+E4+F4+G4+H4+I4+J4+K4+L4+M4+N4+O4</f>
        <v>1</v>
      </c>
      <c r="D4" s="37"/>
      <c r="E4" s="37"/>
      <c r="F4" s="37">
        <v>0.01</v>
      </c>
      <c r="G4" s="37"/>
      <c r="H4" s="37"/>
      <c r="I4" s="37"/>
      <c r="J4" s="37"/>
      <c r="K4" s="37"/>
      <c r="L4" s="37"/>
      <c r="M4" s="37"/>
      <c r="N4" s="37"/>
      <c r="O4" s="37"/>
      <c r="P4" s="153" t="s">
        <v>262</v>
      </c>
      <c r="Q4" s="135" t="s">
        <v>211</v>
      </c>
      <c r="R4" s="107" t="s">
        <v>42</v>
      </c>
      <c r="S4" s="11" t="s">
        <v>43</v>
      </c>
      <c r="T4" s="33" t="s">
        <v>6</v>
      </c>
      <c r="U4" s="34">
        <f>AC4/1100000</f>
        <v>1009.4409363636364</v>
      </c>
      <c r="V4" s="35" t="s">
        <v>7</v>
      </c>
      <c r="W4" s="36" t="e">
        <f>U4*0.75-(#REF!+W5)</f>
        <v>#REF!</v>
      </c>
      <c r="X4" s="96" t="s">
        <v>33</v>
      </c>
      <c r="Y4" s="32" t="s">
        <v>34</v>
      </c>
      <c r="Z4" s="125" t="s">
        <v>44</v>
      </c>
      <c r="AA4" s="159" t="s">
        <v>123</v>
      </c>
      <c r="AB4" s="57" t="s">
        <v>6</v>
      </c>
      <c r="AC4" s="58">
        <v>1110385030</v>
      </c>
      <c r="AD4" s="59" t="s">
        <v>8</v>
      </c>
      <c r="AE4" s="60">
        <f>SUM(AF4:BB4)</f>
        <v>0</v>
      </c>
      <c r="AF4" s="97"/>
      <c r="AG4" s="59"/>
      <c r="AH4" s="59"/>
      <c r="AI4" s="59"/>
      <c r="AJ4" s="59"/>
      <c r="AK4" s="59"/>
      <c r="AL4" s="59"/>
      <c r="AM4" s="59"/>
      <c r="AN4" s="59"/>
      <c r="AO4" s="59"/>
      <c r="AP4" s="59"/>
      <c r="AQ4" s="59"/>
      <c r="AR4" s="59"/>
      <c r="AS4" s="59"/>
      <c r="AU4" s="59"/>
      <c r="AV4" s="59"/>
      <c r="AW4" s="59"/>
      <c r="AX4" s="59"/>
      <c r="AY4" s="59"/>
      <c r="AZ4" s="59"/>
      <c r="BA4" s="59"/>
      <c r="BB4" s="59"/>
    </row>
    <row r="5" spans="1:61" s="29" customFormat="1" ht="22.5" customHeight="1" thickBot="1">
      <c r="A5" s="118"/>
      <c r="B5" s="210"/>
      <c r="C5" s="212"/>
      <c r="D5" s="155" t="s">
        <v>137</v>
      </c>
      <c r="E5" s="156" t="s">
        <v>148</v>
      </c>
      <c r="F5" s="156" t="s">
        <v>165</v>
      </c>
      <c r="G5" s="106" t="s">
        <v>185</v>
      </c>
      <c r="H5" s="144" t="s">
        <v>229</v>
      </c>
      <c r="I5" s="106" t="s">
        <v>236</v>
      </c>
      <c r="J5" s="106" t="s">
        <v>256</v>
      </c>
      <c r="K5" s="106" t="s">
        <v>256</v>
      </c>
      <c r="L5" s="106" t="s">
        <v>295</v>
      </c>
      <c r="M5" s="106" t="s">
        <v>312</v>
      </c>
      <c r="N5" s="144" t="s">
        <v>413</v>
      </c>
      <c r="O5" s="106"/>
      <c r="P5" s="154"/>
      <c r="Q5" s="136"/>
      <c r="R5" s="108"/>
      <c r="S5" s="49" t="s">
        <v>122</v>
      </c>
      <c r="T5" s="45" t="s">
        <v>14</v>
      </c>
      <c r="U5" s="46" t="e">
        <f>U4-#REF!</f>
        <v>#REF!</v>
      </c>
      <c r="V5" s="47" t="s">
        <v>15</v>
      </c>
      <c r="W5" s="48" t="e">
        <f>(#REF!+AE5)/1100000</f>
        <v>#REF!</v>
      </c>
      <c r="X5" s="31"/>
      <c r="Y5" s="51"/>
      <c r="Z5" s="126"/>
      <c r="AA5" s="160"/>
      <c r="AB5" s="57" t="s">
        <v>14</v>
      </c>
      <c r="AC5" s="58" t="e">
        <f>AC4-#REF!</f>
        <v>#REF!</v>
      </c>
      <c r="AD5" s="59" t="s">
        <v>16</v>
      </c>
      <c r="AE5" s="60"/>
      <c r="AF5" s="65"/>
      <c r="AG5" s="65"/>
      <c r="AH5" s="65"/>
      <c r="AI5" s="65"/>
      <c r="AJ5" s="65"/>
      <c r="AK5" s="65"/>
      <c r="AL5" s="65"/>
      <c r="AM5" s="65"/>
      <c r="AN5" s="65"/>
      <c r="AO5" s="65"/>
      <c r="AP5" s="65"/>
      <c r="AQ5" s="65"/>
      <c r="AR5" s="65"/>
      <c r="AS5" s="65"/>
      <c r="AU5" s="65"/>
      <c r="AV5" s="65"/>
      <c r="AW5" s="65"/>
      <c r="AX5" s="65"/>
      <c r="AY5" s="65"/>
      <c r="AZ5" s="65"/>
      <c r="BA5" s="65"/>
      <c r="BB5" s="65"/>
    </row>
    <row r="6" spans="1:61" s="29" customFormat="1" ht="22.5" customHeight="1" thickBot="1">
      <c r="A6" s="117" t="s">
        <v>710</v>
      </c>
      <c r="B6" s="209">
        <v>0.99</v>
      </c>
      <c r="C6" s="211">
        <f>B6+D6+E6+F6+G6+H6+I6+J6+K6+L6+M6+N6+O6</f>
        <v>0.99</v>
      </c>
      <c r="D6" s="37"/>
      <c r="E6" s="37"/>
      <c r="F6" s="37"/>
      <c r="G6" s="37"/>
      <c r="H6" s="37"/>
      <c r="I6" s="37"/>
      <c r="J6" s="37"/>
      <c r="K6" s="37"/>
      <c r="L6" s="37"/>
      <c r="M6" s="37"/>
      <c r="N6" s="37"/>
      <c r="O6" s="37"/>
      <c r="P6" s="133" t="s">
        <v>180</v>
      </c>
      <c r="Q6" s="135" t="s">
        <v>81</v>
      </c>
      <c r="R6" s="119" t="s">
        <v>45</v>
      </c>
      <c r="S6" s="11" t="s">
        <v>46</v>
      </c>
      <c r="T6" s="33" t="s">
        <v>6</v>
      </c>
      <c r="U6" s="34">
        <f>AC6/1100000</f>
        <v>181.36190909090908</v>
      </c>
      <c r="V6" s="35" t="s">
        <v>7</v>
      </c>
      <c r="W6" s="36" t="e">
        <f>U6*0.75-(#REF!+W7)</f>
        <v>#REF!</v>
      </c>
      <c r="X6" s="96" t="s">
        <v>33</v>
      </c>
      <c r="Y6" s="32" t="s">
        <v>34</v>
      </c>
      <c r="Z6" s="125" t="s">
        <v>62</v>
      </c>
      <c r="AA6" s="159"/>
      <c r="AB6" s="57" t="s">
        <v>6</v>
      </c>
      <c r="AC6" s="58">
        <v>199498100</v>
      </c>
      <c r="AD6" s="59" t="s">
        <v>8</v>
      </c>
      <c r="AE6" s="60">
        <f>SUM(AF6:BB6)</f>
        <v>0</v>
      </c>
      <c r="AF6" s="97"/>
      <c r="AG6" s="59"/>
      <c r="AH6" s="59"/>
      <c r="AI6" s="59"/>
      <c r="AJ6" s="59"/>
      <c r="AK6" s="59"/>
      <c r="AL6" s="59"/>
      <c r="AM6" s="59"/>
      <c r="AN6" s="59"/>
      <c r="AO6" s="59"/>
      <c r="AP6" s="59"/>
      <c r="AQ6" s="59"/>
      <c r="AR6" s="59"/>
      <c r="AS6" s="59"/>
      <c r="AU6" s="59"/>
      <c r="AV6" s="59"/>
      <c r="AW6" s="59"/>
      <c r="AX6" s="59"/>
      <c r="AY6" s="59"/>
      <c r="AZ6" s="59"/>
      <c r="BA6" s="59"/>
      <c r="BB6" s="59"/>
    </row>
    <row r="7" spans="1:61" s="29" customFormat="1" ht="22.5" customHeight="1" thickBot="1">
      <c r="A7" s="118"/>
      <c r="B7" s="210"/>
      <c r="C7" s="212"/>
      <c r="D7" s="106" t="s">
        <v>136</v>
      </c>
      <c r="E7" s="113" t="s">
        <v>149</v>
      </c>
      <c r="F7" s="113" t="s">
        <v>149</v>
      </c>
      <c r="G7" s="106" t="s">
        <v>209</v>
      </c>
      <c r="H7" s="106" t="s">
        <v>209</v>
      </c>
      <c r="I7" s="106" t="s">
        <v>209</v>
      </c>
      <c r="J7" s="106" t="s">
        <v>245</v>
      </c>
      <c r="K7" s="106" t="s">
        <v>245</v>
      </c>
      <c r="L7" s="106" t="s">
        <v>245</v>
      </c>
      <c r="M7" s="106" t="s">
        <v>245</v>
      </c>
      <c r="N7" s="106" t="s">
        <v>245</v>
      </c>
      <c r="O7" s="106"/>
      <c r="P7" s="134"/>
      <c r="Q7" s="136"/>
      <c r="R7" s="120"/>
      <c r="S7" s="49" t="s">
        <v>263</v>
      </c>
      <c r="T7" s="45" t="s">
        <v>14</v>
      </c>
      <c r="U7" s="46" t="e">
        <f>U6-#REF!</f>
        <v>#REF!</v>
      </c>
      <c r="V7" s="47" t="s">
        <v>15</v>
      </c>
      <c r="W7" s="48" t="e">
        <f>(#REF!+AE7)/1100000</f>
        <v>#REF!</v>
      </c>
      <c r="X7" s="31"/>
      <c r="Y7" s="51"/>
      <c r="Z7" s="126"/>
      <c r="AA7" s="160"/>
      <c r="AB7" s="57" t="s">
        <v>14</v>
      </c>
      <c r="AC7" s="58" t="e">
        <f>AC6-#REF!</f>
        <v>#REF!</v>
      </c>
      <c r="AD7" s="59" t="s">
        <v>16</v>
      </c>
      <c r="AE7" s="60"/>
      <c r="AF7" s="65"/>
      <c r="AG7" s="65"/>
      <c r="AH7" s="65"/>
      <c r="AI7" s="65"/>
      <c r="AJ7" s="65"/>
      <c r="AK7" s="65"/>
      <c r="AL7" s="65"/>
      <c r="AM7" s="65"/>
      <c r="AN7" s="65"/>
      <c r="AO7" s="65"/>
      <c r="AP7" s="65"/>
      <c r="AQ7" s="65"/>
      <c r="AR7" s="65"/>
      <c r="AS7" s="65"/>
      <c r="AU7" s="65"/>
      <c r="AV7" s="65"/>
      <c r="AW7" s="65"/>
      <c r="AX7" s="65"/>
      <c r="AY7" s="65"/>
      <c r="AZ7" s="65"/>
      <c r="BA7" s="65"/>
      <c r="BB7" s="65"/>
    </row>
    <row r="8" spans="1:61" s="29" customFormat="1" ht="22.5" customHeight="1" thickBot="1">
      <c r="A8" s="117" t="s">
        <v>711</v>
      </c>
      <c r="B8" s="209">
        <v>1</v>
      </c>
      <c r="C8" s="211">
        <f>B8+D8+E8+F8+G8+H8+I8+J8+K8+L8+M8+N8+O8</f>
        <v>1</v>
      </c>
      <c r="D8" s="37"/>
      <c r="E8" s="37"/>
      <c r="F8" s="37"/>
      <c r="G8" s="37"/>
      <c r="H8" s="37"/>
      <c r="I8" s="37"/>
      <c r="J8" s="37"/>
      <c r="K8" s="37"/>
      <c r="L8" s="37"/>
      <c r="M8" s="37"/>
      <c r="N8" s="37"/>
      <c r="O8" s="37"/>
      <c r="P8" s="147" t="s">
        <v>362</v>
      </c>
      <c r="Q8" s="135" t="s">
        <v>363</v>
      </c>
      <c r="R8" s="107" t="s">
        <v>359</v>
      </c>
      <c r="S8" s="11" t="s">
        <v>360</v>
      </c>
      <c r="T8" s="33" t="s">
        <v>85</v>
      </c>
      <c r="U8" s="34">
        <f>AC8/1100000</f>
        <v>802.69427272727273</v>
      </c>
      <c r="V8" s="35" t="s">
        <v>361</v>
      </c>
      <c r="W8" s="36" t="e">
        <f>U8*0.75-(#REF!+W9)</f>
        <v>#REF!</v>
      </c>
      <c r="X8" s="96" t="s">
        <v>33</v>
      </c>
      <c r="Y8" s="32" t="s">
        <v>273</v>
      </c>
      <c r="Z8" s="125" t="s">
        <v>198</v>
      </c>
      <c r="AA8" s="159" t="s">
        <v>119</v>
      </c>
      <c r="AB8" s="57" t="s">
        <v>6</v>
      </c>
      <c r="AC8" s="58">
        <v>882963700</v>
      </c>
      <c r="AD8" s="59" t="s">
        <v>8</v>
      </c>
      <c r="AE8" s="60">
        <f>SUM(AF8:BB8)</f>
        <v>59100000</v>
      </c>
      <c r="AF8" s="104" t="s">
        <v>274</v>
      </c>
      <c r="AG8" s="59">
        <v>59100000</v>
      </c>
      <c r="AH8" s="59"/>
      <c r="AI8" s="59"/>
      <c r="AJ8" s="59"/>
      <c r="AK8" s="59"/>
      <c r="AL8" s="59"/>
      <c r="AM8" s="59"/>
      <c r="AN8" s="59"/>
      <c r="AO8" s="59"/>
      <c r="AP8" s="59"/>
      <c r="AQ8" s="59"/>
      <c r="AR8" s="59"/>
      <c r="AS8" s="59"/>
      <c r="AU8" s="59"/>
      <c r="AV8" s="59"/>
      <c r="AW8" s="59"/>
      <c r="AX8" s="59"/>
      <c r="AY8" s="59"/>
      <c r="AZ8" s="59"/>
      <c r="BA8" s="59"/>
      <c r="BB8" s="59"/>
    </row>
    <row r="9" spans="1:61" s="29" customFormat="1" ht="22.5" customHeight="1" thickBot="1">
      <c r="A9" s="118"/>
      <c r="B9" s="210"/>
      <c r="C9" s="212"/>
      <c r="D9" s="106" t="s">
        <v>365</v>
      </c>
      <c r="E9" s="106" t="s">
        <v>156</v>
      </c>
      <c r="F9" s="106" t="s">
        <v>317</v>
      </c>
      <c r="G9" s="106" t="s">
        <v>193</v>
      </c>
      <c r="H9" s="106" t="s">
        <v>78</v>
      </c>
      <c r="I9" s="106" t="s">
        <v>193</v>
      </c>
      <c r="J9" s="106" t="s">
        <v>193</v>
      </c>
      <c r="K9" s="106" t="s">
        <v>276</v>
      </c>
      <c r="L9" s="106" t="s">
        <v>366</v>
      </c>
      <c r="M9" s="106" t="s">
        <v>78</v>
      </c>
      <c r="N9" s="106" t="s">
        <v>367</v>
      </c>
      <c r="O9" s="106"/>
      <c r="P9" s="152"/>
      <c r="Q9" s="136"/>
      <c r="R9" s="108"/>
      <c r="S9" s="49" t="s">
        <v>67</v>
      </c>
      <c r="T9" s="45" t="s">
        <v>364</v>
      </c>
      <c r="U9" s="46" t="e">
        <f>U8-#REF!</f>
        <v>#REF!</v>
      </c>
      <c r="V9" s="47" t="s">
        <v>101</v>
      </c>
      <c r="W9" s="48" t="e">
        <f>(#REF!+AE9)/1100000</f>
        <v>#REF!</v>
      </c>
      <c r="X9" s="31"/>
      <c r="Y9" s="51"/>
      <c r="Z9" s="126"/>
      <c r="AA9" s="160"/>
      <c r="AB9" s="57" t="s">
        <v>275</v>
      </c>
      <c r="AC9" s="58" t="e">
        <f>AC8-#REF!</f>
        <v>#REF!</v>
      </c>
      <c r="AD9" s="59" t="s">
        <v>277</v>
      </c>
      <c r="AE9" s="60"/>
      <c r="AF9" s="65"/>
      <c r="AG9" s="65" t="s">
        <v>278</v>
      </c>
      <c r="AH9" s="65"/>
      <c r="AI9" s="65" t="s">
        <v>279</v>
      </c>
      <c r="AJ9" s="65"/>
      <c r="AK9" s="65" t="s">
        <v>200</v>
      </c>
      <c r="AL9" s="65"/>
      <c r="AM9" s="65" t="s">
        <v>280</v>
      </c>
      <c r="AN9" s="65"/>
      <c r="AO9" s="65" t="s">
        <v>281</v>
      </c>
      <c r="AP9" s="65"/>
      <c r="AQ9" s="65"/>
      <c r="AR9" s="65"/>
      <c r="AS9" s="65" t="s">
        <v>201</v>
      </c>
      <c r="AU9" s="65"/>
      <c r="AV9" s="65"/>
      <c r="AW9" s="65"/>
      <c r="AX9" s="65"/>
      <c r="AY9" s="65"/>
      <c r="AZ9" s="65"/>
      <c r="BA9" s="65"/>
      <c r="BB9" s="65"/>
    </row>
    <row r="10" spans="1:61" ht="22.5" customHeight="1" thickBot="1">
      <c r="A10" s="117" t="s">
        <v>712</v>
      </c>
      <c r="B10" s="209">
        <v>0.99</v>
      </c>
      <c r="C10" s="211">
        <f>B10+D10+E10+F10+G10+H10+I10+J10+K10+L10+M10+N10+O10</f>
        <v>1</v>
      </c>
      <c r="D10" s="37"/>
      <c r="E10" s="37"/>
      <c r="F10" s="37">
        <v>0.01</v>
      </c>
      <c r="G10" s="37"/>
      <c r="H10" s="37"/>
      <c r="I10" s="37"/>
      <c r="J10" s="37"/>
      <c r="K10" s="37"/>
      <c r="L10" s="37"/>
      <c r="M10" s="37"/>
      <c r="N10" s="37"/>
      <c r="O10" s="37"/>
      <c r="P10" s="142" t="s">
        <v>415</v>
      </c>
      <c r="Q10" s="135" t="s">
        <v>212</v>
      </c>
      <c r="R10" s="107" t="s">
        <v>49</v>
      </c>
      <c r="S10" s="11" t="s">
        <v>51</v>
      </c>
      <c r="T10" s="33" t="s">
        <v>6</v>
      </c>
      <c r="U10" s="34">
        <f>AC10/1100000</f>
        <v>222.99382727272726</v>
      </c>
      <c r="V10" s="35" t="s">
        <v>7</v>
      </c>
      <c r="W10" s="36" t="e">
        <f>U10*0.75-(#REF!+W11)</f>
        <v>#REF!</v>
      </c>
      <c r="X10" s="17" t="s">
        <v>33</v>
      </c>
      <c r="Y10" s="18" t="s">
        <v>34</v>
      </c>
      <c r="Z10" s="150" t="s">
        <v>109</v>
      </c>
      <c r="AA10" s="161" t="s">
        <v>174</v>
      </c>
      <c r="AB10" s="19" t="s">
        <v>6</v>
      </c>
      <c r="AC10" s="20">
        <v>245293210</v>
      </c>
      <c r="AD10" s="21" t="s">
        <v>8</v>
      </c>
      <c r="AE10" s="22">
        <f>SUM(AF10:BB10)</f>
        <v>12000000</v>
      </c>
      <c r="AF10" s="94" t="s">
        <v>80</v>
      </c>
      <c r="AG10" s="94">
        <v>12000000</v>
      </c>
      <c r="AH10" s="94"/>
      <c r="AI10" s="94"/>
      <c r="AJ10" s="94"/>
      <c r="AK10" s="94"/>
      <c r="AL10" s="94"/>
      <c r="AM10" s="94"/>
      <c r="AN10" s="94"/>
      <c r="AO10" s="94"/>
      <c r="AP10" s="94"/>
      <c r="AQ10" s="94"/>
      <c r="AR10" s="94"/>
      <c r="AS10" s="94"/>
      <c r="AT10" s="1"/>
      <c r="AU10" s="94"/>
      <c r="AV10" s="94"/>
      <c r="AW10" s="94"/>
      <c r="AX10" s="94"/>
      <c r="AY10" s="94"/>
      <c r="AZ10" s="94"/>
      <c r="BA10" s="94"/>
      <c r="BB10" s="94"/>
    </row>
    <row r="11" spans="1:61" ht="22.5" customHeight="1" thickBot="1">
      <c r="A11" s="118"/>
      <c r="B11" s="210"/>
      <c r="C11" s="212"/>
      <c r="D11" s="106" t="s">
        <v>182</v>
      </c>
      <c r="E11" s="106" t="s">
        <v>183</v>
      </c>
      <c r="F11" s="106" t="s">
        <v>184</v>
      </c>
      <c r="G11" s="106" t="s">
        <v>181</v>
      </c>
      <c r="H11" s="106" t="s">
        <v>181</v>
      </c>
      <c r="I11" s="106" t="s">
        <v>181</v>
      </c>
      <c r="J11" s="106" t="s">
        <v>181</v>
      </c>
      <c r="K11" s="106" t="s">
        <v>181</v>
      </c>
      <c r="L11" s="106" t="s">
        <v>181</v>
      </c>
      <c r="M11" s="106" t="s">
        <v>313</v>
      </c>
      <c r="N11" s="106" t="s">
        <v>414</v>
      </c>
      <c r="O11" s="106"/>
      <c r="P11" s="143"/>
      <c r="Q11" s="136"/>
      <c r="R11" s="108"/>
      <c r="S11" s="49" t="s">
        <v>124</v>
      </c>
      <c r="T11" s="45" t="s">
        <v>14</v>
      </c>
      <c r="U11" s="46" t="e">
        <f>U10-#REF!</f>
        <v>#REF!</v>
      </c>
      <c r="V11" s="47" t="s">
        <v>15</v>
      </c>
      <c r="W11" s="48" t="e">
        <f>(#REF!+AE11)/1100000</f>
        <v>#REF!</v>
      </c>
      <c r="X11" s="31"/>
      <c r="Y11" s="51"/>
      <c r="Z11" s="151"/>
      <c r="AA11" s="162"/>
      <c r="AB11" s="19" t="s">
        <v>14</v>
      </c>
      <c r="AC11" s="20" t="e">
        <f>AC10-#REF!</f>
        <v>#REF!</v>
      </c>
      <c r="AD11" s="21" t="s">
        <v>16</v>
      </c>
      <c r="AE11" s="22"/>
      <c r="AT11" s="29"/>
      <c r="BD11" s="29"/>
      <c r="BE11" s="29"/>
      <c r="BF11" s="29"/>
      <c r="BG11" s="29"/>
      <c r="BH11" s="29"/>
      <c r="BI11" s="29"/>
    </row>
    <row r="12" spans="1:61" ht="22.5" customHeight="1" thickBot="1">
      <c r="A12" s="117" t="s">
        <v>713</v>
      </c>
      <c r="B12" s="209">
        <v>0.96</v>
      </c>
      <c r="C12" s="211">
        <f>B12+D12+E12+F12+G12+H12+I12+J12+K12+L12+M12+N12+O12</f>
        <v>0.99</v>
      </c>
      <c r="D12" s="37"/>
      <c r="E12" s="37">
        <v>0.01</v>
      </c>
      <c r="F12" s="37">
        <v>0.01</v>
      </c>
      <c r="G12" s="37"/>
      <c r="H12" s="37"/>
      <c r="I12" s="37"/>
      <c r="J12" s="37"/>
      <c r="K12" s="37"/>
      <c r="L12" s="37">
        <v>0.01</v>
      </c>
      <c r="M12" s="37">
        <v>0</v>
      </c>
      <c r="N12" s="37"/>
      <c r="O12" s="37"/>
      <c r="P12" s="133" t="s">
        <v>234</v>
      </c>
      <c r="Q12" s="135" t="s">
        <v>235</v>
      </c>
      <c r="R12" s="107" t="s">
        <v>53</v>
      </c>
      <c r="S12" s="11" t="s">
        <v>54</v>
      </c>
      <c r="T12" s="33" t="s">
        <v>6</v>
      </c>
      <c r="U12" s="34">
        <f>AC12/1100000</f>
        <v>88.809090909090912</v>
      </c>
      <c r="V12" s="35" t="s">
        <v>7</v>
      </c>
      <c r="W12" s="36" t="e">
        <f>U12*0.75-(#REF!+W13)</f>
        <v>#REF!</v>
      </c>
      <c r="X12" s="17" t="s">
        <v>33</v>
      </c>
      <c r="Y12" s="18" t="s">
        <v>34</v>
      </c>
      <c r="Z12" s="150" t="s">
        <v>110</v>
      </c>
      <c r="AA12" s="161"/>
      <c r="AB12" s="19" t="s">
        <v>6</v>
      </c>
      <c r="AC12" s="20">
        <v>97690000</v>
      </c>
      <c r="AD12" s="21" t="s">
        <v>8</v>
      </c>
      <c r="AE12" s="22">
        <f>SUM(AF12:BB12)</f>
        <v>0</v>
      </c>
      <c r="AF12" s="93"/>
      <c r="AG12" s="94"/>
      <c r="AH12" s="94"/>
      <c r="AI12" s="94"/>
      <c r="AJ12" s="94"/>
      <c r="AK12" s="94"/>
      <c r="AL12" s="94"/>
      <c r="AM12" s="94"/>
      <c r="AN12" s="94"/>
      <c r="AO12" s="94"/>
      <c r="AP12" s="94"/>
      <c r="AQ12" s="94"/>
      <c r="AR12" s="94"/>
      <c r="AS12" s="94"/>
      <c r="AT12" s="1"/>
      <c r="AU12" s="94"/>
      <c r="AV12" s="94"/>
      <c r="AW12" s="94"/>
      <c r="AX12" s="94"/>
      <c r="AY12" s="94"/>
      <c r="AZ12" s="94"/>
      <c r="BA12" s="94"/>
      <c r="BB12" s="94"/>
    </row>
    <row r="13" spans="1:61" ht="22.5" customHeight="1" thickBot="1">
      <c r="A13" s="118"/>
      <c r="B13" s="210"/>
      <c r="C13" s="212"/>
      <c r="D13" s="106" t="s">
        <v>78</v>
      </c>
      <c r="E13" s="106" t="s">
        <v>150</v>
      </c>
      <c r="F13" s="106" t="s">
        <v>166</v>
      </c>
      <c r="G13" s="106" t="s">
        <v>206</v>
      </c>
      <c r="H13" s="106" t="s">
        <v>206</v>
      </c>
      <c r="I13" s="106" t="s">
        <v>257</v>
      </c>
      <c r="J13" s="106" t="s">
        <v>246</v>
      </c>
      <c r="K13" s="106" t="s">
        <v>246</v>
      </c>
      <c r="L13" s="106" t="s">
        <v>246</v>
      </c>
      <c r="M13" s="106" t="s">
        <v>246</v>
      </c>
      <c r="N13" s="106" t="s">
        <v>246</v>
      </c>
      <c r="O13" s="106"/>
      <c r="P13" s="134"/>
      <c r="Q13" s="136"/>
      <c r="R13" s="108"/>
      <c r="S13" s="49" t="s">
        <v>21</v>
      </c>
      <c r="T13" s="45" t="s">
        <v>14</v>
      </c>
      <c r="U13" s="46" t="e">
        <f>U12-#REF!</f>
        <v>#REF!</v>
      </c>
      <c r="V13" s="47" t="s">
        <v>15</v>
      </c>
      <c r="W13" s="48" t="e">
        <f>(#REF!+AE13)/1100000</f>
        <v>#REF!</v>
      </c>
      <c r="X13" s="31"/>
      <c r="Y13" s="51"/>
      <c r="Z13" s="151"/>
      <c r="AA13" s="162"/>
      <c r="AB13" s="19" t="s">
        <v>14</v>
      </c>
      <c r="AC13" s="20" t="e">
        <f>AC12-#REF!</f>
        <v>#REF!</v>
      </c>
      <c r="AD13" s="21" t="s">
        <v>16</v>
      </c>
      <c r="AE13" s="22"/>
      <c r="AT13" s="29"/>
      <c r="BD13" s="29"/>
      <c r="BE13" s="29"/>
      <c r="BF13" s="29"/>
      <c r="BG13" s="29"/>
      <c r="BH13" s="29"/>
      <c r="BI13" s="29"/>
    </row>
    <row r="14" spans="1:61" s="29" customFormat="1" ht="22.5" customHeight="1" thickBot="1">
      <c r="A14" s="117" t="s">
        <v>714</v>
      </c>
      <c r="B14" s="209">
        <v>0.94</v>
      </c>
      <c r="C14" s="211">
        <f>B14+D14+E14+F14+G14+H14+I14+J14+K14+L14+M14+N14+O14</f>
        <v>0.99</v>
      </c>
      <c r="D14" s="37"/>
      <c r="E14" s="37">
        <v>0.01</v>
      </c>
      <c r="F14" s="37">
        <v>0.01</v>
      </c>
      <c r="G14" s="37"/>
      <c r="H14" s="37">
        <v>0.01</v>
      </c>
      <c r="I14" s="37">
        <v>0.01</v>
      </c>
      <c r="J14" s="37"/>
      <c r="K14" s="37"/>
      <c r="L14" s="37"/>
      <c r="M14" s="37">
        <v>0.01</v>
      </c>
      <c r="N14" s="37"/>
      <c r="O14" s="37"/>
      <c r="P14" s="131" t="s">
        <v>369</v>
      </c>
      <c r="Q14" s="135" t="s">
        <v>370</v>
      </c>
      <c r="R14" s="107" t="s">
        <v>318</v>
      </c>
      <c r="S14" s="11" t="s">
        <v>368</v>
      </c>
      <c r="T14" s="33" t="s">
        <v>85</v>
      </c>
      <c r="U14" s="34">
        <f>AC14/1100000</f>
        <v>130.1</v>
      </c>
      <c r="V14" s="35" t="s">
        <v>83</v>
      </c>
      <c r="W14" s="36" t="e">
        <f>U14*0.75-(#REF!+W15)</f>
        <v>#REF!</v>
      </c>
      <c r="X14" s="96" t="s">
        <v>33</v>
      </c>
      <c r="Y14" s="32" t="s">
        <v>34</v>
      </c>
      <c r="Z14" s="125" t="s">
        <v>202</v>
      </c>
      <c r="AA14" s="159"/>
      <c r="AB14" s="57" t="s">
        <v>6</v>
      </c>
      <c r="AC14" s="58">
        <v>143110000</v>
      </c>
      <c r="AD14" s="59" t="s">
        <v>8</v>
      </c>
      <c r="AE14" s="60">
        <f>SUM(AF14:BB14)</f>
        <v>12500000</v>
      </c>
      <c r="AF14" s="59" t="s">
        <v>203</v>
      </c>
      <c r="AG14" s="59">
        <v>6500000</v>
      </c>
      <c r="AH14" s="59" t="s">
        <v>199</v>
      </c>
      <c r="AI14" s="59">
        <v>6000000</v>
      </c>
      <c r="AJ14" s="59"/>
      <c r="AK14" s="59"/>
      <c r="AL14" s="59"/>
      <c r="AM14" s="59"/>
      <c r="AN14" s="59"/>
      <c r="AO14" s="59"/>
      <c r="AP14" s="59"/>
      <c r="AQ14" s="59"/>
      <c r="AR14" s="59"/>
      <c r="AS14" s="59"/>
      <c r="AU14" s="59"/>
      <c r="AV14" s="59"/>
      <c r="AW14" s="59"/>
      <c r="AX14" s="59"/>
      <c r="AY14" s="59"/>
      <c r="AZ14" s="59"/>
      <c r="BA14" s="59"/>
      <c r="BB14" s="59"/>
    </row>
    <row r="15" spans="1:61" s="29" customFormat="1" ht="22.5" customHeight="1" thickBot="1">
      <c r="A15" s="118"/>
      <c r="B15" s="210"/>
      <c r="C15" s="212"/>
      <c r="D15" s="106" t="s">
        <v>319</v>
      </c>
      <c r="E15" s="106" t="s">
        <v>78</v>
      </c>
      <c r="F15" s="106" t="s">
        <v>222</v>
      </c>
      <c r="G15" s="106" t="s">
        <v>372</v>
      </c>
      <c r="H15" s="106" t="s">
        <v>223</v>
      </c>
      <c r="I15" s="106" t="s">
        <v>373</v>
      </c>
      <c r="J15" s="106" t="s">
        <v>223</v>
      </c>
      <c r="K15" s="106" t="s">
        <v>223</v>
      </c>
      <c r="L15" s="106" t="s">
        <v>320</v>
      </c>
      <c r="M15" s="106" t="s">
        <v>320</v>
      </c>
      <c r="N15" s="106" t="s">
        <v>374</v>
      </c>
      <c r="O15" s="106"/>
      <c r="P15" s="132"/>
      <c r="Q15" s="136"/>
      <c r="R15" s="108"/>
      <c r="S15" s="49" t="s">
        <v>67</v>
      </c>
      <c r="T15" s="45" t="s">
        <v>14</v>
      </c>
      <c r="U15" s="46" t="e">
        <f>U14-#REF!</f>
        <v>#REF!</v>
      </c>
      <c r="V15" s="47" t="s">
        <v>371</v>
      </c>
      <c r="W15" s="48" t="e">
        <f>(#REF!+AE15)/1100000</f>
        <v>#REF!</v>
      </c>
      <c r="X15" s="31"/>
      <c r="Y15" s="51"/>
      <c r="Z15" s="126"/>
      <c r="AA15" s="160"/>
      <c r="AB15" s="57" t="s">
        <v>205</v>
      </c>
      <c r="AC15" s="58" t="e">
        <f>AC14-#REF!</f>
        <v>#REF!</v>
      </c>
      <c r="AD15" s="59" t="s">
        <v>16</v>
      </c>
      <c r="AE15" s="60"/>
      <c r="AF15" s="65"/>
      <c r="AG15" s="65"/>
      <c r="AH15" s="65"/>
      <c r="AI15" s="65"/>
      <c r="AJ15" s="65"/>
      <c r="AK15" s="65"/>
      <c r="AL15" s="65"/>
      <c r="AM15" s="65"/>
      <c r="AN15" s="65"/>
      <c r="AO15" s="65"/>
      <c r="AP15" s="65"/>
      <c r="AQ15" s="65"/>
      <c r="AR15" s="65"/>
      <c r="AS15" s="65"/>
      <c r="AU15" s="65"/>
      <c r="AV15" s="65"/>
      <c r="AW15" s="65"/>
      <c r="AX15" s="65"/>
      <c r="AY15" s="65"/>
      <c r="AZ15" s="65"/>
      <c r="BA15" s="65"/>
      <c r="BB15" s="65"/>
    </row>
    <row r="16" spans="1:61" ht="22.5" customHeight="1" thickBot="1">
      <c r="A16" s="117" t="s">
        <v>715</v>
      </c>
      <c r="B16" s="209">
        <v>0.96</v>
      </c>
      <c r="C16" s="211">
        <f>B16+D16+E16+F16+G16+H16+I16+J16+K16+L16+M16+N16+O16</f>
        <v>0.99</v>
      </c>
      <c r="D16" s="37"/>
      <c r="E16" s="37">
        <v>0.01</v>
      </c>
      <c r="F16" s="37">
        <v>0.01</v>
      </c>
      <c r="G16" s="37"/>
      <c r="H16" s="37"/>
      <c r="I16" s="37"/>
      <c r="J16" s="37"/>
      <c r="K16" s="37"/>
      <c r="L16" s="37">
        <v>0.01</v>
      </c>
      <c r="M16" s="37">
        <v>0</v>
      </c>
      <c r="N16" s="37"/>
      <c r="O16" s="37"/>
      <c r="P16" s="133" t="s">
        <v>234</v>
      </c>
      <c r="Q16" s="135" t="s">
        <v>126</v>
      </c>
      <c r="R16" s="107" t="s">
        <v>68</v>
      </c>
      <c r="S16" s="11" t="s">
        <v>96</v>
      </c>
      <c r="T16" s="33" t="s">
        <v>6</v>
      </c>
      <c r="U16" s="34">
        <f>AC16/1100000</f>
        <v>461.67636363636365</v>
      </c>
      <c r="V16" s="35" t="s">
        <v>7</v>
      </c>
      <c r="W16" s="36" t="e">
        <f>U16*0.75-(#REF!+W17)</f>
        <v>#REF!</v>
      </c>
      <c r="X16" s="17" t="s">
        <v>33</v>
      </c>
      <c r="Y16" s="18" t="s">
        <v>34</v>
      </c>
      <c r="Z16" s="150" t="s">
        <v>111</v>
      </c>
      <c r="AA16" s="161"/>
      <c r="AB16" s="19" t="s">
        <v>6</v>
      </c>
      <c r="AC16" s="20">
        <f>(771458000/2)+(244230000/2)</f>
        <v>507844000</v>
      </c>
      <c r="AD16" s="21" t="s">
        <v>8</v>
      </c>
      <c r="AE16" s="22">
        <f>SUM(AF16:BB16)</f>
        <v>5000000</v>
      </c>
      <c r="AF16" s="94" t="s">
        <v>80</v>
      </c>
      <c r="AG16" s="94">
        <v>5000000</v>
      </c>
      <c r="AH16" s="94"/>
      <c r="AI16" s="94"/>
      <c r="AJ16" s="94"/>
      <c r="AK16" s="94"/>
      <c r="AL16" s="94"/>
      <c r="AM16" s="94"/>
      <c r="AN16" s="94"/>
      <c r="AO16" s="94"/>
      <c r="AP16" s="94"/>
      <c r="AQ16" s="94"/>
      <c r="AR16" s="94"/>
      <c r="AS16" s="94"/>
      <c r="AT16" s="1"/>
      <c r="AU16" s="94"/>
      <c r="AV16" s="94"/>
      <c r="AW16" s="94"/>
      <c r="AX16" s="94"/>
      <c r="AY16" s="94"/>
      <c r="AZ16" s="94"/>
      <c r="BA16" s="94"/>
      <c r="BB16" s="94"/>
    </row>
    <row r="17" spans="1:61" ht="22.5" customHeight="1" thickBot="1">
      <c r="A17" s="118"/>
      <c r="B17" s="210"/>
      <c r="C17" s="212"/>
      <c r="D17" s="106" t="s">
        <v>78</v>
      </c>
      <c r="E17" s="106" t="s">
        <v>150</v>
      </c>
      <c r="F17" s="106" t="s">
        <v>167</v>
      </c>
      <c r="G17" s="106" t="s">
        <v>206</v>
      </c>
      <c r="H17" s="106" t="s">
        <v>206</v>
      </c>
      <c r="I17" s="106" t="s">
        <v>238</v>
      </c>
      <c r="J17" s="106" t="s">
        <v>246</v>
      </c>
      <c r="K17" s="106" t="s">
        <v>246</v>
      </c>
      <c r="L17" s="106" t="s">
        <v>246</v>
      </c>
      <c r="M17" s="106" t="s">
        <v>246</v>
      </c>
      <c r="N17" s="106" t="s">
        <v>246</v>
      </c>
      <c r="O17" s="106"/>
      <c r="P17" s="134"/>
      <c r="Q17" s="136"/>
      <c r="R17" s="108"/>
      <c r="S17" s="49" t="s">
        <v>97</v>
      </c>
      <c r="T17" s="45" t="s">
        <v>14</v>
      </c>
      <c r="U17" s="46" t="e">
        <f>U16-#REF!</f>
        <v>#REF!</v>
      </c>
      <c r="V17" s="47" t="s">
        <v>15</v>
      </c>
      <c r="W17" s="48" t="e">
        <f>(#REF!+AE17)/1100000</f>
        <v>#REF!</v>
      </c>
      <c r="X17" s="31"/>
      <c r="Y17" s="51"/>
      <c r="Z17" s="151"/>
      <c r="AA17" s="162"/>
      <c r="AB17" s="19" t="s">
        <v>14</v>
      </c>
      <c r="AC17" s="20" t="e">
        <f>AC16-#REF!</f>
        <v>#REF!</v>
      </c>
      <c r="AD17" s="21" t="s">
        <v>16</v>
      </c>
      <c r="AE17" s="22"/>
      <c r="AT17" s="29"/>
      <c r="BD17" s="29"/>
      <c r="BE17" s="29"/>
      <c r="BF17" s="29"/>
      <c r="BG17" s="29"/>
      <c r="BH17" s="29"/>
      <c r="BI17" s="29"/>
    </row>
    <row r="18" spans="1:61" s="29" customFormat="1" ht="22.5" customHeight="1" thickBot="1">
      <c r="A18" s="117" t="s">
        <v>716</v>
      </c>
      <c r="B18" s="209">
        <v>0.59</v>
      </c>
      <c r="C18" s="211">
        <f>B18+D18+E18+F18+G18+H18+I18+J18+K18+L18+M18+N18+O18</f>
        <v>0.93000000000000016</v>
      </c>
      <c r="D18" s="37">
        <v>0.01</v>
      </c>
      <c r="E18" s="37">
        <v>0.01</v>
      </c>
      <c r="F18" s="37">
        <v>0.01</v>
      </c>
      <c r="G18" s="37">
        <v>0.05</v>
      </c>
      <c r="H18" s="37">
        <v>0.02</v>
      </c>
      <c r="I18" s="37">
        <v>0.04</v>
      </c>
      <c r="J18" s="37">
        <v>7.0000000000000007E-2</v>
      </c>
      <c r="K18" s="37">
        <v>0.01</v>
      </c>
      <c r="L18" s="37">
        <v>0.05</v>
      </c>
      <c r="M18" s="37">
        <v>0.05</v>
      </c>
      <c r="N18" s="37">
        <v>0.02</v>
      </c>
      <c r="O18" s="37"/>
      <c r="P18" s="147" t="s">
        <v>707</v>
      </c>
      <c r="Q18" s="135" t="s">
        <v>378</v>
      </c>
      <c r="R18" s="107" t="s">
        <v>375</v>
      </c>
      <c r="S18" s="11" t="s">
        <v>376</v>
      </c>
      <c r="T18" s="33" t="s">
        <v>85</v>
      </c>
      <c r="U18" s="34">
        <f>AC18/1100000</f>
        <v>423.5798272727273</v>
      </c>
      <c r="V18" s="35" t="s">
        <v>377</v>
      </c>
      <c r="W18" s="36" t="e">
        <f>U18*0.75-(#REF!+W19)</f>
        <v>#REF!</v>
      </c>
      <c r="X18" s="96" t="s">
        <v>33</v>
      </c>
      <c r="Y18" s="32" t="s">
        <v>282</v>
      </c>
      <c r="Z18" s="125" t="s">
        <v>283</v>
      </c>
      <c r="AA18" s="159" t="s">
        <v>292</v>
      </c>
      <c r="AB18" s="57" t="s">
        <v>6</v>
      </c>
      <c r="AC18" s="58">
        <v>465937810</v>
      </c>
      <c r="AD18" s="59" t="s">
        <v>8</v>
      </c>
      <c r="AE18" s="60">
        <f>SUM(AF18:BB18)</f>
        <v>0</v>
      </c>
      <c r="AF18" s="97"/>
      <c r="AG18" s="59"/>
      <c r="AH18" s="59"/>
      <c r="AI18" s="59"/>
      <c r="AJ18" s="59"/>
      <c r="AK18" s="59"/>
      <c r="AL18" s="59"/>
      <c r="AM18" s="59"/>
      <c r="AN18" s="59"/>
      <c r="AO18" s="59"/>
      <c r="AP18" s="59"/>
      <c r="AQ18" s="59"/>
      <c r="AR18" s="59"/>
      <c r="AS18" s="59"/>
      <c r="AU18" s="59"/>
      <c r="AV18" s="59"/>
      <c r="AW18" s="59"/>
      <c r="AX18" s="59"/>
      <c r="AY18" s="59"/>
      <c r="AZ18" s="59"/>
      <c r="BA18" s="59"/>
      <c r="BB18" s="59"/>
    </row>
    <row r="19" spans="1:61" s="29" customFormat="1" ht="22.5" customHeight="1" thickBot="1">
      <c r="A19" s="118"/>
      <c r="B19" s="210"/>
      <c r="C19" s="212"/>
      <c r="D19" s="106" t="s">
        <v>381</v>
      </c>
      <c r="E19" s="106" t="s">
        <v>157</v>
      </c>
      <c r="F19" s="106" t="s">
        <v>321</v>
      </c>
      <c r="G19" s="144" t="s">
        <v>382</v>
      </c>
      <c r="H19" s="106" t="s">
        <v>322</v>
      </c>
      <c r="I19" s="106" t="s">
        <v>226</v>
      </c>
      <c r="J19" s="106" t="s">
        <v>323</v>
      </c>
      <c r="K19" s="106" t="s">
        <v>324</v>
      </c>
      <c r="L19" s="106" t="s">
        <v>383</v>
      </c>
      <c r="M19" s="106" t="s">
        <v>303</v>
      </c>
      <c r="N19" s="106" t="s">
        <v>703</v>
      </c>
      <c r="O19" s="106"/>
      <c r="P19" s="149"/>
      <c r="Q19" s="136"/>
      <c r="R19" s="108"/>
      <c r="S19" s="49" t="s">
        <v>379</v>
      </c>
      <c r="T19" s="45" t="s">
        <v>380</v>
      </c>
      <c r="U19" s="46" t="e">
        <f>U18-#REF!</f>
        <v>#REF!</v>
      </c>
      <c r="V19" s="47" t="s">
        <v>101</v>
      </c>
      <c r="W19" s="48" t="e">
        <f>(#REF!+AE19)/1100000</f>
        <v>#REF!</v>
      </c>
      <c r="X19" s="31"/>
      <c r="Y19" s="51"/>
      <c r="Z19" s="126"/>
      <c r="AA19" s="160"/>
      <c r="AB19" s="57" t="s">
        <v>14</v>
      </c>
      <c r="AC19" s="58" t="e">
        <f>AC18-#REF!</f>
        <v>#REF!</v>
      </c>
      <c r="AD19" s="59" t="s">
        <v>16</v>
      </c>
      <c r="AE19" s="60"/>
      <c r="AF19" s="65"/>
      <c r="AG19" s="65"/>
      <c r="AH19" s="65"/>
      <c r="AI19" s="65"/>
      <c r="AJ19" s="65"/>
      <c r="AK19" s="65"/>
      <c r="AL19" s="65"/>
      <c r="AM19" s="65"/>
      <c r="AN19" s="65"/>
      <c r="AO19" s="65"/>
      <c r="AP19" s="65"/>
      <c r="AQ19" s="65"/>
      <c r="AR19" s="65"/>
      <c r="AS19" s="65"/>
      <c r="AU19" s="65"/>
      <c r="AV19" s="65"/>
      <c r="AW19" s="65"/>
      <c r="AX19" s="65"/>
      <c r="AY19" s="65"/>
      <c r="AZ19" s="65"/>
      <c r="BA19" s="65"/>
      <c r="BB19" s="65"/>
    </row>
    <row r="20" spans="1:61" ht="22.5" customHeight="1" thickBot="1">
      <c r="A20" s="117" t="s">
        <v>717</v>
      </c>
      <c r="B20" s="157">
        <v>0.57999999999999996</v>
      </c>
      <c r="C20" s="211">
        <f>B20+D20+E20+F20+G20+H20+I20+J20+K20+L20+M20+N20+O20</f>
        <v>0.80000000000000016</v>
      </c>
      <c r="D20" s="37">
        <v>0.01</v>
      </c>
      <c r="E20" s="37">
        <v>0.01</v>
      </c>
      <c r="F20" s="37">
        <v>0.01</v>
      </c>
      <c r="G20" s="37">
        <v>0.05</v>
      </c>
      <c r="H20" s="37">
        <v>0.02</v>
      </c>
      <c r="I20" s="37">
        <v>0.05</v>
      </c>
      <c r="J20" s="37">
        <v>0.01</v>
      </c>
      <c r="K20" s="37">
        <v>0.02</v>
      </c>
      <c r="L20" s="37">
        <v>0.02</v>
      </c>
      <c r="M20" s="37">
        <v>0.01</v>
      </c>
      <c r="N20" s="37">
        <v>0.01</v>
      </c>
      <c r="O20" s="37"/>
      <c r="P20" s="145" t="s">
        <v>249</v>
      </c>
      <c r="Q20" s="129" t="s">
        <v>213</v>
      </c>
      <c r="R20" s="107" t="s">
        <v>58</v>
      </c>
      <c r="S20" s="11" t="s">
        <v>59</v>
      </c>
      <c r="T20" s="12" t="s">
        <v>6</v>
      </c>
      <c r="U20" s="13">
        <f>AC20/1100000</f>
        <v>666.35400000000004</v>
      </c>
      <c r="V20" s="14" t="s">
        <v>7</v>
      </c>
      <c r="W20" s="15" t="e">
        <f>U20*0.75-(#REF!+W21)</f>
        <v>#REF!</v>
      </c>
      <c r="X20" s="17" t="s">
        <v>33</v>
      </c>
      <c r="Y20" s="18" t="s">
        <v>34</v>
      </c>
      <c r="Z20" s="150" t="s">
        <v>112</v>
      </c>
      <c r="AA20" s="159" t="s">
        <v>292</v>
      </c>
      <c r="AB20" s="19" t="s">
        <v>6</v>
      </c>
      <c r="AC20" s="20">
        <v>732989400</v>
      </c>
      <c r="AD20" s="21" t="s">
        <v>8</v>
      </c>
      <c r="AE20" s="22">
        <f>SUM(AF20:BB20)</f>
        <v>0</v>
      </c>
      <c r="AF20" s="93"/>
      <c r="AG20" s="94"/>
      <c r="AH20" s="94"/>
      <c r="AI20" s="94"/>
      <c r="AJ20" s="94"/>
      <c r="AK20" s="94"/>
      <c r="AL20" s="94"/>
      <c r="AM20" s="94"/>
      <c r="AN20" s="94"/>
      <c r="AO20" s="94"/>
      <c r="AP20" s="94"/>
      <c r="AQ20" s="94"/>
      <c r="AR20" s="94"/>
      <c r="AS20" s="94"/>
      <c r="AT20" s="1"/>
      <c r="AU20" s="94"/>
      <c r="AV20" s="94"/>
      <c r="AW20" s="94"/>
      <c r="AX20" s="94"/>
      <c r="AY20" s="94"/>
      <c r="AZ20" s="94"/>
      <c r="BA20" s="94"/>
      <c r="BB20" s="94"/>
    </row>
    <row r="21" spans="1:61" ht="22.5" customHeight="1" thickBot="1">
      <c r="A21" s="118"/>
      <c r="B21" s="158"/>
      <c r="C21" s="212"/>
      <c r="D21" s="106" t="s">
        <v>138</v>
      </c>
      <c r="E21" s="106" t="s">
        <v>151</v>
      </c>
      <c r="F21" s="106" t="s">
        <v>151</v>
      </c>
      <c r="G21" s="106" t="s">
        <v>186</v>
      </c>
      <c r="H21" s="106" t="s">
        <v>227</v>
      </c>
      <c r="I21" s="106" t="s">
        <v>227</v>
      </c>
      <c r="J21" s="106" t="s">
        <v>250</v>
      </c>
      <c r="K21" s="106" t="s">
        <v>250</v>
      </c>
      <c r="L21" s="106" t="s">
        <v>296</v>
      </c>
      <c r="M21" s="106" t="s">
        <v>296</v>
      </c>
      <c r="N21" s="106" t="s">
        <v>296</v>
      </c>
      <c r="O21" s="106"/>
      <c r="P21" s="146"/>
      <c r="Q21" s="130"/>
      <c r="R21" s="108"/>
      <c r="S21" s="49" t="s">
        <v>309</v>
      </c>
      <c r="T21" s="25" t="s">
        <v>14</v>
      </c>
      <c r="U21" s="26" t="e">
        <f>U20-#REF!</f>
        <v>#REF!</v>
      </c>
      <c r="V21" s="27" t="s">
        <v>15</v>
      </c>
      <c r="W21" s="28" t="e">
        <f>(#REF!+AE21)/1100000</f>
        <v>#REF!</v>
      </c>
      <c r="X21" s="31"/>
      <c r="Y21" s="51"/>
      <c r="Z21" s="151"/>
      <c r="AA21" s="160"/>
      <c r="AB21" s="19" t="s">
        <v>14</v>
      </c>
      <c r="AC21" s="20" t="e">
        <f>AC20-#REF!</f>
        <v>#REF!</v>
      </c>
      <c r="AD21" s="21" t="s">
        <v>16</v>
      </c>
      <c r="AE21" s="22"/>
      <c r="AT21" s="29"/>
      <c r="BD21" s="29"/>
      <c r="BE21" s="29"/>
      <c r="BF21" s="29"/>
      <c r="BG21" s="29"/>
      <c r="BH21" s="29"/>
      <c r="BI21" s="29"/>
    </row>
    <row r="22" spans="1:61" ht="22.5" customHeight="1" thickBot="1">
      <c r="A22" s="117" t="s">
        <v>718</v>
      </c>
      <c r="B22" s="157">
        <v>0.8</v>
      </c>
      <c r="C22" s="211">
        <f>B22+D22+E22+F22+G22+H22+I22+J22+K22+L22+M22+N22+O22</f>
        <v>0.9700000000000002</v>
      </c>
      <c r="D22" s="37">
        <v>0.05</v>
      </c>
      <c r="E22" s="37">
        <v>0.01</v>
      </c>
      <c r="F22" s="37">
        <v>0.01</v>
      </c>
      <c r="G22" s="37"/>
      <c r="H22" s="37"/>
      <c r="I22" s="37"/>
      <c r="J22" s="37">
        <v>0.01</v>
      </c>
      <c r="K22" s="37">
        <v>0.02</v>
      </c>
      <c r="L22" s="37">
        <v>0.05</v>
      </c>
      <c r="M22" s="37">
        <v>0.02</v>
      </c>
      <c r="N22" s="37">
        <v>0</v>
      </c>
      <c r="O22" s="37"/>
      <c r="P22" s="137" t="s">
        <v>294</v>
      </c>
      <c r="Q22" s="129" t="s">
        <v>82</v>
      </c>
      <c r="R22" s="119" t="s">
        <v>220</v>
      </c>
      <c r="S22" s="11" t="s">
        <v>69</v>
      </c>
      <c r="T22" s="12" t="s">
        <v>6</v>
      </c>
      <c r="U22" s="13">
        <f>AC22/1100000</f>
        <v>133.81818181818181</v>
      </c>
      <c r="V22" s="14" t="s">
        <v>7</v>
      </c>
      <c r="W22" s="15" t="e">
        <f>U22*0.75-(#REF!+W23)</f>
        <v>#REF!</v>
      </c>
      <c r="X22" s="17" t="s">
        <v>33</v>
      </c>
      <c r="Y22" s="18" t="s">
        <v>34</v>
      </c>
      <c r="Z22" s="150" t="s">
        <v>113</v>
      </c>
      <c r="AA22" s="161"/>
      <c r="AB22" s="19" t="s">
        <v>6</v>
      </c>
      <c r="AC22" s="20">
        <v>147200000</v>
      </c>
      <c r="AD22" s="21" t="s">
        <v>8</v>
      </c>
      <c r="AE22" s="22">
        <f>SUM(AF22:BB22)</f>
        <v>0</v>
      </c>
      <c r="AF22" s="93"/>
      <c r="AG22" s="94"/>
      <c r="AH22" s="94"/>
      <c r="AI22" s="94"/>
      <c r="AJ22" s="94"/>
      <c r="AK22" s="94"/>
      <c r="AL22" s="94"/>
      <c r="AM22" s="94"/>
      <c r="AN22" s="94"/>
      <c r="AO22" s="94"/>
      <c r="AP22" s="94"/>
      <c r="AQ22" s="94"/>
      <c r="AR22" s="94"/>
      <c r="AS22" s="94"/>
      <c r="AT22" s="1"/>
      <c r="AU22" s="94"/>
      <c r="AV22" s="94"/>
      <c r="AW22" s="94"/>
      <c r="AX22" s="94"/>
      <c r="AY22" s="94"/>
      <c r="AZ22" s="94"/>
      <c r="BA22" s="94"/>
      <c r="BB22" s="94"/>
    </row>
    <row r="23" spans="1:61" ht="22.5" customHeight="1" thickBot="1">
      <c r="A23" s="118"/>
      <c r="B23" s="158"/>
      <c r="C23" s="212"/>
      <c r="D23" s="106" t="s">
        <v>131</v>
      </c>
      <c r="E23" s="106" t="s">
        <v>152</v>
      </c>
      <c r="F23" s="106" t="s">
        <v>168</v>
      </c>
      <c r="G23" s="144" t="s">
        <v>230</v>
      </c>
      <c r="H23" s="144" t="s">
        <v>230</v>
      </c>
      <c r="I23" s="144" t="s">
        <v>237</v>
      </c>
      <c r="J23" s="144" t="s">
        <v>237</v>
      </c>
      <c r="K23" s="144" t="s">
        <v>237</v>
      </c>
      <c r="L23" s="106" t="s">
        <v>293</v>
      </c>
      <c r="M23" s="106" t="s">
        <v>314</v>
      </c>
      <c r="N23" s="106" t="s">
        <v>420</v>
      </c>
      <c r="O23" s="106"/>
      <c r="P23" s="138"/>
      <c r="Q23" s="130"/>
      <c r="R23" s="120"/>
      <c r="S23" s="49" t="s">
        <v>130</v>
      </c>
      <c r="T23" s="25" t="s">
        <v>14</v>
      </c>
      <c r="U23" s="26" t="e">
        <f>U22-#REF!</f>
        <v>#REF!</v>
      </c>
      <c r="V23" s="27" t="s">
        <v>15</v>
      </c>
      <c r="W23" s="28" t="e">
        <f>(#REF!+AE23)/1100000</f>
        <v>#REF!</v>
      </c>
      <c r="X23" s="31"/>
      <c r="Y23" s="51"/>
      <c r="Z23" s="151"/>
      <c r="AA23" s="162"/>
      <c r="AB23" s="19" t="s">
        <v>14</v>
      </c>
      <c r="AC23" s="20" t="e">
        <f>AC22-#REF!</f>
        <v>#REF!</v>
      </c>
      <c r="AD23" s="21" t="s">
        <v>16</v>
      </c>
      <c r="AE23" s="22"/>
      <c r="AT23" s="29"/>
      <c r="BD23" s="29"/>
      <c r="BE23" s="29"/>
      <c r="BF23" s="29"/>
      <c r="BG23" s="29"/>
      <c r="BH23" s="29"/>
      <c r="BI23" s="29"/>
    </row>
    <row r="24" spans="1:61" ht="22.5" customHeight="1" thickBot="1">
      <c r="A24" s="117" t="s">
        <v>719</v>
      </c>
      <c r="B24" s="157">
        <v>0.66</v>
      </c>
      <c r="C24" s="211">
        <f>B24+D24+E24+F24+G24+H24+I24+J24+K24+L24+M24+N24+O24</f>
        <v>0.93000000000000027</v>
      </c>
      <c r="D24" s="37">
        <v>0.02</v>
      </c>
      <c r="E24" s="37">
        <v>0.02</v>
      </c>
      <c r="F24" s="37">
        <v>0.01</v>
      </c>
      <c r="G24" s="37">
        <v>0.05</v>
      </c>
      <c r="H24" s="37">
        <v>0.03</v>
      </c>
      <c r="I24" s="37">
        <v>0.02</v>
      </c>
      <c r="J24" s="37">
        <v>0.02</v>
      </c>
      <c r="K24" s="37">
        <v>0.03</v>
      </c>
      <c r="L24" s="37">
        <v>0.03</v>
      </c>
      <c r="M24" s="37">
        <v>0.02</v>
      </c>
      <c r="N24" s="37">
        <v>0.02</v>
      </c>
      <c r="O24" s="37"/>
      <c r="P24" s="137" t="s">
        <v>409</v>
      </c>
      <c r="Q24" s="129" t="s">
        <v>410</v>
      </c>
      <c r="R24" s="107" t="s">
        <v>73</v>
      </c>
      <c r="S24" s="11" t="s">
        <v>76</v>
      </c>
      <c r="T24" s="12" t="s">
        <v>6</v>
      </c>
      <c r="U24" s="13">
        <f>AC24/1100000</f>
        <v>97.467118181818179</v>
      </c>
      <c r="V24" s="14" t="s">
        <v>7</v>
      </c>
      <c r="W24" s="15" t="e">
        <f>U24*0.75-(#REF!+W25)</f>
        <v>#REF!</v>
      </c>
      <c r="X24" s="17" t="s">
        <v>33</v>
      </c>
      <c r="Y24" s="18" t="s">
        <v>34</v>
      </c>
      <c r="Z24" s="150" t="s">
        <v>114</v>
      </c>
      <c r="AA24" s="161" t="s">
        <v>121</v>
      </c>
      <c r="AB24" s="19" t="s">
        <v>6</v>
      </c>
      <c r="AC24" s="20">
        <v>107213830</v>
      </c>
      <c r="AD24" s="21" t="s">
        <v>8</v>
      </c>
      <c r="AE24" s="22">
        <f>SUM(AF24:BB24)</f>
        <v>0</v>
      </c>
      <c r="AF24" s="93"/>
      <c r="AG24" s="94"/>
      <c r="AH24" s="94"/>
      <c r="AI24" s="94"/>
      <c r="AJ24" s="94"/>
      <c r="AK24" s="94"/>
      <c r="AL24" s="94"/>
      <c r="AM24" s="94"/>
      <c r="AN24" s="94"/>
      <c r="AO24" s="94"/>
      <c r="AP24" s="94"/>
      <c r="AQ24" s="94"/>
      <c r="AR24" s="94"/>
      <c r="AS24" s="94"/>
      <c r="AT24" s="1"/>
      <c r="AU24" s="94"/>
      <c r="AV24" s="94"/>
      <c r="AW24" s="94"/>
      <c r="AX24" s="94"/>
      <c r="AY24" s="94"/>
      <c r="AZ24" s="94"/>
      <c r="BA24" s="94"/>
      <c r="BB24" s="94"/>
    </row>
    <row r="25" spans="1:61" ht="22.5" customHeight="1" thickBot="1">
      <c r="A25" s="118"/>
      <c r="B25" s="158"/>
      <c r="C25" s="212"/>
      <c r="D25" s="105" t="s">
        <v>132</v>
      </c>
      <c r="E25" s="106" t="s">
        <v>162</v>
      </c>
      <c r="F25" s="106" t="s">
        <v>169</v>
      </c>
      <c r="G25" s="106" t="s">
        <v>187</v>
      </c>
      <c r="H25" s="106" t="s">
        <v>187</v>
      </c>
      <c r="I25" s="106" t="s">
        <v>231</v>
      </c>
      <c r="J25" s="106" t="s">
        <v>231</v>
      </c>
      <c r="K25" s="106" t="s">
        <v>231</v>
      </c>
      <c r="L25" s="106" t="s">
        <v>231</v>
      </c>
      <c r="M25" s="106" t="s">
        <v>407</v>
      </c>
      <c r="N25" s="106" t="s">
        <v>408</v>
      </c>
      <c r="O25" s="106"/>
      <c r="P25" s="138"/>
      <c r="Q25" s="130"/>
      <c r="R25" s="108"/>
      <c r="S25" s="49" t="s">
        <v>120</v>
      </c>
      <c r="T25" s="25" t="s">
        <v>14</v>
      </c>
      <c r="U25" s="26" t="e">
        <f>U24-#REF!</f>
        <v>#REF!</v>
      </c>
      <c r="V25" s="27" t="s">
        <v>15</v>
      </c>
      <c r="W25" s="28" t="e">
        <f>(#REF!+AE25)/1100000</f>
        <v>#REF!</v>
      </c>
      <c r="X25" s="31"/>
      <c r="Y25" s="51"/>
      <c r="Z25" s="151"/>
      <c r="AA25" s="162"/>
      <c r="AB25" s="19" t="s">
        <v>14</v>
      </c>
      <c r="AC25" s="20" t="e">
        <f>AC24-#REF!</f>
        <v>#REF!</v>
      </c>
      <c r="AD25" s="21" t="s">
        <v>16</v>
      </c>
      <c r="AE25" s="22"/>
      <c r="AT25" s="29"/>
      <c r="BD25" s="29"/>
      <c r="BE25" s="29"/>
      <c r="BF25" s="29"/>
      <c r="BG25" s="29"/>
      <c r="BH25" s="29"/>
      <c r="BI25" s="29"/>
    </row>
    <row r="26" spans="1:61" ht="22.5" customHeight="1" thickBot="1">
      <c r="A26" s="117" t="s">
        <v>720</v>
      </c>
      <c r="B26" s="157">
        <v>0.31</v>
      </c>
      <c r="C26" s="211">
        <f>B26+D26+E26+F26+G26+H26+I26+J26+K26+L26+M26+N26+O26</f>
        <v>0.5</v>
      </c>
      <c r="D26" s="37">
        <v>0.02</v>
      </c>
      <c r="E26" s="37">
        <v>0.01</v>
      </c>
      <c r="F26" s="37">
        <v>0.02</v>
      </c>
      <c r="G26" s="37">
        <v>0.05</v>
      </c>
      <c r="H26" s="37">
        <v>0.01</v>
      </c>
      <c r="I26" s="37">
        <v>0.05</v>
      </c>
      <c r="J26" s="37"/>
      <c r="K26" s="37"/>
      <c r="L26" s="37">
        <v>0.01</v>
      </c>
      <c r="M26" s="37">
        <v>0.01</v>
      </c>
      <c r="N26" s="37">
        <v>0.01</v>
      </c>
      <c r="O26" s="37"/>
      <c r="P26" s="127" t="s">
        <v>159</v>
      </c>
      <c r="Q26" s="129" t="s">
        <v>106</v>
      </c>
      <c r="R26" s="107" t="s">
        <v>74</v>
      </c>
      <c r="S26" s="11" t="s">
        <v>70</v>
      </c>
      <c r="T26" s="12" t="s">
        <v>6</v>
      </c>
      <c r="U26" s="13">
        <f>AC26/1100000</f>
        <v>146.49218181818182</v>
      </c>
      <c r="V26" s="14" t="s">
        <v>7</v>
      </c>
      <c r="W26" s="15" t="e">
        <f>U26*0.75-(#REF!+W27)</f>
        <v>#REF!</v>
      </c>
      <c r="X26" s="17" t="s">
        <v>33</v>
      </c>
      <c r="Y26" s="18" t="s">
        <v>34</v>
      </c>
      <c r="Z26" s="150" t="s">
        <v>115</v>
      </c>
      <c r="AA26" s="161"/>
      <c r="AB26" s="19" t="s">
        <v>6</v>
      </c>
      <c r="AC26" s="20">
        <v>161141400</v>
      </c>
      <c r="AD26" s="21" t="s">
        <v>8</v>
      </c>
      <c r="AE26" s="22">
        <f>SUM(AF26:BB26)</f>
        <v>0</v>
      </c>
      <c r="AF26" s="93"/>
      <c r="AG26" s="94"/>
      <c r="AH26" s="94"/>
      <c r="AI26" s="94"/>
      <c r="AJ26" s="94"/>
      <c r="AK26" s="94"/>
      <c r="AL26" s="94"/>
      <c r="AM26" s="94"/>
      <c r="AN26" s="94"/>
      <c r="AO26" s="94"/>
      <c r="AP26" s="94"/>
      <c r="AQ26" s="94"/>
      <c r="AR26" s="94"/>
      <c r="AS26" s="94"/>
      <c r="AT26" s="1"/>
      <c r="AU26" s="94"/>
      <c r="AV26" s="94"/>
      <c r="AW26" s="94"/>
      <c r="AX26" s="94"/>
      <c r="AY26" s="94"/>
      <c r="AZ26" s="94"/>
      <c r="BA26" s="94"/>
      <c r="BB26" s="94"/>
    </row>
    <row r="27" spans="1:61" ht="22.5" customHeight="1" thickBot="1">
      <c r="A27" s="118"/>
      <c r="B27" s="158"/>
      <c r="C27" s="212"/>
      <c r="D27" s="105" t="s">
        <v>133</v>
      </c>
      <c r="E27" s="106" t="s">
        <v>163</v>
      </c>
      <c r="F27" s="106" t="s">
        <v>172</v>
      </c>
      <c r="G27" s="106" t="s">
        <v>188</v>
      </c>
      <c r="H27" s="106" t="s">
        <v>188</v>
      </c>
      <c r="I27" s="106" t="s">
        <v>251</v>
      </c>
      <c r="J27" s="106" t="s">
        <v>252</v>
      </c>
      <c r="K27" s="106" t="s">
        <v>251</v>
      </c>
      <c r="L27" s="106" t="s">
        <v>297</v>
      </c>
      <c r="M27" s="106" t="s">
        <v>297</v>
      </c>
      <c r="N27" s="106" t="s">
        <v>416</v>
      </c>
      <c r="O27" s="106"/>
      <c r="P27" s="128"/>
      <c r="Q27" s="130"/>
      <c r="R27" s="108"/>
      <c r="S27" s="49" t="s">
        <v>125</v>
      </c>
      <c r="T27" s="25" t="s">
        <v>14</v>
      </c>
      <c r="U27" s="26" t="e">
        <f>U26-#REF!</f>
        <v>#REF!</v>
      </c>
      <c r="V27" s="27" t="s">
        <v>15</v>
      </c>
      <c r="W27" s="28" t="e">
        <f>(#REF!+AE27)/1100000</f>
        <v>#REF!</v>
      </c>
      <c r="X27" s="31"/>
      <c r="Y27" s="51"/>
      <c r="Z27" s="151"/>
      <c r="AA27" s="162"/>
      <c r="AB27" s="19" t="s">
        <v>14</v>
      </c>
      <c r="AC27" s="20" t="e">
        <f>AC26-#REF!</f>
        <v>#REF!</v>
      </c>
      <c r="AD27" s="21" t="s">
        <v>16</v>
      </c>
      <c r="AE27" s="22"/>
      <c r="AT27" s="29"/>
      <c r="BD27" s="29"/>
      <c r="BE27" s="29"/>
      <c r="BF27" s="29"/>
      <c r="BG27" s="29"/>
      <c r="BH27" s="29"/>
      <c r="BI27" s="29"/>
    </row>
    <row r="28" spans="1:61" s="29" customFormat="1" ht="22.5" customHeight="1" thickBot="1">
      <c r="A28" s="117" t="s">
        <v>721</v>
      </c>
      <c r="B28" s="209">
        <v>0.57999999999999996</v>
      </c>
      <c r="C28" s="211">
        <f>B28+D28+E28+F28+G28+H28+I28+J28+K28+L28+M28+N28+O28</f>
        <v>0.9900000000000001</v>
      </c>
      <c r="D28" s="37">
        <v>0.02</v>
      </c>
      <c r="E28" s="37">
        <v>0.01</v>
      </c>
      <c r="F28" s="37">
        <v>0.01</v>
      </c>
      <c r="G28" s="37">
        <v>0.01</v>
      </c>
      <c r="H28" s="37">
        <v>0.05</v>
      </c>
      <c r="I28" s="37">
        <v>0.02</v>
      </c>
      <c r="J28" s="37">
        <v>0.1</v>
      </c>
      <c r="K28" s="37">
        <v>0.1</v>
      </c>
      <c r="L28" s="37">
        <v>0.03</v>
      </c>
      <c r="M28" s="37">
        <v>0.02</v>
      </c>
      <c r="N28" s="37">
        <v>0.04</v>
      </c>
      <c r="O28" s="37"/>
      <c r="P28" s="131" t="s">
        <v>387</v>
      </c>
      <c r="Q28" s="135" t="s">
        <v>325</v>
      </c>
      <c r="R28" s="107" t="s">
        <v>384</v>
      </c>
      <c r="S28" s="11" t="s">
        <v>385</v>
      </c>
      <c r="T28" s="33" t="s">
        <v>386</v>
      </c>
      <c r="U28" s="34">
        <f>AC28/1100000</f>
        <v>39.363636363636367</v>
      </c>
      <c r="V28" s="35" t="s">
        <v>83</v>
      </c>
      <c r="W28" s="36" t="e">
        <f>U28*0.75-(#REF!+W29)</f>
        <v>#REF!</v>
      </c>
      <c r="X28" s="96" t="s">
        <v>33</v>
      </c>
      <c r="Y28" s="32" t="s">
        <v>34</v>
      </c>
      <c r="Z28" s="125" t="s">
        <v>284</v>
      </c>
      <c r="AA28" s="159" t="s">
        <v>285</v>
      </c>
      <c r="AB28" s="57" t="s">
        <v>6</v>
      </c>
      <c r="AC28" s="58">
        <v>43300000</v>
      </c>
      <c r="AD28" s="59" t="s">
        <v>8</v>
      </c>
      <c r="AE28" s="60">
        <f>SUM(AF28:BB28)</f>
        <v>0</v>
      </c>
      <c r="AF28" s="97"/>
      <c r="AG28" s="59"/>
      <c r="AH28" s="59"/>
      <c r="AI28" s="59"/>
      <c r="AJ28" s="59"/>
      <c r="AK28" s="59"/>
      <c r="AL28" s="59"/>
      <c r="AM28" s="59"/>
      <c r="AN28" s="59"/>
      <c r="AO28" s="59"/>
      <c r="AP28" s="59"/>
      <c r="AQ28" s="59"/>
      <c r="AR28" s="59"/>
      <c r="AS28" s="59"/>
      <c r="AU28" s="59"/>
      <c r="AV28" s="59"/>
      <c r="AW28" s="59"/>
      <c r="AX28" s="59"/>
      <c r="AY28" s="59"/>
      <c r="AZ28" s="59"/>
      <c r="BA28" s="59"/>
      <c r="BB28" s="59"/>
    </row>
    <row r="29" spans="1:61" s="29" customFormat="1" ht="22.5" customHeight="1" thickBot="1">
      <c r="A29" s="118"/>
      <c r="B29" s="210"/>
      <c r="C29" s="212"/>
      <c r="D29" s="106" t="s">
        <v>390</v>
      </c>
      <c r="E29" s="106" t="s">
        <v>391</v>
      </c>
      <c r="F29" s="106" t="s">
        <v>392</v>
      </c>
      <c r="G29" s="106" t="s">
        <v>392</v>
      </c>
      <c r="H29" s="106" t="s">
        <v>393</v>
      </c>
      <c r="I29" s="106" t="s">
        <v>394</v>
      </c>
      <c r="J29" s="106" t="s">
        <v>395</v>
      </c>
      <c r="K29" s="106" t="s">
        <v>396</v>
      </c>
      <c r="L29" s="106" t="s">
        <v>397</v>
      </c>
      <c r="M29" s="106" t="s">
        <v>326</v>
      </c>
      <c r="N29" s="106"/>
      <c r="O29" s="106"/>
      <c r="P29" s="132"/>
      <c r="Q29" s="136"/>
      <c r="R29" s="108"/>
      <c r="S29" s="49" t="s">
        <v>388</v>
      </c>
      <c r="T29" s="45" t="s">
        <v>14</v>
      </c>
      <c r="U29" s="46" t="e">
        <f>U28-#REF!</f>
        <v>#REF!</v>
      </c>
      <c r="V29" s="47" t="s">
        <v>389</v>
      </c>
      <c r="W29" s="48" t="e">
        <f>(#REF!+AE29)/1100000</f>
        <v>#REF!</v>
      </c>
      <c r="X29" s="31"/>
      <c r="Y29" s="51"/>
      <c r="Z29" s="126"/>
      <c r="AA29" s="160"/>
      <c r="AB29" s="57" t="s">
        <v>286</v>
      </c>
      <c r="AC29" s="58" t="e">
        <f>AC28-#REF!</f>
        <v>#REF!</v>
      </c>
      <c r="AD29" s="59" t="s">
        <v>287</v>
      </c>
      <c r="AE29" s="60"/>
      <c r="AF29" s="65"/>
      <c r="AG29" s="65"/>
      <c r="AH29" s="65"/>
      <c r="AI29" s="65"/>
      <c r="AJ29" s="65"/>
      <c r="AK29" s="65"/>
      <c r="AL29" s="65"/>
      <c r="AM29" s="65"/>
      <c r="AN29" s="65"/>
      <c r="AO29" s="65"/>
      <c r="AP29" s="65"/>
      <c r="AQ29" s="65"/>
      <c r="AR29" s="65"/>
      <c r="AS29" s="65"/>
      <c r="AU29" s="65"/>
      <c r="AV29" s="65"/>
      <c r="AW29" s="65"/>
      <c r="AX29" s="65"/>
      <c r="AY29" s="65"/>
      <c r="AZ29" s="65"/>
      <c r="BA29" s="65"/>
      <c r="BB29" s="65"/>
    </row>
    <row r="30" spans="1:61" s="29" customFormat="1" ht="22.5" customHeight="1" thickBot="1">
      <c r="A30" s="117" t="s">
        <v>722</v>
      </c>
      <c r="B30" s="209">
        <v>0.41</v>
      </c>
      <c r="C30" s="211">
        <f>B30+D30+E30+F30+G30+H30+I30+J30+K30+L30+M30+N30+O30</f>
        <v>0.82000000000000006</v>
      </c>
      <c r="D30" s="37">
        <v>0.03</v>
      </c>
      <c r="E30" s="37">
        <v>0.08</v>
      </c>
      <c r="F30" s="37">
        <v>0.08</v>
      </c>
      <c r="G30" s="37">
        <v>0.03</v>
      </c>
      <c r="H30" s="37">
        <v>0.03</v>
      </c>
      <c r="I30" s="37">
        <v>0.01</v>
      </c>
      <c r="J30" s="37">
        <v>0.01</v>
      </c>
      <c r="K30" s="37">
        <v>0.03</v>
      </c>
      <c r="L30" s="37">
        <v>0.03</v>
      </c>
      <c r="M30" s="37">
        <v>0.03</v>
      </c>
      <c r="N30" s="37">
        <v>0.05</v>
      </c>
      <c r="O30" s="37"/>
      <c r="P30" s="139" t="s">
        <v>418</v>
      </c>
      <c r="Q30" s="135" t="s">
        <v>214</v>
      </c>
      <c r="R30" s="107" t="s">
        <v>93</v>
      </c>
      <c r="S30" s="11" t="s">
        <v>94</v>
      </c>
      <c r="T30" s="33" t="s">
        <v>6</v>
      </c>
      <c r="U30" s="34">
        <f>AC30/1100000</f>
        <v>371.08227272727271</v>
      </c>
      <c r="V30" s="35" t="s">
        <v>7</v>
      </c>
      <c r="W30" s="36" t="e">
        <f>U30*0.75-(#REF!+W31)</f>
        <v>#REF!</v>
      </c>
      <c r="X30" s="96" t="s">
        <v>33</v>
      </c>
      <c r="Y30" s="32" t="s">
        <v>34</v>
      </c>
      <c r="Z30" s="125" t="s">
        <v>116</v>
      </c>
      <c r="AA30" s="159"/>
      <c r="AB30" s="57" t="s">
        <v>6</v>
      </c>
      <c r="AC30" s="58">
        <v>408190500</v>
      </c>
      <c r="AD30" s="59" t="s">
        <v>8</v>
      </c>
      <c r="AE30" s="60">
        <f>SUM(AF30:BB30)</f>
        <v>0</v>
      </c>
      <c r="AF30" s="59" t="s">
        <v>48</v>
      </c>
      <c r="AG30" s="59"/>
      <c r="AH30" s="59"/>
      <c r="AI30" s="59"/>
      <c r="AJ30" s="59"/>
      <c r="AK30" s="59"/>
      <c r="AL30" s="59"/>
      <c r="AM30" s="59"/>
      <c r="AN30" s="59"/>
      <c r="AO30" s="59"/>
      <c r="AP30" s="59"/>
      <c r="AQ30" s="59"/>
      <c r="AR30" s="59"/>
      <c r="AS30" s="59"/>
      <c r="AU30" s="59"/>
      <c r="AV30" s="59"/>
      <c r="AW30" s="59"/>
      <c r="AX30" s="59"/>
      <c r="AY30" s="59"/>
      <c r="AZ30" s="59"/>
      <c r="BA30" s="59"/>
      <c r="BB30" s="59"/>
    </row>
    <row r="31" spans="1:61" s="29" customFormat="1" ht="22.5" customHeight="1" thickBot="1">
      <c r="A31" s="118"/>
      <c r="B31" s="210"/>
      <c r="C31" s="212"/>
      <c r="D31" s="105" t="s">
        <v>134</v>
      </c>
      <c r="E31" s="113" t="s">
        <v>160</v>
      </c>
      <c r="F31" s="113" t="s">
        <v>189</v>
      </c>
      <c r="G31" s="113" t="s">
        <v>191</v>
      </c>
      <c r="H31" s="106" t="s">
        <v>224</v>
      </c>
      <c r="I31" s="106" t="s">
        <v>224</v>
      </c>
      <c r="J31" s="106" t="s">
        <v>248</v>
      </c>
      <c r="K31" s="144" t="s">
        <v>264</v>
      </c>
      <c r="L31" s="106" t="s">
        <v>305</v>
      </c>
      <c r="M31" s="106" t="s">
        <v>315</v>
      </c>
      <c r="N31" s="106" t="s">
        <v>417</v>
      </c>
      <c r="O31" s="106"/>
      <c r="P31" s="140"/>
      <c r="Q31" s="136"/>
      <c r="R31" s="108"/>
      <c r="S31" s="49" t="s">
        <v>21</v>
      </c>
      <c r="T31" s="45" t="s">
        <v>14</v>
      </c>
      <c r="U31" s="46" t="e">
        <f>U30-#REF!</f>
        <v>#REF!</v>
      </c>
      <c r="V31" s="47" t="s">
        <v>15</v>
      </c>
      <c r="W31" s="48" t="e">
        <f>(#REF!+AE31)/1100000</f>
        <v>#REF!</v>
      </c>
      <c r="X31" s="31"/>
      <c r="Y31" s="51"/>
      <c r="Z31" s="126"/>
      <c r="AA31" s="160"/>
      <c r="AB31" s="57" t="s">
        <v>14</v>
      </c>
      <c r="AC31" s="58" t="e">
        <f>AC30-#REF!</f>
        <v>#REF!</v>
      </c>
      <c r="AD31" s="59" t="s">
        <v>16</v>
      </c>
      <c r="AE31" s="60"/>
      <c r="AF31" s="65"/>
      <c r="AG31" s="65"/>
      <c r="AH31" s="65"/>
      <c r="AI31" s="65"/>
      <c r="AJ31" s="65"/>
      <c r="AK31" s="65"/>
      <c r="AL31" s="65"/>
      <c r="AM31" s="65"/>
      <c r="AN31" s="65"/>
      <c r="AO31" s="65"/>
      <c r="AP31" s="65"/>
      <c r="AQ31" s="65"/>
      <c r="AR31" s="65"/>
      <c r="AS31" s="65"/>
      <c r="AU31" s="65"/>
      <c r="AV31" s="65"/>
      <c r="AW31" s="65"/>
      <c r="AX31" s="65"/>
      <c r="AY31" s="65"/>
      <c r="AZ31" s="65"/>
      <c r="BA31" s="65"/>
      <c r="BB31" s="65"/>
    </row>
    <row r="32" spans="1:61" s="29" customFormat="1" ht="22.5" customHeight="1" thickBot="1">
      <c r="A32" s="117" t="s">
        <v>723</v>
      </c>
      <c r="B32" s="109">
        <v>0.43</v>
      </c>
      <c r="C32" s="211">
        <f>B32+D32+E32+F32+G32+H32+I32+J32+K32+L32+M32+N32+O32</f>
        <v>0.89000000000000012</v>
      </c>
      <c r="D32" s="37">
        <v>0.03</v>
      </c>
      <c r="E32" s="37">
        <v>0.01</v>
      </c>
      <c r="F32" s="37">
        <v>0.01</v>
      </c>
      <c r="G32" s="37">
        <v>0.03</v>
      </c>
      <c r="H32" s="37">
        <v>0.04</v>
      </c>
      <c r="I32" s="37">
        <v>0.01</v>
      </c>
      <c r="J32" s="37">
        <v>0.1</v>
      </c>
      <c r="K32" s="37">
        <v>0.05</v>
      </c>
      <c r="L32" s="37">
        <v>0.05</v>
      </c>
      <c r="M32" s="37">
        <v>0.03</v>
      </c>
      <c r="N32" s="37">
        <v>0.1</v>
      </c>
      <c r="O32" s="37"/>
      <c r="P32" s="139" t="s">
        <v>418</v>
      </c>
      <c r="Q32" s="141" t="s">
        <v>107</v>
      </c>
      <c r="R32" s="107" t="s">
        <v>158</v>
      </c>
      <c r="S32" s="11" t="s">
        <v>310</v>
      </c>
      <c r="T32" s="33" t="s">
        <v>85</v>
      </c>
      <c r="U32" s="34">
        <f>AC32/1100000</f>
        <v>92.770568181818177</v>
      </c>
      <c r="V32" s="35" t="s">
        <v>7</v>
      </c>
      <c r="W32" s="36" t="e">
        <f>U32*0.75-(#REF!+W33)</f>
        <v>#REF!</v>
      </c>
      <c r="X32" s="96" t="s">
        <v>90</v>
      </c>
      <c r="Y32" s="32" t="s">
        <v>34</v>
      </c>
      <c r="Z32" s="125" t="s">
        <v>117</v>
      </c>
      <c r="AA32" s="159"/>
      <c r="AB32" s="57" t="s">
        <v>85</v>
      </c>
      <c r="AC32" s="103">
        <v>102047625</v>
      </c>
      <c r="AD32" s="59" t="s">
        <v>35</v>
      </c>
      <c r="AE32" s="60">
        <f>SUM(AF32:BB32)</f>
        <v>0</v>
      </c>
      <c r="AF32" s="97"/>
      <c r="AG32" s="59"/>
      <c r="AH32" s="59"/>
      <c r="AI32" s="59"/>
      <c r="AJ32" s="59"/>
      <c r="AK32" s="59"/>
      <c r="AL32" s="59"/>
      <c r="AM32" s="59"/>
      <c r="AN32" s="59"/>
      <c r="AO32" s="59"/>
      <c r="AP32" s="59"/>
      <c r="AQ32" s="59"/>
      <c r="AR32" s="59"/>
      <c r="AS32" s="59"/>
      <c r="AU32" s="59"/>
      <c r="AV32" s="59"/>
      <c r="AW32" s="59"/>
      <c r="AX32" s="59"/>
      <c r="AY32" s="59"/>
      <c r="AZ32" s="59"/>
      <c r="BA32" s="59"/>
      <c r="BB32" s="59"/>
    </row>
    <row r="33" spans="1:54" s="29" customFormat="1" ht="22.5" customHeight="1" thickBot="1">
      <c r="A33" s="118"/>
      <c r="B33" s="110"/>
      <c r="C33" s="212"/>
      <c r="D33" s="105" t="s">
        <v>135</v>
      </c>
      <c r="E33" s="113" t="s">
        <v>153</v>
      </c>
      <c r="F33" s="113" t="s">
        <v>171</v>
      </c>
      <c r="G33" s="113" t="s">
        <v>190</v>
      </c>
      <c r="H33" s="106" t="s">
        <v>224</v>
      </c>
      <c r="I33" s="106" t="s">
        <v>224</v>
      </c>
      <c r="J33" s="106" t="s">
        <v>247</v>
      </c>
      <c r="K33" s="144" t="s">
        <v>264</v>
      </c>
      <c r="L33" s="106" t="s">
        <v>306</v>
      </c>
      <c r="M33" s="106" t="s">
        <v>315</v>
      </c>
      <c r="N33" s="106" t="s">
        <v>417</v>
      </c>
      <c r="O33" s="106"/>
      <c r="P33" s="140"/>
      <c r="Q33" s="136"/>
      <c r="R33" s="108"/>
      <c r="S33" s="49" t="s">
        <v>21</v>
      </c>
      <c r="T33" s="45" t="s">
        <v>14</v>
      </c>
      <c r="U33" s="46" t="e">
        <f>U32-#REF!</f>
        <v>#REF!</v>
      </c>
      <c r="V33" s="47" t="s">
        <v>86</v>
      </c>
      <c r="W33" s="48"/>
      <c r="X33" s="31"/>
      <c r="Y33" s="51"/>
      <c r="Z33" s="126"/>
      <c r="AA33" s="160"/>
      <c r="AB33" s="57" t="s">
        <v>14</v>
      </c>
      <c r="AC33" s="58" t="e">
        <f>AC32-#REF!</f>
        <v>#REF!</v>
      </c>
      <c r="AD33" s="59" t="s">
        <v>87</v>
      </c>
      <c r="AE33" s="60"/>
      <c r="AF33" s="65"/>
      <c r="AG33" s="65"/>
      <c r="AH33" s="65"/>
      <c r="AI33" s="65"/>
      <c r="AJ33" s="65"/>
      <c r="AK33" s="65"/>
      <c r="AL33" s="65"/>
      <c r="AM33" s="65"/>
      <c r="AN33" s="65"/>
      <c r="AO33" s="65"/>
      <c r="AP33" s="65"/>
      <c r="AQ33" s="65"/>
      <c r="AR33" s="65"/>
      <c r="AS33" s="65"/>
      <c r="AU33" s="65"/>
      <c r="AV33" s="65"/>
      <c r="AW33" s="65"/>
      <c r="AX33" s="65"/>
      <c r="AY33" s="65"/>
      <c r="AZ33" s="65"/>
      <c r="BA33" s="65"/>
      <c r="BB33" s="65"/>
    </row>
    <row r="34" spans="1:54" s="29" customFormat="1" ht="22.5" customHeight="1" thickBot="1">
      <c r="A34" s="117" t="s">
        <v>724</v>
      </c>
      <c r="B34" s="109">
        <v>0</v>
      </c>
      <c r="C34" s="111">
        <f>B34+D34+E34+F34+G34+H34+I34+J34+K34+L34+M34+N34+O34</f>
        <v>0.39000000000000007</v>
      </c>
      <c r="D34" s="37">
        <v>0.05</v>
      </c>
      <c r="E34" s="37">
        <v>0.05</v>
      </c>
      <c r="F34" s="37">
        <v>0.03</v>
      </c>
      <c r="G34" s="37">
        <v>0.01</v>
      </c>
      <c r="H34" s="37">
        <v>0.03</v>
      </c>
      <c r="I34" s="37">
        <v>0.05</v>
      </c>
      <c r="J34" s="37">
        <v>7.0000000000000007E-2</v>
      </c>
      <c r="K34" s="37">
        <v>0.05</v>
      </c>
      <c r="L34" s="37">
        <v>0.02</v>
      </c>
      <c r="M34" s="37">
        <v>0.01</v>
      </c>
      <c r="N34" s="37">
        <v>0.02</v>
      </c>
      <c r="O34" s="37"/>
      <c r="P34" s="142" t="s">
        <v>412</v>
      </c>
      <c r="Q34" s="135" t="s">
        <v>243</v>
      </c>
      <c r="R34" s="107" t="s">
        <v>164</v>
      </c>
      <c r="S34" s="11" t="s">
        <v>155</v>
      </c>
      <c r="T34" s="33" t="s">
        <v>85</v>
      </c>
      <c r="U34" s="34">
        <f>AC34/1100000</f>
        <v>1262.7272727272727</v>
      </c>
      <c r="V34" s="35" t="s">
        <v>7</v>
      </c>
      <c r="W34" s="36" t="e">
        <f>U34*0.75-(#REF!+W35)</f>
        <v>#REF!</v>
      </c>
      <c r="X34" s="96" t="s">
        <v>33</v>
      </c>
      <c r="Y34" s="32" t="s">
        <v>34</v>
      </c>
      <c r="Z34" s="125" t="s">
        <v>177</v>
      </c>
      <c r="AA34" s="159" t="s">
        <v>255</v>
      </c>
      <c r="AB34" s="57" t="s">
        <v>85</v>
      </c>
      <c r="AC34" s="58">
        <v>1389000000</v>
      </c>
      <c r="AD34" s="59" t="s">
        <v>31</v>
      </c>
      <c r="AE34" s="60">
        <f>SUM(AF34:BB34)</f>
        <v>0</v>
      </c>
      <c r="AF34" s="97"/>
      <c r="AG34" s="59"/>
      <c r="AH34" s="59"/>
      <c r="AI34" s="59"/>
      <c r="AJ34" s="59"/>
      <c r="AK34" s="59"/>
      <c r="AL34" s="59"/>
      <c r="AM34" s="59"/>
      <c r="AN34" s="59"/>
      <c r="AO34" s="59"/>
      <c r="AP34" s="59"/>
      <c r="AQ34" s="59"/>
      <c r="AR34" s="59"/>
      <c r="AS34" s="59"/>
      <c r="AU34" s="59"/>
      <c r="AV34" s="59"/>
      <c r="AW34" s="59"/>
      <c r="AX34" s="59"/>
      <c r="AY34" s="59"/>
      <c r="AZ34" s="59"/>
      <c r="BA34" s="59"/>
      <c r="BB34" s="59"/>
    </row>
    <row r="35" spans="1:54" s="29" customFormat="1" ht="22.5" customHeight="1" thickBot="1">
      <c r="A35" s="118"/>
      <c r="B35" s="110"/>
      <c r="C35" s="112"/>
      <c r="D35" s="106" t="s">
        <v>154</v>
      </c>
      <c r="E35" s="106" t="s">
        <v>161</v>
      </c>
      <c r="F35" s="106" t="s">
        <v>170</v>
      </c>
      <c r="G35" s="106" t="s">
        <v>192</v>
      </c>
      <c r="H35" s="106" t="s">
        <v>228</v>
      </c>
      <c r="I35" s="106" t="s">
        <v>232</v>
      </c>
      <c r="J35" s="106" t="s">
        <v>253</v>
      </c>
      <c r="K35" s="106" t="s">
        <v>272</v>
      </c>
      <c r="L35" s="106" t="s">
        <v>298</v>
      </c>
      <c r="M35" s="106" t="s">
        <v>316</v>
      </c>
      <c r="N35" s="106" t="s">
        <v>411</v>
      </c>
      <c r="O35" s="106"/>
      <c r="P35" s="143"/>
      <c r="Q35" s="136"/>
      <c r="R35" s="108"/>
      <c r="S35" s="49" t="s">
        <v>311</v>
      </c>
      <c r="T35" s="45" t="s">
        <v>14</v>
      </c>
      <c r="U35" s="46" t="e">
        <f>U34-#REF!</f>
        <v>#REF!</v>
      </c>
      <c r="V35" s="47" t="s">
        <v>86</v>
      </c>
      <c r="W35" s="48" t="e">
        <f>(#REF!+AE35)/1100000</f>
        <v>#REF!</v>
      </c>
      <c r="X35" s="31"/>
      <c r="Y35" s="51"/>
      <c r="Z35" s="126"/>
      <c r="AA35" s="160"/>
      <c r="AB35" s="57" t="s">
        <v>14</v>
      </c>
      <c r="AC35" s="58" t="e">
        <f>AC34-#REF!</f>
        <v>#REF!</v>
      </c>
      <c r="AD35" s="59" t="s">
        <v>16</v>
      </c>
      <c r="AE35" s="60"/>
      <c r="AF35" s="65"/>
      <c r="AG35" s="65"/>
      <c r="AH35" s="65"/>
      <c r="AI35" s="65"/>
      <c r="AJ35" s="65"/>
      <c r="AK35" s="65"/>
      <c r="AL35" s="65"/>
      <c r="AM35" s="65"/>
      <c r="AN35" s="65"/>
      <c r="AO35" s="65"/>
      <c r="AP35" s="65"/>
      <c r="AQ35" s="65"/>
      <c r="AR35" s="65"/>
      <c r="AS35" s="65"/>
      <c r="AU35" s="65"/>
      <c r="AV35" s="65"/>
      <c r="AW35" s="65"/>
      <c r="AX35" s="65"/>
      <c r="AY35" s="65"/>
      <c r="AZ35" s="65"/>
      <c r="BA35" s="65"/>
      <c r="BB35" s="65"/>
    </row>
    <row r="36" spans="1:54" s="29" customFormat="1" ht="22.5" customHeight="1" thickBot="1">
      <c r="A36" s="117" t="s">
        <v>725</v>
      </c>
      <c r="B36" s="109">
        <v>0</v>
      </c>
      <c r="C36" s="111">
        <f>B36+D36+E36+F36+G36+H36+I36+J36+K36+L36+M36+N36+O36</f>
        <v>0.77500000000000002</v>
      </c>
      <c r="D36" s="37"/>
      <c r="E36" s="37"/>
      <c r="F36" s="37">
        <v>0.01</v>
      </c>
      <c r="G36" s="37">
        <v>7.0000000000000007E-2</v>
      </c>
      <c r="H36" s="37">
        <v>0.05</v>
      </c>
      <c r="I36" s="37">
        <v>4.4999999999999998E-2</v>
      </c>
      <c r="J36" s="37">
        <v>0.05</v>
      </c>
      <c r="K36" s="37">
        <v>0.1</v>
      </c>
      <c r="L36" s="37">
        <v>0.15</v>
      </c>
      <c r="M36" s="37">
        <v>0.25</v>
      </c>
      <c r="N36" s="37">
        <v>0.05</v>
      </c>
      <c r="O36" s="37"/>
      <c r="P36" s="142" t="s">
        <v>265</v>
      </c>
      <c r="Q36" s="135" t="s">
        <v>269</v>
      </c>
      <c r="R36" s="107" t="s">
        <v>175</v>
      </c>
      <c r="S36" s="11" t="s">
        <v>176</v>
      </c>
      <c r="T36" s="33" t="s">
        <v>6</v>
      </c>
      <c r="U36" s="34">
        <f>AC36/1100000</f>
        <v>378.10909090909092</v>
      </c>
      <c r="V36" s="35" t="s">
        <v>7</v>
      </c>
      <c r="W36" s="36" t="e">
        <f>U36*0.75-(#REF!+W37)</f>
        <v>#REF!</v>
      </c>
      <c r="X36" s="96" t="s">
        <v>33</v>
      </c>
      <c r="Y36" s="32" t="s">
        <v>34</v>
      </c>
      <c r="Z36" s="125" t="s">
        <v>178</v>
      </c>
      <c r="AA36" s="159" t="s">
        <v>255</v>
      </c>
      <c r="AB36" s="57" t="s">
        <v>6</v>
      </c>
      <c r="AC36" s="58">
        <v>415920000</v>
      </c>
      <c r="AD36" s="59" t="s">
        <v>8</v>
      </c>
      <c r="AE36" s="60">
        <f>SUM(AF36:BB36)</f>
        <v>0</v>
      </c>
      <c r="AF36" s="97"/>
      <c r="AG36" s="59"/>
      <c r="AH36" s="59"/>
      <c r="AI36" s="59"/>
      <c r="AJ36" s="59"/>
      <c r="AK36" s="59"/>
      <c r="AL36" s="59"/>
      <c r="AM36" s="59"/>
      <c r="AN36" s="59"/>
      <c r="AO36" s="59"/>
      <c r="AP36" s="59"/>
      <c r="AQ36" s="59"/>
      <c r="AR36" s="59"/>
      <c r="AS36" s="59"/>
      <c r="AU36" s="59"/>
      <c r="AV36" s="59"/>
      <c r="AW36" s="59"/>
      <c r="AX36" s="59"/>
      <c r="AY36" s="59"/>
      <c r="AZ36" s="59"/>
      <c r="BA36" s="59"/>
      <c r="BB36" s="59"/>
    </row>
    <row r="37" spans="1:54" s="29" customFormat="1" ht="22.5" customHeight="1" thickBot="1">
      <c r="A37" s="118"/>
      <c r="B37" s="110"/>
      <c r="C37" s="112"/>
      <c r="D37" s="106"/>
      <c r="E37" s="106"/>
      <c r="F37" s="106" t="s">
        <v>179</v>
      </c>
      <c r="G37" s="106" t="s">
        <v>210</v>
      </c>
      <c r="H37" s="106" t="s">
        <v>225</v>
      </c>
      <c r="I37" s="106" t="s">
        <v>233</v>
      </c>
      <c r="J37" s="106" t="s">
        <v>258</v>
      </c>
      <c r="K37" s="106" t="s">
        <v>266</v>
      </c>
      <c r="L37" s="106" t="s">
        <v>307</v>
      </c>
      <c r="M37" s="106" t="s">
        <v>329</v>
      </c>
      <c r="N37" s="144" t="s">
        <v>329</v>
      </c>
      <c r="O37" s="106"/>
      <c r="P37" s="143"/>
      <c r="Q37" s="136"/>
      <c r="R37" s="108"/>
      <c r="S37" s="49" t="s">
        <v>254</v>
      </c>
      <c r="T37" s="45" t="s">
        <v>14</v>
      </c>
      <c r="U37" s="46" t="e">
        <f>U36-#REF!</f>
        <v>#REF!</v>
      </c>
      <c r="V37" s="47" t="s">
        <v>15</v>
      </c>
      <c r="W37" s="48" t="e">
        <f>(#REF!+AE37)/1100000</f>
        <v>#REF!</v>
      </c>
      <c r="X37" s="31"/>
      <c r="Y37" s="51"/>
      <c r="Z37" s="126"/>
      <c r="AA37" s="160"/>
      <c r="AB37" s="57" t="s">
        <v>14</v>
      </c>
      <c r="AC37" s="58" t="e">
        <f>AC36-#REF!</f>
        <v>#REF!</v>
      </c>
      <c r="AD37" s="59" t="s">
        <v>16</v>
      </c>
      <c r="AE37" s="60"/>
      <c r="AF37" s="65"/>
      <c r="AG37" s="65"/>
      <c r="AH37" s="65"/>
      <c r="AI37" s="65"/>
      <c r="AJ37" s="65"/>
      <c r="AK37" s="65"/>
      <c r="AL37" s="65"/>
      <c r="AM37" s="65"/>
      <c r="AN37" s="65"/>
      <c r="AO37" s="65"/>
      <c r="AP37" s="65"/>
      <c r="AQ37" s="65"/>
      <c r="AR37" s="65"/>
      <c r="AS37" s="65"/>
      <c r="AU37" s="65"/>
      <c r="AV37" s="65"/>
      <c r="AW37" s="65"/>
      <c r="AX37" s="65"/>
      <c r="AY37" s="65"/>
      <c r="AZ37" s="65"/>
      <c r="BA37" s="65"/>
      <c r="BB37" s="65"/>
    </row>
    <row r="38" spans="1:54" s="29" customFormat="1" ht="22.5" customHeight="1" thickBot="1">
      <c r="A38" s="117" t="s">
        <v>726</v>
      </c>
      <c r="B38" s="109">
        <v>0</v>
      </c>
      <c r="C38" s="111">
        <f>B38+D38+E38+F38+G38+H38+I38+J38+K38+L38+M38+N38+O38</f>
        <v>0.4</v>
      </c>
      <c r="D38" s="37"/>
      <c r="E38" s="37"/>
      <c r="F38" s="37"/>
      <c r="G38" s="37"/>
      <c r="H38" s="37"/>
      <c r="I38" s="37"/>
      <c r="J38" s="37"/>
      <c r="K38" s="37"/>
      <c r="L38" s="37">
        <v>0.02</v>
      </c>
      <c r="M38" s="37">
        <v>0.18</v>
      </c>
      <c r="N38" s="37">
        <v>0.2</v>
      </c>
      <c r="O38" s="37"/>
      <c r="P38" s="142" t="s">
        <v>399</v>
      </c>
      <c r="Q38" s="135" t="s">
        <v>400</v>
      </c>
      <c r="R38" s="107" t="s">
        <v>288</v>
      </c>
      <c r="S38" s="11" t="s">
        <v>398</v>
      </c>
      <c r="T38" s="33" t="s">
        <v>85</v>
      </c>
      <c r="U38" s="34">
        <f>AC38/1100000</f>
        <v>107.17400000000001</v>
      </c>
      <c r="V38" s="35" t="s">
        <v>83</v>
      </c>
      <c r="W38" s="36" t="e">
        <f>U38*0.75-(#REF!+W39)</f>
        <v>#REF!</v>
      </c>
      <c r="X38" s="96" t="s">
        <v>289</v>
      </c>
      <c r="Y38" s="32" t="s">
        <v>34</v>
      </c>
      <c r="Z38" s="125" t="s">
        <v>290</v>
      </c>
      <c r="AA38" s="159"/>
      <c r="AB38" s="57" t="s">
        <v>6</v>
      </c>
      <c r="AC38" s="58">
        <v>117891400</v>
      </c>
      <c r="AD38" s="59" t="s">
        <v>8</v>
      </c>
      <c r="AE38" s="60">
        <f>SUM(AF38:BB38)</f>
        <v>0</v>
      </c>
      <c r="AF38" s="97"/>
      <c r="AG38" s="59"/>
      <c r="AH38" s="59"/>
      <c r="AI38" s="59"/>
      <c r="AJ38" s="59"/>
      <c r="AK38" s="59"/>
      <c r="AL38" s="59"/>
      <c r="AM38" s="59"/>
      <c r="AN38" s="59"/>
      <c r="AO38" s="59"/>
      <c r="AP38" s="59"/>
      <c r="AQ38" s="59"/>
      <c r="AR38" s="59"/>
      <c r="AS38" s="59"/>
      <c r="AU38" s="59"/>
      <c r="AV38" s="59"/>
      <c r="AW38" s="59"/>
      <c r="AX38" s="59"/>
      <c r="AY38" s="59"/>
      <c r="AZ38" s="59"/>
      <c r="BA38" s="59"/>
      <c r="BB38" s="59"/>
    </row>
    <row r="39" spans="1:54" s="29" customFormat="1" ht="22.5" customHeight="1" thickBot="1">
      <c r="A39" s="118"/>
      <c r="B39" s="110"/>
      <c r="C39" s="112"/>
      <c r="D39" s="106"/>
      <c r="E39" s="106"/>
      <c r="F39" s="106"/>
      <c r="G39" s="106"/>
      <c r="H39" s="106"/>
      <c r="I39" s="106"/>
      <c r="J39" s="106" t="s">
        <v>404</v>
      </c>
      <c r="K39" s="106" t="s">
        <v>405</v>
      </c>
      <c r="L39" s="106" t="s">
        <v>406</v>
      </c>
      <c r="M39" s="106" t="s">
        <v>406</v>
      </c>
      <c r="N39" s="106" t="s">
        <v>704</v>
      </c>
      <c r="O39" s="106"/>
      <c r="P39" s="143"/>
      <c r="Q39" s="136"/>
      <c r="R39" s="108"/>
      <c r="S39" s="49" t="s">
        <v>401</v>
      </c>
      <c r="T39" s="45" t="s">
        <v>402</v>
      </c>
      <c r="U39" s="46" t="e">
        <f>U38-#REF!</f>
        <v>#REF!</v>
      </c>
      <c r="V39" s="47" t="s">
        <v>403</v>
      </c>
      <c r="W39" s="48" t="e">
        <f>(#REF!+AE39)/1100000</f>
        <v>#REF!</v>
      </c>
      <c r="X39" s="31"/>
      <c r="Y39" s="51"/>
      <c r="Z39" s="126"/>
      <c r="AA39" s="160"/>
      <c r="AB39" s="57" t="s">
        <v>14</v>
      </c>
      <c r="AC39" s="58" t="e">
        <f>AC38-#REF!</f>
        <v>#REF!</v>
      </c>
      <c r="AD39" s="59" t="s">
        <v>291</v>
      </c>
      <c r="AE39" s="60"/>
      <c r="AF39" s="65"/>
      <c r="AG39" s="65"/>
      <c r="AH39" s="65"/>
      <c r="AI39" s="65"/>
      <c r="AJ39" s="65"/>
      <c r="AK39" s="65"/>
      <c r="AL39" s="65"/>
      <c r="AM39" s="65"/>
      <c r="AN39" s="65"/>
      <c r="AO39" s="65"/>
      <c r="AP39" s="65"/>
      <c r="AQ39" s="65"/>
      <c r="AR39" s="65"/>
      <c r="AS39" s="65"/>
      <c r="AU39" s="65"/>
      <c r="AV39" s="65"/>
      <c r="AW39" s="65"/>
      <c r="AX39" s="65"/>
      <c r="AY39" s="65"/>
      <c r="AZ39" s="65"/>
      <c r="BA39" s="65"/>
      <c r="BB39" s="65"/>
    </row>
    <row r="40" spans="1:54" s="29" customFormat="1" ht="22.5" customHeight="1" thickBot="1">
      <c r="A40" s="117" t="s">
        <v>727</v>
      </c>
      <c r="B40" s="109">
        <v>0.54</v>
      </c>
      <c r="C40" s="111">
        <f>B40+D40+E40+F40+G40+H40+I40+J40+K40+L40+M40+N40+O40</f>
        <v>0.54</v>
      </c>
      <c r="D40" s="37">
        <v>0</v>
      </c>
      <c r="E40" s="37">
        <v>0</v>
      </c>
      <c r="F40" s="37">
        <v>0</v>
      </c>
      <c r="G40" s="37">
        <v>0</v>
      </c>
      <c r="H40" s="37">
        <v>0</v>
      </c>
      <c r="I40" s="37">
        <v>0</v>
      </c>
      <c r="J40" s="37">
        <v>0</v>
      </c>
      <c r="K40" s="37">
        <v>0</v>
      </c>
      <c r="L40" s="37">
        <v>0</v>
      </c>
      <c r="M40" s="37">
        <v>0</v>
      </c>
      <c r="N40" s="37">
        <v>0</v>
      </c>
      <c r="O40" s="37"/>
      <c r="P40" s="133" t="s">
        <v>666</v>
      </c>
      <c r="Q40" s="135" t="s">
        <v>667</v>
      </c>
      <c r="R40" s="107" t="s">
        <v>664</v>
      </c>
      <c r="S40" s="11" t="s">
        <v>60</v>
      </c>
      <c r="T40" s="33" t="s">
        <v>665</v>
      </c>
      <c r="U40" s="34">
        <f>AC40/1100000</f>
        <v>43.736363636363635</v>
      </c>
      <c r="V40" s="35" t="s">
        <v>7</v>
      </c>
      <c r="W40" s="36" t="e">
        <f>U40*0.75-(#REF!+W41)</f>
        <v>#REF!</v>
      </c>
      <c r="X40" s="96" t="s">
        <v>33</v>
      </c>
      <c r="Y40" s="32" t="s">
        <v>429</v>
      </c>
      <c r="Z40" s="125"/>
      <c r="AA40" s="159" t="s">
        <v>668</v>
      </c>
      <c r="AB40" s="57" t="s">
        <v>665</v>
      </c>
      <c r="AC40" s="58">
        <v>48110000</v>
      </c>
      <c r="AD40" s="59" t="s">
        <v>8</v>
      </c>
      <c r="AE40" s="60">
        <f>SUM(AF40:BB40)</f>
        <v>0</v>
      </c>
      <c r="AF40" s="97"/>
      <c r="AG40" s="59"/>
      <c r="AH40" s="59"/>
      <c r="AI40" s="59"/>
      <c r="AJ40" s="59"/>
      <c r="AK40" s="59"/>
      <c r="AL40" s="59"/>
      <c r="AM40" s="59"/>
      <c r="AN40" s="59"/>
      <c r="AO40" s="59"/>
      <c r="AP40" s="59"/>
      <c r="AQ40" s="59"/>
      <c r="AR40" s="59"/>
      <c r="AS40" s="59"/>
      <c r="AU40" s="59"/>
      <c r="AV40" s="59"/>
      <c r="AW40" s="59"/>
      <c r="AX40" s="59"/>
      <c r="AY40" s="59"/>
      <c r="AZ40" s="59"/>
      <c r="BA40" s="59"/>
      <c r="BB40" s="59"/>
    </row>
    <row r="41" spans="1:54" s="29" customFormat="1" ht="22.5" customHeight="1" thickBot="1">
      <c r="A41" s="118"/>
      <c r="B41" s="110"/>
      <c r="C41" s="112"/>
      <c r="D41" s="106" t="s">
        <v>422</v>
      </c>
      <c r="E41" s="106" t="s">
        <v>422</v>
      </c>
      <c r="F41" s="106" t="s">
        <v>422</v>
      </c>
      <c r="G41" s="106" t="s">
        <v>422</v>
      </c>
      <c r="H41" s="106" t="s">
        <v>587</v>
      </c>
      <c r="I41" s="106" t="s">
        <v>422</v>
      </c>
      <c r="J41" s="106" t="s">
        <v>587</v>
      </c>
      <c r="K41" s="106" t="s">
        <v>422</v>
      </c>
      <c r="L41" s="106" t="s">
        <v>422</v>
      </c>
      <c r="M41" s="106" t="s">
        <v>422</v>
      </c>
      <c r="N41" s="106" t="s">
        <v>670</v>
      </c>
      <c r="O41" s="106"/>
      <c r="P41" s="134"/>
      <c r="Q41" s="136"/>
      <c r="R41" s="108"/>
      <c r="S41" s="49" t="s">
        <v>61</v>
      </c>
      <c r="T41" s="45" t="s">
        <v>14</v>
      </c>
      <c r="U41" s="46" t="e">
        <f>U40-#REF!</f>
        <v>#REF!</v>
      </c>
      <c r="V41" s="47" t="s">
        <v>669</v>
      </c>
      <c r="W41" s="48" t="e">
        <f>(#REF!+AE41)/1100000</f>
        <v>#REF!</v>
      </c>
      <c r="X41" s="31"/>
      <c r="Y41" s="51"/>
      <c r="Z41" s="126"/>
      <c r="AA41" s="160"/>
      <c r="AB41" s="57" t="s">
        <v>671</v>
      </c>
      <c r="AC41" s="58" t="e">
        <f>AC40-#REF!</f>
        <v>#REF!</v>
      </c>
      <c r="AD41" s="59" t="s">
        <v>589</v>
      </c>
      <c r="AE41" s="60"/>
      <c r="AF41" s="65"/>
      <c r="AG41" s="65"/>
      <c r="AH41" s="65"/>
      <c r="AI41" s="65"/>
      <c r="AJ41" s="65"/>
      <c r="AK41" s="65"/>
      <c r="AL41" s="65"/>
      <c r="AM41" s="65"/>
      <c r="AN41" s="65"/>
      <c r="AO41" s="65"/>
      <c r="AP41" s="65"/>
      <c r="AQ41" s="65"/>
      <c r="AR41" s="65"/>
      <c r="AS41" s="65"/>
      <c r="AU41" s="65"/>
      <c r="AV41" s="65"/>
      <c r="AW41" s="65"/>
      <c r="AX41" s="65"/>
      <c r="AY41" s="65"/>
      <c r="AZ41" s="65"/>
      <c r="BA41" s="65"/>
      <c r="BB41" s="65"/>
    </row>
    <row r="42" spans="1:54" s="29" customFormat="1" ht="22.5" customHeight="1" thickBot="1">
      <c r="A42" s="117" t="s">
        <v>728</v>
      </c>
      <c r="B42" s="109">
        <v>0</v>
      </c>
      <c r="C42" s="111">
        <f>B42+D42+E42+F42+G42+H42+I42+J42+K42+L42+M42+N42+O42</f>
        <v>0.87000000000000011</v>
      </c>
      <c r="D42" s="37"/>
      <c r="E42" s="37">
        <v>0</v>
      </c>
      <c r="F42" s="37">
        <v>0.05</v>
      </c>
      <c r="G42" s="37">
        <v>0.05</v>
      </c>
      <c r="H42" s="37">
        <v>0.1</v>
      </c>
      <c r="I42" s="37">
        <v>0.1</v>
      </c>
      <c r="J42" s="37">
        <v>0.1</v>
      </c>
      <c r="K42" s="37">
        <v>0.15</v>
      </c>
      <c r="L42" s="37">
        <v>0.15</v>
      </c>
      <c r="M42" s="37">
        <v>0.05</v>
      </c>
      <c r="N42" s="37">
        <v>0.12</v>
      </c>
      <c r="O42" s="37"/>
      <c r="P42" s="163" t="s">
        <v>674</v>
      </c>
      <c r="Q42" s="165" t="s">
        <v>675</v>
      </c>
      <c r="R42" s="119" t="s">
        <v>672</v>
      </c>
      <c r="S42" s="11" t="s">
        <v>673</v>
      </c>
      <c r="T42" s="33" t="s">
        <v>665</v>
      </c>
      <c r="U42" s="34">
        <f>AC42/1100000</f>
        <v>67.843000000000004</v>
      </c>
      <c r="V42" s="35" t="s">
        <v>7</v>
      </c>
      <c r="W42" s="100" t="e">
        <f>U42*0.75-(#REF!+W43)</f>
        <v>#REF!</v>
      </c>
      <c r="X42" s="96" t="s">
        <v>33</v>
      </c>
      <c r="Y42" s="32" t="s">
        <v>429</v>
      </c>
      <c r="Z42" s="125"/>
      <c r="AA42" s="159"/>
      <c r="AB42" s="57" t="s">
        <v>6</v>
      </c>
      <c r="AC42" s="58">
        <v>74627300</v>
      </c>
      <c r="AD42" s="59" t="s">
        <v>8</v>
      </c>
      <c r="AE42" s="60">
        <f>SUM(AF42:BB42)</f>
        <v>0</v>
      </c>
      <c r="AF42" s="97"/>
      <c r="AG42" s="59"/>
      <c r="AH42" s="59"/>
      <c r="AI42" s="59"/>
      <c r="AJ42" s="59"/>
      <c r="AK42" s="59"/>
      <c r="AL42" s="59"/>
      <c r="AM42" s="59"/>
      <c r="AN42" s="59"/>
      <c r="AO42" s="59"/>
      <c r="AP42" s="59"/>
      <c r="AQ42" s="59"/>
      <c r="AR42" s="59"/>
      <c r="AS42" s="59"/>
      <c r="AU42" s="59"/>
      <c r="AV42" s="59"/>
      <c r="AW42" s="59"/>
      <c r="AX42" s="59"/>
      <c r="AY42" s="59"/>
      <c r="AZ42" s="65"/>
      <c r="BA42" s="65"/>
      <c r="BB42" s="65"/>
    </row>
    <row r="43" spans="1:54" s="29" customFormat="1" ht="22.5" customHeight="1" thickBot="1">
      <c r="A43" s="118"/>
      <c r="B43" s="110"/>
      <c r="C43" s="112"/>
      <c r="D43" s="106"/>
      <c r="E43" s="106" t="s">
        <v>676</v>
      </c>
      <c r="F43" s="106" t="s">
        <v>677</v>
      </c>
      <c r="G43" s="106" t="s">
        <v>678</v>
      </c>
      <c r="H43" s="106" t="s">
        <v>679</v>
      </c>
      <c r="I43" s="106" t="s">
        <v>680</v>
      </c>
      <c r="J43" s="106" t="s">
        <v>681</v>
      </c>
      <c r="K43" s="106" t="s">
        <v>682</v>
      </c>
      <c r="L43" s="106" t="s">
        <v>682</v>
      </c>
      <c r="M43" s="106" t="s">
        <v>683</v>
      </c>
      <c r="N43" s="106" t="s">
        <v>684</v>
      </c>
      <c r="O43" s="106"/>
      <c r="P43" s="164"/>
      <c r="Q43" s="166"/>
      <c r="R43" s="120"/>
      <c r="S43" s="49" t="s">
        <v>21</v>
      </c>
      <c r="T43" s="45" t="s">
        <v>14</v>
      </c>
      <c r="U43" s="46" t="e">
        <f>U42-#REF!</f>
        <v>#REF!</v>
      </c>
      <c r="V43" s="47" t="s">
        <v>15</v>
      </c>
      <c r="W43" s="48" t="e">
        <f>(#REF!+AE43)/1100000</f>
        <v>#REF!</v>
      </c>
      <c r="X43" s="31"/>
      <c r="Y43" s="51"/>
      <c r="Z43" s="126"/>
      <c r="AA43" s="160"/>
      <c r="AB43" s="57" t="s">
        <v>14</v>
      </c>
      <c r="AC43" s="58" t="e">
        <f>AC42-#REF!</f>
        <v>#REF!</v>
      </c>
      <c r="AD43" s="59" t="s">
        <v>589</v>
      </c>
      <c r="AE43" s="60"/>
      <c r="AF43" s="65"/>
      <c r="AG43" s="65"/>
      <c r="AH43" s="65"/>
      <c r="AI43" s="65"/>
      <c r="AJ43" s="65"/>
      <c r="AK43" s="65"/>
      <c r="AL43" s="65"/>
      <c r="AM43" s="65"/>
      <c r="AN43" s="65"/>
      <c r="AO43" s="65"/>
      <c r="AP43" s="65"/>
      <c r="AQ43" s="65"/>
      <c r="AR43" s="65"/>
      <c r="AS43" s="65"/>
      <c r="AU43" s="65"/>
      <c r="AV43" s="65"/>
      <c r="AW43" s="65"/>
      <c r="AX43" s="65"/>
      <c r="AY43" s="65"/>
      <c r="AZ43" s="65"/>
      <c r="BA43" s="65"/>
      <c r="BB43" s="65"/>
    </row>
    <row r="44" spans="1:54" s="29" customFormat="1" ht="22.5" customHeight="1" thickBot="1">
      <c r="A44" s="117" t="s">
        <v>729</v>
      </c>
      <c r="B44" s="109">
        <v>0</v>
      </c>
      <c r="C44" s="111">
        <f>B44+D44+E44+F44+G44+H44+I44+J44+K44+L44+M44+N44+O44</f>
        <v>1</v>
      </c>
      <c r="D44" s="37"/>
      <c r="E44" s="37"/>
      <c r="F44" s="37"/>
      <c r="G44" s="37"/>
      <c r="H44" s="37"/>
      <c r="I44" s="37"/>
      <c r="J44" s="37"/>
      <c r="K44" s="37">
        <v>0</v>
      </c>
      <c r="L44" s="37">
        <v>0.8</v>
      </c>
      <c r="M44" s="37">
        <v>0.1</v>
      </c>
      <c r="N44" s="37">
        <v>0.1</v>
      </c>
      <c r="O44" s="37"/>
      <c r="P44" s="163" t="s">
        <v>687</v>
      </c>
      <c r="Q44" s="135" t="s">
        <v>688</v>
      </c>
      <c r="R44" s="119" t="s">
        <v>685</v>
      </c>
      <c r="S44" s="11" t="s">
        <v>686</v>
      </c>
      <c r="T44" s="33" t="s">
        <v>6</v>
      </c>
      <c r="U44" s="34">
        <f>AC44/1100000</f>
        <v>4</v>
      </c>
      <c r="V44" s="35" t="s">
        <v>7</v>
      </c>
      <c r="W44" s="100" t="e">
        <f>U44*0.75-(#REF!+W45)</f>
        <v>#REF!</v>
      </c>
      <c r="X44" s="96" t="s">
        <v>689</v>
      </c>
      <c r="Y44" s="32" t="s">
        <v>34</v>
      </c>
      <c r="Z44" s="125"/>
      <c r="AA44" s="159"/>
      <c r="AB44" s="57" t="s">
        <v>6</v>
      </c>
      <c r="AC44" s="58">
        <v>4400000</v>
      </c>
      <c r="AD44" s="59" t="s">
        <v>8</v>
      </c>
      <c r="AE44" s="60">
        <f>SUM(AF44:BB44)</f>
        <v>0</v>
      </c>
      <c r="AF44" s="97"/>
      <c r="AG44" s="59"/>
      <c r="AH44" s="59"/>
      <c r="AI44" s="59"/>
      <c r="AJ44" s="59"/>
      <c r="AK44" s="59"/>
      <c r="AL44" s="59"/>
      <c r="AM44" s="59"/>
      <c r="AN44" s="59"/>
      <c r="AO44" s="59"/>
      <c r="AP44" s="59"/>
      <c r="AQ44" s="59"/>
      <c r="AR44" s="59"/>
      <c r="AS44" s="59"/>
      <c r="AU44" s="59"/>
      <c r="AV44" s="59"/>
      <c r="AW44" s="59"/>
      <c r="AX44" s="59"/>
      <c r="AY44" s="59"/>
      <c r="AZ44" s="65"/>
      <c r="BA44" s="65"/>
      <c r="BB44" s="65"/>
    </row>
    <row r="45" spans="1:54" s="29" customFormat="1" ht="22.5" customHeight="1" thickBot="1">
      <c r="A45" s="118"/>
      <c r="B45" s="110"/>
      <c r="C45" s="112"/>
      <c r="D45" s="106"/>
      <c r="E45" s="106"/>
      <c r="F45" s="106"/>
      <c r="G45" s="106"/>
      <c r="H45" s="106"/>
      <c r="I45" s="106"/>
      <c r="J45" s="106"/>
      <c r="K45" s="106" t="s">
        <v>691</v>
      </c>
      <c r="L45" s="106" t="s">
        <v>692</v>
      </c>
      <c r="M45" s="106" t="s">
        <v>692</v>
      </c>
      <c r="N45" s="106" t="s">
        <v>693</v>
      </c>
      <c r="O45" s="106"/>
      <c r="P45" s="164"/>
      <c r="Q45" s="136"/>
      <c r="R45" s="120"/>
      <c r="S45" s="49" t="s">
        <v>577</v>
      </c>
      <c r="T45" s="45" t="s">
        <v>690</v>
      </c>
      <c r="U45" s="46" t="e">
        <f>U44-#REF!</f>
        <v>#REF!</v>
      </c>
      <c r="V45" s="47" t="s">
        <v>15</v>
      </c>
      <c r="W45" s="48" t="e">
        <f>(#REF!+AE45)/1100000</f>
        <v>#REF!</v>
      </c>
      <c r="X45" s="31"/>
      <c r="Y45" s="51"/>
      <c r="Z45" s="126"/>
      <c r="AA45" s="160"/>
      <c r="AB45" s="57" t="s">
        <v>690</v>
      </c>
      <c r="AC45" s="58" t="e">
        <f>AC44-#REF!</f>
        <v>#REF!</v>
      </c>
      <c r="AD45" s="59" t="s">
        <v>589</v>
      </c>
      <c r="AE45" s="60"/>
      <c r="AF45" s="65"/>
      <c r="AG45" s="65"/>
      <c r="AH45" s="65"/>
      <c r="AI45" s="65"/>
      <c r="AJ45" s="65"/>
      <c r="AK45" s="65"/>
      <c r="AL45" s="65"/>
      <c r="AM45" s="65"/>
      <c r="AN45" s="65"/>
      <c r="AO45" s="65"/>
      <c r="AP45" s="65"/>
      <c r="AQ45" s="65"/>
      <c r="AR45" s="65"/>
      <c r="AS45" s="65"/>
      <c r="AU45" s="65"/>
      <c r="AV45" s="65"/>
      <c r="AW45" s="65"/>
      <c r="AX45" s="65"/>
      <c r="AY45" s="65"/>
      <c r="AZ45" s="65"/>
      <c r="BA45" s="65"/>
      <c r="BB45" s="65"/>
    </row>
    <row r="46" spans="1:54" s="29" customFormat="1" ht="22.5" customHeight="1" thickBot="1">
      <c r="A46" s="117" t="s">
        <v>730</v>
      </c>
      <c r="B46" s="109">
        <v>0</v>
      </c>
      <c r="C46" s="111">
        <f>B46+D46+E46+F46+G46+H46+I46+J46+K46+L46+M46+N46+O46</f>
        <v>0.9</v>
      </c>
      <c r="D46" s="37"/>
      <c r="E46" s="37"/>
      <c r="F46" s="37"/>
      <c r="G46" s="37"/>
      <c r="H46" s="37"/>
      <c r="I46" s="37"/>
      <c r="J46" s="37"/>
      <c r="K46" s="37">
        <v>0</v>
      </c>
      <c r="L46" s="37">
        <v>0.6</v>
      </c>
      <c r="M46" s="37">
        <v>0.25</v>
      </c>
      <c r="N46" s="37">
        <v>0.05</v>
      </c>
      <c r="O46" s="37"/>
      <c r="P46" s="163" t="s">
        <v>695</v>
      </c>
      <c r="Q46" s="135" t="s">
        <v>696</v>
      </c>
      <c r="R46" s="119" t="s">
        <v>705</v>
      </c>
      <c r="S46" s="11" t="s">
        <v>694</v>
      </c>
      <c r="T46" s="33" t="s">
        <v>665</v>
      </c>
      <c r="U46" s="34">
        <f>AC46/1100000</f>
        <v>5</v>
      </c>
      <c r="V46" s="35" t="s">
        <v>7</v>
      </c>
      <c r="W46" s="100" t="e">
        <f>U46*0.75-(#REF!+W47)</f>
        <v>#REF!</v>
      </c>
      <c r="X46" s="96" t="s">
        <v>697</v>
      </c>
      <c r="Y46" s="32" t="s">
        <v>429</v>
      </c>
      <c r="Z46" s="125"/>
      <c r="AA46" s="159"/>
      <c r="AB46" s="57" t="s">
        <v>665</v>
      </c>
      <c r="AC46" s="58">
        <v>5500000</v>
      </c>
      <c r="AD46" s="59" t="s">
        <v>698</v>
      </c>
      <c r="AE46" s="60">
        <f>SUM(AF46:BB46)</f>
        <v>0</v>
      </c>
      <c r="AF46" s="97"/>
      <c r="AG46" s="59"/>
      <c r="AH46" s="59"/>
      <c r="AI46" s="59"/>
      <c r="AJ46" s="59"/>
      <c r="AK46" s="59"/>
      <c r="AL46" s="59"/>
      <c r="AM46" s="59"/>
      <c r="AN46" s="59"/>
      <c r="AO46" s="59"/>
      <c r="AP46" s="59"/>
      <c r="AQ46" s="59"/>
      <c r="AR46" s="59"/>
      <c r="AS46" s="59"/>
      <c r="AU46" s="59"/>
      <c r="AV46" s="59"/>
      <c r="AW46" s="59"/>
      <c r="AX46" s="59"/>
      <c r="AY46" s="59"/>
      <c r="AZ46" s="65"/>
      <c r="BA46" s="65"/>
      <c r="BB46" s="65"/>
    </row>
    <row r="47" spans="1:54" s="29" customFormat="1" ht="22.5" customHeight="1" thickBot="1">
      <c r="A47" s="118"/>
      <c r="B47" s="110"/>
      <c r="C47" s="112"/>
      <c r="D47" s="106"/>
      <c r="E47" s="106"/>
      <c r="F47" s="106"/>
      <c r="G47" s="106"/>
      <c r="H47" s="106"/>
      <c r="I47" s="106"/>
      <c r="J47" s="106"/>
      <c r="K47" s="106" t="s">
        <v>699</v>
      </c>
      <c r="L47" s="106" t="s">
        <v>700</v>
      </c>
      <c r="M47" s="106" t="s">
        <v>701</v>
      </c>
      <c r="N47" s="106"/>
      <c r="O47" s="106"/>
      <c r="P47" s="164"/>
      <c r="Q47" s="136"/>
      <c r="R47" s="120"/>
      <c r="S47" s="49" t="s">
        <v>577</v>
      </c>
      <c r="T47" s="45" t="s">
        <v>690</v>
      </c>
      <c r="U47" s="46" t="e">
        <f>U46-#REF!</f>
        <v>#REF!</v>
      </c>
      <c r="V47" s="47" t="s">
        <v>15</v>
      </c>
      <c r="W47" s="48" t="e">
        <f>(#REF!+AE47)/1100000</f>
        <v>#REF!</v>
      </c>
      <c r="X47" s="31"/>
      <c r="Y47" s="51"/>
      <c r="Z47" s="126"/>
      <c r="AA47" s="160"/>
      <c r="AB47" s="57" t="s">
        <v>690</v>
      </c>
      <c r="AC47" s="58" t="e">
        <f>AC46-#REF!</f>
        <v>#REF!</v>
      </c>
      <c r="AD47" s="59" t="s">
        <v>16</v>
      </c>
      <c r="AE47" s="60"/>
      <c r="AF47" s="65"/>
      <c r="AG47" s="65"/>
      <c r="AH47" s="65"/>
      <c r="AI47" s="65"/>
      <c r="AJ47" s="65"/>
      <c r="AK47" s="65"/>
      <c r="AL47" s="65"/>
      <c r="AM47" s="65"/>
      <c r="AN47" s="65"/>
      <c r="AO47" s="65"/>
      <c r="AP47" s="65"/>
      <c r="AQ47" s="65"/>
      <c r="AR47" s="65"/>
      <c r="AS47" s="65"/>
      <c r="AU47" s="65"/>
      <c r="AV47" s="65"/>
      <c r="AW47" s="65"/>
      <c r="AX47" s="65"/>
      <c r="AY47" s="65"/>
      <c r="AZ47" s="65"/>
      <c r="BA47" s="65"/>
      <c r="BB47" s="65"/>
    </row>
    <row r="48" spans="1:54" s="78" customFormat="1" ht="22.5" customHeight="1">
      <c r="A48" s="490" t="s">
        <v>1071</v>
      </c>
      <c r="B48" s="554">
        <v>0.9</v>
      </c>
      <c r="C48" s="555">
        <f>B48+D48+E48+F48+G48+H48+I48+J48+K48+L48+M48+N48+O48</f>
        <v>0.9</v>
      </c>
      <c r="D48" s="525">
        <v>0</v>
      </c>
      <c r="E48" s="525">
        <v>0</v>
      </c>
      <c r="F48" s="525">
        <v>0</v>
      </c>
      <c r="G48" s="525">
        <v>0</v>
      </c>
      <c r="H48" s="525">
        <v>0</v>
      </c>
      <c r="I48" s="525">
        <v>0</v>
      </c>
      <c r="J48" s="525">
        <v>0</v>
      </c>
      <c r="K48" s="525">
        <v>0</v>
      </c>
      <c r="L48" s="525">
        <v>0</v>
      </c>
      <c r="M48" s="525">
        <v>0</v>
      </c>
      <c r="N48" s="525">
        <v>0</v>
      </c>
      <c r="O48" s="525"/>
      <c r="P48" s="556" t="str">
        <f>F49</f>
        <v>업무대기</v>
      </c>
      <c r="Q48" s="490" t="s">
        <v>1074</v>
      </c>
      <c r="R48" s="553" t="s">
        <v>1072</v>
      </c>
      <c r="S48" s="520" t="s">
        <v>1073</v>
      </c>
      <c r="T48" s="521" t="s">
        <v>814</v>
      </c>
      <c r="U48" s="522">
        <f>BK48/1100000</f>
        <v>0</v>
      </c>
      <c r="V48" s="523" t="s">
        <v>832</v>
      </c>
      <c r="W48" s="524" t="e">
        <f>U48*0.75-(#REF!+W49)</f>
        <v>#REF!</v>
      </c>
      <c r="X48" s="299" t="s">
        <v>1075</v>
      </c>
      <c r="Y48" s="79" t="s">
        <v>1076</v>
      </c>
      <c r="Z48" s="260" t="s">
        <v>1077</v>
      </c>
      <c r="AA48" s="260"/>
      <c r="AB48" s="80" t="s">
        <v>814</v>
      </c>
      <c r="AC48" s="81">
        <v>2582800000</v>
      </c>
      <c r="AD48" s="82" t="s">
        <v>35</v>
      </c>
      <c r="AE48" s="83">
        <f>SUM(AF48:BB48)</f>
        <v>227152363</v>
      </c>
      <c r="AF48" s="91" t="s">
        <v>1078</v>
      </c>
      <c r="AG48" s="92">
        <v>74500363</v>
      </c>
      <c r="AH48" s="92" t="s">
        <v>1079</v>
      </c>
      <c r="AI48" s="92">
        <v>152652000</v>
      </c>
      <c r="AJ48" s="92" t="s">
        <v>1080</v>
      </c>
      <c r="AK48" s="92"/>
      <c r="AL48" s="92" t="s">
        <v>1080</v>
      </c>
      <c r="AM48" s="92"/>
      <c r="AN48" s="92" t="s">
        <v>1080</v>
      </c>
      <c r="AO48" s="92"/>
      <c r="AP48" s="92"/>
      <c r="AQ48" s="92"/>
      <c r="AR48" s="92"/>
      <c r="AS48" s="92"/>
      <c r="AT48" s="78" t="s">
        <v>1292</v>
      </c>
      <c r="AU48" s="92"/>
      <c r="AV48" s="92"/>
      <c r="AW48" s="92"/>
      <c r="AX48" s="92"/>
      <c r="AY48" s="92"/>
      <c r="AZ48" s="92"/>
      <c r="BA48" s="92"/>
      <c r="BB48" s="92"/>
    </row>
    <row r="49" spans="1:61" s="78" customFormat="1" ht="22.5" customHeight="1" thickBot="1">
      <c r="A49" s="495"/>
      <c r="B49" s="558"/>
      <c r="C49" s="559"/>
      <c r="D49" s="560" t="s">
        <v>1083</v>
      </c>
      <c r="E49" s="560" t="str">
        <f>D49</f>
        <v>업무대기</v>
      </c>
      <c r="F49" s="560" t="s">
        <v>1083</v>
      </c>
      <c r="G49" s="560" t="s">
        <v>1083</v>
      </c>
      <c r="H49" s="560" t="str">
        <f t="shared" ref="H49:N49" si="0">G49</f>
        <v>업무대기</v>
      </c>
      <c r="I49" s="560" t="str">
        <f t="shared" si="0"/>
        <v>업무대기</v>
      </c>
      <c r="J49" s="560" t="str">
        <f t="shared" si="0"/>
        <v>업무대기</v>
      </c>
      <c r="K49" s="560" t="str">
        <f t="shared" si="0"/>
        <v>업무대기</v>
      </c>
      <c r="L49" s="560" t="str">
        <f t="shared" si="0"/>
        <v>업무대기</v>
      </c>
      <c r="M49" s="560" t="str">
        <f t="shared" si="0"/>
        <v>업무대기</v>
      </c>
      <c r="N49" s="560" t="str">
        <f t="shared" si="0"/>
        <v>업무대기</v>
      </c>
      <c r="O49" s="560"/>
      <c r="P49" s="561"/>
      <c r="Q49" s="495"/>
      <c r="R49" s="557"/>
      <c r="S49" s="531" t="s">
        <v>1082</v>
      </c>
      <c r="T49" s="526" t="s">
        <v>817</v>
      </c>
      <c r="U49" s="527" t="e">
        <f>U48-#REF!</f>
        <v>#REF!</v>
      </c>
      <c r="V49" s="532" t="s">
        <v>818</v>
      </c>
      <c r="W49" s="529" t="e">
        <f>(#REF!+BM49)/1000000</f>
        <v>#REF!</v>
      </c>
      <c r="X49" s="533"/>
      <c r="Y49" s="533"/>
      <c r="Z49" s="261"/>
      <c r="AA49" s="261"/>
      <c r="AB49" s="80" t="s">
        <v>817</v>
      </c>
      <c r="AC49" s="81" t="e">
        <f>AC48-#REF!</f>
        <v>#REF!</v>
      </c>
      <c r="AD49" s="82" t="s">
        <v>824</v>
      </c>
      <c r="AE49" s="83"/>
      <c r="AF49" s="77"/>
      <c r="AG49" s="77"/>
      <c r="AH49" s="77"/>
      <c r="AI49" s="77"/>
      <c r="AJ49" s="77"/>
      <c r="AK49" s="77"/>
      <c r="AL49" s="77"/>
      <c r="AM49" s="77"/>
      <c r="AN49" s="77"/>
      <c r="AO49" s="77"/>
      <c r="AP49" s="77"/>
      <c r="AQ49" s="77"/>
      <c r="AR49" s="77"/>
      <c r="AS49" s="77"/>
      <c r="AT49" s="68"/>
      <c r="AU49" s="77"/>
      <c r="AV49" s="77"/>
      <c r="AW49" s="77"/>
      <c r="AX49" s="77"/>
      <c r="AY49" s="77"/>
      <c r="AZ49" s="77"/>
      <c r="BA49" s="77"/>
      <c r="BB49" s="77"/>
      <c r="BD49" s="68"/>
      <c r="BE49" s="68"/>
      <c r="BF49" s="68"/>
      <c r="BG49" s="68"/>
      <c r="BH49" s="68"/>
      <c r="BI49" s="68"/>
    </row>
    <row r="50" spans="1:61" s="78" customFormat="1" ht="22.5" customHeight="1">
      <c r="A50" s="563" t="s">
        <v>1084</v>
      </c>
      <c r="B50" s="554">
        <v>0.33</v>
      </c>
      <c r="C50" s="555">
        <f>B50+D50+E50+F50+G50+H50+I50+J50+K50+L50+M50+N50+O50</f>
        <v>0.44000000000000011</v>
      </c>
      <c r="D50" s="525">
        <v>0.01</v>
      </c>
      <c r="E50" s="525">
        <v>0.01</v>
      </c>
      <c r="F50" s="525">
        <v>0.01</v>
      </c>
      <c r="G50" s="525">
        <v>0.01</v>
      </c>
      <c r="H50" s="525">
        <v>0.01</v>
      </c>
      <c r="I50" s="525">
        <v>0.01</v>
      </c>
      <c r="J50" s="525">
        <v>0.01</v>
      </c>
      <c r="K50" s="525">
        <v>0.01</v>
      </c>
      <c r="L50" s="525">
        <v>0.01</v>
      </c>
      <c r="M50" s="525">
        <v>0.01</v>
      </c>
      <c r="N50" s="525">
        <v>0.01</v>
      </c>
      <c r="O50" s="525"/>
      <c r="P50" s="490" t="str">
        <f>E51</f>
        <v>조합및시행사 업무지원</v>
      </c>
      <c r="Q50" s="490" t="s">
        <v>1087</v>
      </c>
      <c r="R50" s="553" t="s">
        <v>1085</v>
      </c>
      <c r="S50" s="537" t="s">
        <v>1086</v>
      </c>
      <c r="T50" s="521" t="s">
        <v>814</v>
      </c>
      <c r="U50" s="522">
        <f>BK50/1100000</f>
        <v>0</v>
      </c>
      <c r="V50" s="523" t="s">
        <v>832</v>
      </c>
      <c r="W50" s="524" t="e">
        <f>U50*0.75-(#REF!+W51)</f>
        <v>#REF!</v>
      </c>
      <c r="X50" s="299" t="s">
        <v>1075</v>
      </c>
      <c r="Y50" s="79" t="s">
        <v>1076</v>
      </c>
      <c r="Z50" s="260" t="s">
        <v>1088</v>
      </c>
      <c r="AA50" s="260"/>
      <c r="AB50" s="80" t="s">
        <v>814</v>
      </c>
      <c r="AC50" s="81">
        <v>3724600000</v>
      </c>
      <c r="AD50" s="82" t="s">
        <v>35</v>
      </c>
      <c r="AE50" s="83">
        <f>SUM(AF50:BB50)</f>
        <v>0</v>
      </c>
      <c r="AF50" s="91" t="s">
        <v>1078</v>
      </c>
      <c r="AG50" s="92"/>
      <c r="AH50" s="92" t="s">
        <v>1079</v>
      </c>
      <c r="AI50" s="92"/>
      <c r="AJ50" s="92" t="s">
        <v>1080</v>
      </c>
      <c r="AK50" s="92"/>
      <c r="AL50" s="92" t="s">
        <v>1080</v>
      </c>
      <c r="AM50" s="92"/>
      <c r="AN50" s="92" t="s">
        <v>1080</v>
      </c>
      <c r="AO50" s="92"/>
      <c r="AP50" s="92"/>
      <c r="AQ50" s="92"/>
      <c r="AR50" s="92"/>
      <c r="AS50" s="92"/>
      <c r="AU50" s="92"/>
      <c r="AV50" s="92"/>
      <c r="AW50" s="92"/>
      <c r="AX50" s="92"/>
      <c r="AY50" s="92"/>
      <c r="AZ50" s="92"/>
      <c r="BA50" s="92"/>
      <c r="BB50" s="92"/>
    </row>
    <row r="51" spans="1:61" s="78" customFormat="1" ht="22.5" customHeight="1" thickBot="1">
      <c r="A51" s="564"/>
      <c r="B51" s="558"/>
      <c r="C51" s="559"/>
      <c r="D51" s="560" t="s">
        <v>1091</v>
      </c>
      <c r="E51" s="560" t="str">
        <f t="shared" ref="E51:N51" si="1">D51</f>
        <v>조합및시행사 업무지원</v>
      </c>
      <c r="F51" s="560" t="str">
        <f t="shared" si="1"/>
        <v>조합및시행사 업무지원</v>
      </c>
      <c r="G51" s="560" t="str">
        <f t="shared" si="1"/>
        <v>조합및시행사 업무지원</v>
      </c>
      <c r="H51" s="560" t="str">
        <f t="shared" si="1"/>
        <v>조합및시행사 업무지원</v>
      </c>
      <c r="I51" s="560" t="str">
        <f t="shared" si="1"/>
        <v>조합및시행사 업무지원</v>
      </c>
      <c r="J51" s="560" t="str">
        <f t="shared" si="1"/>
        <v>조합및시행사 업무지원</v>
      </c>
      <c r="K51" s="560" t="str">
        <f t="shared" si="1"/>
        <v>조합및시행사 업무지원</v>
      </c>
      <c r="L51" s="560" t="str">
        <f t="shared" si="1"/>
        <v>조합및시행사 업무지원</v>
      </c>
      <c r="M51" s="560" t="str">
        <f t="shared" si="1"/>
        <v>조합및시행사 업무지원</v>
      </c>
      <c r="N51" s="560" t="str">
        <f t="shared" si="1"/>
        <v>조합및시행사 업무지원</v>
      </c>
      <c r="O51" s="560"/>
      <c r="P51" s="561"/>
      <c r="Q51" s="495"/>
      <c r="R51" s="557"/>
      <c r="S51" s="531" t="s">
        <v>1082</v>
      </c>
      <c r="T51" s="526" t="s">
        <v>817</v>
      </c>
      <c r="U51" s="527" t="e">
        <f>U50-#REF!</f>
        <v>#REF!</v>
      </c>
      <c r="V51" s="532" t="s">
        <v>818</v>
      </c>
      <c r="W51" s="529" t="e">
        <f>(#REF!+BM51)/1000000</f>
        <v>#REF!</v>
      </c>
      <c r="X51" s="533"/>
      <c r="Y51" s="533"/>
      <c r="Z51" s="261"/>
      <c r="AA51" s="261"/>
      <c r="AB51" s="80" t="s">
        <v>196</v>
      </c>
      <c r="AC51" s="81" t="e">
        <f>AC50-#REF!</f>
        <v>#REF!</v>
      </c>
      <c r="AD51" s="82" t="s">
        <v>100</v>
      </c>
      <c r="AE51" s="83"/>
      <c r="AF51" s="77"/>
      <c r="AG51" s="77"/>
      <c r="AH51" s="77"/>
      <c r="AI51" s="77"/>
      <c r="AJ51" s="77"/>
      <c r="AK51" s="77"/>
      <c r="AL51" s="77"/>
      <c r="AM51" s="77"/>
      <c r="AN51" s="77"/>
      <c r="AO51" s="77"/>
      <c r="AP51" s="77"/>
      <c r="AQ51" s="77"/>
      <c r="AR51" s="77"/>
      <c r="AS51" s="77"/>
      <c r="AT51" s="68"/>
      <c r="AU51" s="77"/>
      <c r="AV51" s="77"/>
      <c r="AW51" s="77"/>
      <c r="AX51" s="77"/>
      <c r="AY51" s="77"/>
      <c r="AZ51" s="77"/>
      <c r="BA51" s="77"/>
      <c r="BB51" s="77"/>
      <c r="BD51" s="68"/>
      <c r="BE51" s="68"/>
      <c r="BF51" s="68"/>
      <c r="BG51" s="68"/>
      <c r="BH51" s="68"/>
      <c r="BI51" s="68"/>
    </row>
    <row r="52" spans="1:61" s="78" customFormat="1" ht="22.5" customHeight="1">
      <c r="A52" s="490" t="s">
        <v>1092</v>
      </c>
      <c r="B52" s="554">
        <v>0.38</v>
      </c>
      <c r="C52" s="555">
        <f>B52+D52+E52+F52+G52+H52+I52+J52+K52+L52+M52+N52+O52</f>
        <v>0.38</v>
      </c>
      <c r="D52" s="525">
        <v>0</v>
      </c>
      <c r="E52" s="525">
        <v>0</v>
      </c>
      <c r="F52" s="525">
        <v>0</v>
      </c>
      <c r="G52" s="525">
        <v>0</v>
      </c>
      <c r="H52" s="525">
        <v>0</v>
      </c>
      <c r="I52" s="525">
        <v>0</v>
      </c>
      <c r="J52" s="525">
        <v>0</v>
      </c>
      <c r="K52" s="525">
        <v>0</v>
      </c>
      <c r="L52" s="525">
        <v>0</v>
      </c>
      <c r="M52" s="525">
        <v>0</v>
      </c>
      <c r="N52" s="525">
        <v>0</v>
      </c>
      <c r="O52" s="525"/>
      <c r="P52" s="490" t="str">
        <f>I53</f>
        <v>업무대기</v>
      </c>
      <c r="Q52" s="490" t="s">
        <v>1087</v>
      </c>
      <c r="R52" s="553" t="s">
        <v>1093</v>
      </c>
      <c r="S52" s="537" t="s">
        <v>1094</v>
      </c>
      <c r="T52" s="521" t="s">
        <v>89</v>
      </c>
      <c r="U52" s="522">
        <f>BK52/1100000</f>
        <v>0</v>
      </c>
      <c r="V52" s="523" t="s">
        <v>7</v>
      </c>
      <c r="W52" s="524" t="e">
        <f>U52*0.75-(#REF!+W53)</f>
        <v>#REF!</v>
      </c>
      <c r="X52" s="299" t="s">
        <v>1075</v>
      </c>
      <c r="Y52" s="79" t="s">
        <v>1076</v>
      </c>
      <c r="Z52" s="260" t="s">
        <v>1095</v>
      </c>
      <c r="AA52" s="260"/>
      <c r="AB52" s="80" t="s">
        <v>814</v>
      </c>
      <c r="AC52" s="81">
        <v>457700000</v>
      </c>
      <c r="AD52" s="82" t="s">
        <v>35</v>
      </c>
      <c r="AE52" s="83">
        <f>SUM(AF52:BB52)</f>
        <v>0</v>
      </c>
      <c r="AF52" s="91" t="s">
        <v>1078</v>
      </c>
      <c r="AG52" s="92"/>
      <c r="AH52" s="92" t="s">
        <v>1079</v>
      </c>
      <c r="AI52" s="92"/>
      <c r="AJ52" s="92" t="s">
        <v>1080</v>
      </c>
      <c r="AK52" s="92"/>
      <c r="AL52" s="92" t="s">
        <v>1080</v>
      </c>
      <c r="AM52" s="92"/>
      <c r="AN52" s="92" t="s">
        <v>1080</v>
      </c>
      <c r="AO52" s="92"/>
      <c r="AP52" s="92"/>
      <c r="AQ52" s="92"/>
      <c r="AR52" s="92"/>
      <c r="AS52" s="92"/>
      <c r="AU52" s="92"/>
      <c r="AV52" s="92"/>
      <c r="AW52" s="92"/>
      <c r="AX52" s="92"/>
      <c r="AY52" s="92"/>
      <c r="AZ52" s="92"/>
      <c r="BA52" s="92"/>
      <c r="BB52" s="92"/>
    </row>
    <row r="53" spans="1:61" s="78" customFormat="1" ht="22.5" customHeight="1" thickBot="1">
      <c r="A53" s="495"/>
      <c r="B53" s="558"/>
      <c r="C53" s="559"/>
      <c r="D53" s="560" t="s">
        <v>1083</v>
      </c>
      <c r="E53" s="560" t="str">
        <f>D53</f>
        <v>업무대기</v>
      </c>
      <c r="F53" s="560" t="str">
        <f>E53</f>
        <v>업무대기</v>
      </c>
      <c r="G53" s="560" t="s">
        <v>1097</v>
      </c>
      <c r="H53" s="560" t="s">
        <v>1098</v>
      </c>
      <c r="I53" s="560" t="s">
        <v>77</v>
      </c>
      <c r="J53" s="560" t="str">
        <f>I53</f>
        <v>업무대기</v>
      </c>
      <c r="K53" s="560" t="str">
        <f>J53</f>
        <v>업무대기</v>
      </c>
      <c r="L53" s="560" t="str">
        <f>K53</f>
        <v>업무대기</v>
      </c>
      <c r="M53" s="560" t="str">
        <f>L53</f>
        <v>업무대기</v>
      </c>
      <c r="N53" s="560" t="str">
        <f>M53</f>
        <v>업무대기</v>
      </c>
      <c r="O53" s="560"/>
      <c r="P53" s="561"/>
      <c r="Q53" s="495"/>
      <c r="R53" s="557"/>
      <c r="S53" s="531" t="s">
        <v>1096</v>
      </c>
      <c r="T53" s="526" t="s">
        <v>817</v>
      </c>
      <c r="U53" s="527" t="e">
        <f>U52-#REF!</f>
        <v>#REF!</v>
      </c>
      <c r="V53" s="532" t="s">
        <v>818</v>
      </c>
      <c r="W53" s="529" t="e">
        <f>(#REF!+BM53)/1000000</f>
        <v>#REF!</v>
      </c>
      <c r="X53" s="533"/>
      <c r="Y53" s="533"/>
      <c r="Z53" s="261"/>
      <c r="AA53" s="261"/>
      <c r="AB53" s="80" t="s">
        <v>196</v>
      </c>
      <c r="AC53" s="81" t="e">
        <f>AC52-#REF!</f>
        <v>#REF!</v>
      </c>
      <c r="AD53" s="82" t="s">
        <v>100</v>
      </c>
      <c r="AE53" s="83"/>
      <c r="AF53" s="77"/>
      <c r="AG53" s="77"/>
      <c r="AH53" s="77"/>
      <c r="AI53" s="77"/>
      <c r="AJ53" s="77"/>
      <c r="AK53" s="77"/>
      <c r="AL53" s="77"/>
      <c r="AM53" s="77"/>
      <c r="AN53" s="77"/>
      <c r="AO53" s="77"/>
      <c r="AP53" s="77"/>
      <c r="AQ53" s="77"/>
      <c r="AR53" s="77"/>
      <c r="AS53" s="77"/>
      <c r="AT53" s="68"/>
      <c r="AU53" s="77"/>
      <c r="AV53" s="77"/>
      <c r="AW53" s="77"/>
      <c r="AX53" s="77"/>
      <c r="AY53" s="77"/>
      <c r="AZ53" s="77"/>
      <c r="BA53" s="77"/>
      <c r="BB53" s="77"/>
      <c r="BD53" s="68"/>
      <c r="BE53" s="68"/>
      <c r="BF53" s="68"/>
      <c r="BG53" s="68"/>
      <c r="BH53" s="68"/>
      <c r="BI53" s="68"/>
    </row>
    <row r="54" spans="1:61" s="78" customFormat="1" ht="22.5" customHeight="1">
      <c r="A54" s="490" t="s">
        <v>1099</v>
      </c>
      <c r="B54" s="554">
        <v>0.1</v>
      </c>
      <c r="C54" s="555">
        <f>B54+D54+E54+F54+G54+H54+I54+J54+K54+L54+M54+N54+O54</f>
        <v>0.1</v>
      </c>
      <c r="D54" s="525">
        <v>0</v>
      </c>
      <c r="E54" s="525">
        <v>0</v>
      </c>
      <c r="F54" s="525">
        <v>0</v>
      </c>
      <c r="G54" s="525">
        <v>0</v>
      </c>
      <c r="H54" s="525">
        <v>0</v>
      </c>
      <c r="I54" s="525">
        <v>0</v>
      </c>
      <c r="J54" s="525">
        <v>0</v>
      </c>
      <c r="K54" s="525">
        <v>0</v>
      </c>
      <c r="L54" s="525">
        <v>0</v>
      </c>
      <c r="M54" s="525">
        <v>0</v>
      </c>
      <c r="N54" s="525">
        <v>0</v>
      </c>
      <c r="O54" s="525"/>
      <c r="P54" s="556" t="str">
        <f>D55</f>
        <v>업무대기</v>
      </c>
      <c r="Q54" s="490" t="s">
        <v>1102</v>
      </c>
      <c r="R54" s="553" t="s">
        <v>1100</v>
      </c>
      <c r="S54" s="537" t="s">
        <v>1101</v>
      </c>
      <c r="T54" s="521" t="s">
        <v>89</v>
      </c>
      <c r="U54" s="522">
        <f>BK54/1100000</f>
        <v>0</v>
      </c>
      <c r="V54" s="523" t="s">
        <v>7</v>
      </c>
      <c r="W54" s="524" t="e">
        <f>U54*0.75-(#REF!+W55)</f>
        <v>#REF!</v>
      </c>
      <c r="X54" s="299" t="s">
        <v>1075</v>
      </c>
      <c r="Y54" s="79" t="s">
        <v>1076</v>
      </c>
      <c r="Z54" s="260" t="s">
        <v>1103</v>
      </c>
      <c r="AA54" s="260"/>
      <c r="AB54" s="80" t="s">
        <v>89</v>
      </c>
      <c r="AC54" s="81">
        <v>195600000</v>
      </c>
      <c r="AD54" s="82" t="s">
        <v>98</v>
      </c>
      <c r="AE54" s="83">
        <f>SUM(AF54:BB54)</f>
        <v>0</v>
      </c>
      <c r="AF54" s="91" t="s">
        <v>1104</v>
      </c>
      <c r="AG54" s="92"/>
      <c r="AH54" s="92" t="s">
        <v>1105</v>
      </c>
      <c r="AI54" s="92"/>
      <c r="AJ54" s="92" t="s">
        <v>207</v>
      </c>
      <c r="AK54" s="92"/>
      <c r="AL54" s="92" t="s">
        <v>207</v>
      </c>
      <c r="AM54" s="92"/>
      <c r="AN54" s="92" t="s">
        <v>207</v>
      </c>
      <c r="AO54" s="92"/>
      <c r="AP54" s="92"/>
      <c r="AQ54" s="92"/>
      <c r="AR54" s="92"/>
      <c r="AS54" s="92"/>
      <c r="AU54" s="92"/>
      <c r="AV54" s="92"/>
      <c r="AW54" s="92"/>
      <c r="AX54" s="92"/>
      <c r="AY54" s="92"/>
      <c r="AZ54" s="92"/>
      <c r="BA54" s="92"/>
      <c r="BB54" s="92"/>
    </row>
    <row r="55" spans="1:61" s="78" customFormat="1" ht="22.5" customHeight="1" thickBot="1">
      <c r="A55" s="495"/>
      <c r="B55" s="558"/>
      <c r="C55" s="559"/>
      <c r="D55" s="560" t="s">
        <v>77</v>
      </c>
      <c r="E55" s="560" t="str">
        <f>D55</f>
        <v>업무대기</v>
      </c>
      <c r="F55" s="560" t="str">
        <f>E55</f>
        <v>업무대기</v>
      </c>
      <c r="G55" s="560" t="s">
        <v>1083</v>
      </c>
      <c r="H55" s="560" t="str">
        <f t="shared" ref="H55:N55" si="2">G55</f>
        <v>업무대기</v>
      </c>
      <c r="I55" s="560" t="str">
        <f t="shared" si="2"/>
        <v>업무대기</v>
      </c>
      <c r="J55" s="560" t="str">
        <f t="shared" si="2"/>
        <v>업무대기</v>
      </c>
      <c r="K55" s="560" t="str">
        <f t="shared" si="2"/>
        <v>업무대기</v>
      </c>
      <c r="L55" s="560" t="str">
        <f t="shared" si="2"/>
        <v>업무대기</v>
      </c>
      <c r="M55" s="560" t="str">
        <f t="shared" si="2"/>
        <v>업무대기</v>
      </c>
      <c r="N55" s="560" t="str">
        <f t="shared" si="2"/>
        <v>업무대기</v>
      </c>
      <c r="O55" s="560"/>
      <c r="P55" s="561"/>
      <c r="Q55" s="495"/>
      <c r="R55" s="557"/>
      <c r="S55" s="531" t="s">
        <v>450</v>
      </c>
      <c r="T55" s="526" t="s">
        <v>196</v>
      </c>
      <c r="U55" s="527" t="e">
        <f>U54-#REF!</f>
        <v>#REF!</v>
      </c>
      <c r="V55" s="532" t="s">
        <v>15</v>
      </c>
      <c r="W55" s="529" t="e">
        <f>(#REF!+BM55)/1000000</f>
        <v>#REF!</v>
      </c>
      <c r="X55" s="533"/>
      <c r="Y55" s="533"/>
      <c r="Z55" s="261"/>
      <c r="AA55" s="261"/>
      <c r="AB55" s="80" t="s">
        <v>817</v>
      </c>
      <c r="AC55" s="81" t="e">
        <f>AC54-#REF!</f>
        <v>#REF!</v>
      </c>
      <c r="AD55" s="82" t="s">
        <v>824</v>
      </c>
      <c r="AE55" s="83"/>
      <c r="AF55" s="77"/>
      <c r="AG55" s="77"/>
      <c r="AH55" s="77"/>
      <c r="AI55" s="77"/>
      <c r="AJ55" s="77"/>
      <c r="AK55" s="77"/>
      <c r="AL55" s="77"/>
      <c r="AM55" s="77"/>
      <c r="AN55" s="77"/>
      <c r="AO55" s="77"/>
      <c r="AP55" s="77"/>
      <c r="AQ55" s="77"/>
      <c r="AR55" s="77"/>
      <c r="AS55" s="77"/>
      <c r="AT55" s="68"/>
      <c r="AU55" s="77"/>
      <c r="AV55" s="77"/>
      <c r="AW55" s="77"/>
      <c r="AX55" s="77"/>
      <c r="AY55" s="77"/>
      <c r="AZ55" s="77"/>
      <c r="BA55" s="77"/>
      <c r="BB55" s="77"/>
      <c r="BD55" s="68"/>
      <c r="BE55" s="68"/>
      <c r="BF55" s="68"/>
      <c r="BG55" s="68"/>
      <c r="BH55" s="68"/>
      <c r="BI55" s="68"/>
    </row>
    <row r="56" spans="1:61" s="78" customFormat="1" ht="22.5" customHeight="1">
      <c r="A56" s="490" t="s">
        <v>1106</v>
      </c>
      <c r="B56" s="554">
        <v>0.8</v>
      </c>
      <c r="C56" s="555">
        <f>B56+D56+E56+F56+G56+H56+I56+J56+K56+L56+M56+N56+O56</f>
        <v>1</v>
      </c>
      <c r="D56" s="525">
        <v>0.1</v>
      </c>
      <c r="E56" s="525">
        <v>0.05</v>
      </c>
      <c r="F56" s="525">
        <v>0.03</v>
      </c>
      <c r="G56" s="525">
        <v>0.01</v>
      </c>
      <c r="H56" s="525">
        <v>0.01</v>
      </c>
      <c r="I56" s="525">
        <v>0</v>
      </c>
      <c r="J56" s="525">
        <v>0</v>
      </c>
      <c r="K56" s="525">
        <v>0</v>
      </c>
      <c r="L56" s="525">
        <v>0</v>
      </c>
      <c r="M56" s="525">
        <v>0</v>
      </c>
      <c r="N56" s="525">
        <v>0</v>
      </c>
      <c r="O56" s="525"/>
      <c r="P56" s="490" t="s">
        <v>1109</v>
      </c>
      <c r="Q56" s="490" t="s">
        <v>1110</v>
      </c>
      <c r="R56" s="553" t="s">
        <v>1107</v>
      </c>
      <c r="S56" s="537" t="s">
        <v>1108</v>
      </c>
      <c r="T56" s="521" t="s">
        <v>814</v>
      </c>
      <c r="U56" s="522">
        <f>BK56/1100000</f>
        <v>0</v>
      </c>
      <c r="V56" s="523" t="s">
        <v>832</v>
      </c>
      <c r="W56" s="524" t="e">
        <f>U56*0.75-(#REF!+W57)</f>
        <v>#REF!</v>
      </c>
      <c r="X56" s="299" t="s">
        <v>1075</v>
      </c>
      <c r="Y56" s="79" t="s">
        <v>1076</v>
      </c>
      <c r="Z56" s="260" t="s">
        <v>1111</v>
      </c>
      <c r="AA56" s="260"/>
      <c r="AB56" s="80" t="s">
        <v>814</v>
      </c>
      <c r="AC56" s="81">
        <v>232916610</v>
      </c>
      <c r="AD56" s="82" t="s">
        <v>35</v>
      </c>
      <c r="AE56" s="83">
        <f>SUM(AF56:BB56)</f>
        <v>70280000</v>
      </c>
      <c r="AF56" s="91" t="s">
        <v>1112</v>
      </c>
      <c r="AG56" s="92">
        <v>13300000</v>
      </c>
      <c r="AH56" s="92" t="s">
        <v>1113</v>
      </c>
      <c r="AI56" s="92">
        <v>56980000</v>
      </c>
      <c r="AJ56" s="92" t="s">
        <v>1080</v>
      </c>
      <c r="AK56" s="92"/>
      <c r="AL56" s="92" t="s">
        <v>1080</v>
      </c>
      <c r="AM56" s="92"/>
      <c r="AN56" s="92" t="s">
        <v>1080</v>
      </c>
      <c r="AO56" s="92"/>
      <c r="AP56" s="92"/>
      <c r="AQ56" s="92"/>
      <c r="AR56" s="92"/>
      <c r="AS56" s="92"/>
      <c r="AU56" s="92"/>
      <c r="AV56" s="92"/>
      <c r="AW56" s="92"/>
      <c r="AX56" s="92"/>
      <c r="AY56" s="92"/>
      <c r="AZ56" s="92"/>
      <c r="BA56" s="92"/>
      <c r="BB56" s="92"/>
    </row>
    <row r="57" spans="1:61" s="78" customFormat="1" ht="22.5" customHeight="1" thickBot="1">
      <c r="A57" s="495"/>
      <c r="B57" s="558"/>
      <c r="C57" s="559"/>
      <c r="D57" s="560" t="s">
        <v>1114</v>
      </c>
      <c r="E57" s="560" t="s">
        <v>1115</v>
      </c>
      <c r="F57" s="560" t="s">
        <v>1116</v>
      </c>
      <c r="G57" s="560" t="s">
        <v>1117</v>
      </c>
      <c r="H57" s="560" t="s">
        <v>1119</v>
      </c>
      <c r="I57" s="560" t="str">
        <f>H57</f>
        <v>준공성과품작성</v>
      </c>
      <c r="J57" s="560" t="s">
        <v>1120</v>
      </c>
      <c r="K57" s="560" t="str">
        <f>J57</f>
        <v>용역준공</v>
      </c>
      <c r="L57" s="560" t="str">
        <f>K57</f>
        <v>용역준공</v>
      </c>
      <c r="M57" s="560" t="str">
        <f>L57</f>
        <v>용역준공</v>
      </c>
      <c r="N57" s="560" t="str">
        <f>M57</f>
        <v>용역준공</v>
      </c>
      <c r="O57" s="560"/>
      <c r="P57" s="495"/>
      <c r="Q57" s="495"/>
      <c r="R57" s="557"/>
      <c r="S57" s="531"/>
      <c r="T57" s="526" t="s">
        <v>817</v>
      </c>
      <c r="U57" s="527" t="e">
        <f>U56-#REF!</f>
        <v>#REF!</v>
      </c>
      <c r="V57" s="532" t="s">
        <v>818</v>
      </c>
      <c r="W57" s="529" t="e">
        <f>(#REF!+BM57)/1000000</f>
        <v>#REF!</v>
      </c>
      <c r="X57" s="533"/>
      <c r="Y57" s="533"/>
      <c r="Z57" s="261"/>
      <c r="AA57" s="261"/>
      <c r="AB57" s="80" t="s">
        <v>196</v>
      </c>
      <c r="AC57" s="81" t="e">
        <f>AC56-#REF!</f>
        <v>#REF!</v>
      </c>
      <c r="AD57" s="82" t="s">
        <v>100</v>
      </c>
      <c r="AE57" s="83"/>
      <c r="AF57" s="77"/>
      <c r="AG57" s="77"/>
      <c r="AH57" s="77"/>
      <c r="AI57" s="77"/>
      <c r="AJ57" s="77"/>
      <c r="AK57" s="77"/>
      <c r="AL57" s="77"/>
      <c r="AM57" s="77"/>
      <c r="AN57" s="77"/>
      <c r="AO57" s="77"/>
      <c r="AP57" s="77"/>
      <c r="AQ57" s="77"/>
      <c r="AR57" s="77"/>
      <c r="AS57" s="77"/>
      <c r="AT57" s="68"/>
      <c r="AU57" s="77"/>
      <c r="AV57" s="77"/>
      <c r="AW57" s="77"/>
      <c r="AX57" s="77"/>
      <c r="AY57" s="77"/>
      <c r="AZ57" s="77"/>
      <c r="BA57" s="77"/>
      <c r="BB57" s="77"/>
      <c r="BD57" s="68"/>
      <c r="BE57" s="68"/>
      <c r="BF57" s="68"/>
      <c r="BG57" s="68"/>
      <c r="BH57" s="68"/>
      <c r="BI57" s="68"/>
    </row>
    <row r="58" spans="1:61" s="78" customFormat="1" ht="22.5" customHeight="1">
      <c r="A58" s="490" t="s">
        <v>1122</v>
      </c>
      <c r="B58" s="554">
        <v>0.75</v>
      </c>
      <c r="C58" s="555">
        <f>B58+D58+E58+F58+G58+H58+I58+J58+K58+L58+M58+N58+O58</f>
        <v>1</v>
      </c>
      <c r="D58" s="525">
        <v>0.1</v>
      </c>
      <c r="E58" s="525">
        <v>0.1</v>
      </c>
      <c r="F58" s="525">
        <v>0.03</v>
      </c>
      <c r="G58" s="525">
        <v>0.01</v>
      </c>
      <c r="H58" s="525">
        <v>0.01</v>
      </c>
      <c r="I58" s="525">
        <v>0</v>
      </c>
      <c r="J58" s="525">
        <v>0</v>
      </c>
      <c r="K58" s="525">
        <v>0</v>
      </c>
      <c r="L58" s="525">
        <v>0</v>
      </c>
      <c r="M58" s="525">
        <v>0</v>
      </c>
      <c r="N58" s="525">
        <v>0</v>
      </c>
      <c r="O58" s="525"/>
      <c r="P58" s="566" t="str">
        <f>I59</f>
        <v>용역준공</v>
      </c>
      <c r="Q58" s="490" t="s">
        <v>1125</v>
      </c>
      <c r="R58" s="553" t="s">
        <v>1123</v>
      </c>
      <c r="S58" s="537" t="s">
        <v>1124</v>
      </c>
      <c r="T58" s="521" t="s">
        <v>89</v>
      </c>
      <c r="U58" s="522">
        <f>BK58/1100000</f>
        <v>0</v>
      </c>
      <c r="V58" s="523" t="s">
        <v>7</v>
      </c>
      <c r="W58" s="524" t="e">
        <f>U58*0.75-(#REF!+W59)</f>
        <v>#REF!</v>
      </c>
      <c r="X58" s="299" t="s">
        <v>1075</v>
      </c>
      <c r="Y58" s="79" t="s">
        <v>1076</v>
      </c>
      <c r="Z58" s="260" t="s">
        <v>1126</v>
      </c>
      <c r="AA58" s="260"/>
      <c r="AB58" s="80" t="s">
        <v>814</v>
      </c>
      <c r="AC58" s="81">
        <v>127826000</v>
      </c>
      <c r="AD58" s="82" t="s">
        <v>35</v>
      </c>
      <c r="AE58" s="83">
        <f>SUM(AF58:BB58)</f>
        <v>29790000</v>
      </c>
      <c r="AF58" s="91" t="s">
        <v>1078</v>
      </c>
      <c r="AG58" s="92">
        <v>8630000</v>
      </c>
      <c r="AH58" s="92" t="s">
        <v>1113</v>
      </c>
      <c r="AI58" s="92">
        <v>21160000</v>
      </c>
      <c r="AJ58" s="92" t="s">
        <v>1080</v>
      </c>
      <c r="AK58" s="92"/>
      <c r="AL58" s="92" t="s">
        <v>1080</v>
      </c>
      <c r="AM58" s="92"/>
      <c r="AN58" s="92" t="s">
        <v>1080</v>
      </c>
      <c r="AO58" s="92"/>
      <c r="AP58" s="92"/>
      <c r="AQ58" s="92"/>
      <c r="AR58" s="92"/>
      <c r="AS58" s="92"/>
      <c r="AU58" s="92"/>
      <c r="AV58" s="92"/>
      <c r="AW58" s="92"/>
      <c r="AX58" s="92"/>
      <c r="AY58" s="92"/>
      <c r="AZ58" s="92"/>
      <c r="BA58" s="92"/>
      <c r="BB58" s="92"/>
    </row>
    <row r="59" spans="1:61" s="78" customFormat="1" ht="22.5" customHeight="1" thickBot="1">
      <c r="A59" s="495"/>
      <c r="B59" s="558"/>
      <c r="C59" s="559"/>
      <c r="D59" s="560" t="s">
        <v>1127</v>
      </c>
      <c r="E59" s="560" t="str">
        <f>D59</f>
        <v>세부설계진행</v>
      </c>
      <c r="F59" s="560" t="s">
        <v>1128</v>
      </c>
      <c r="G59" s="560" t="s">
        <v>1129</v>
      </c>
      <c r="H59" s="560" t="s">
        <v>1118</v>
      </c>
      <c r="I59" s="560" t="s">
        <v>1120</v>
      </c>
      <c r="J59" s="560" t="s">
        <v>1120</v>
      </c>
      <c r="K59" s="560" t="str">
        <f>J59</f>
        <v>용역준공</v>
      </c>
      <c r="L59" s="560" t="str">
        <f>K59</f>
        <v>용역준공</v>
      </c>
      <c r="M59" s="560" t="str">
        <f>L59</f>
        <v>용역준공</v>
      </c>
      <c r="N59" s="560" t="str">
        <f>M59</f>
        <v>용역준공</v>
      </c>
      <c r="O59" s="560"/>
      <c r="P59" s="567"/>
      <c r="Q59" s="495"/>
      <c r="R59" s="557"/>
      <c r="S59" s="531"/>
      <c r="T59" s="526" t="s">
        <v>817</v>
      </c>
      <c r="U59" s="527" t="e">
        <f>U58-#REF!</f>
        <v>#REF!</v>
      </c>
      <c r="V59" s="532" t="s">
        <v>818</v>
      </c>
      <c r="W59" s="529" t="e">
        <f>(#REF!+BM59)/1000000</f>
        <v>#REF!</v>
      </c>
      <c r="X59" s="533"/>
      <c r="Y59" s="533"/>
      <c r="Z59" s="261"/>
      <c r="AA59" s="261"/>
      <c r="AB59" s="80" t="s">
        <v>196</v>
      </c>
      <c r="AC59" s="81" t="e">
        <f>AC58-#REF!</f>
        <v>#REF!</v>
      </c>
      <c r="AD59" s="82" t="s">
        <v>100</v>
      </c>
      <c r="AE59" s="83"/>
      <c r="AF59" s="77"/>
      <c r="AG59" s="77"/>
      <c r="AH59" s="77"/>
      <c r="AI59" s="77"/>
      <c r="AJ59" s="77"/>
      <c r="AK59" s="77"/>
      <c r="AL59" s="77"/>
      <c r="AM59" s="77"/>
      <c r="AN59" s="77"/>
      <c r="AO59" s="77"/>
      <c r="AP59" s="77"/>
      <c r="AQ59" s="77"/>
      <c r="AR59" s="77"/>
      <c r="AS59" s="77"/>
      <c r="AT59" s="68"/>
      <c r="AU59" s="77"/>
      <c r="AV59" s="77"/>
      <c r="AW59" s="77"/>
      <c r="AX59" s="77"/>
      <c r="AY59" s="77"/>
      <c r="AZ59" s="77"/>
      <c r="BA59" s="77"/>
      <c r="BB59" s="77"/>
      <c r="BD59" s="68"/>
      <c r="BE59" s="68"/>
      <c r="BF59" s="68"/>
      <c r="BG59" s="68"/>
      <c r="BH59" s="68"/>
      <c r="BI59" s="68"/>
    </row>
    <row r="60" spans="1:61" s="78" customFormat="1" ht="22.5" customHeight="1">
      <c r="A60" s="490" t="s">
        <v>1130</v>
      </c>
      <c r="B60" s="554">
        <v>0.85</v>
      </c>
      <c r="C60" s="555">
        <f>B60+D60+E60+F60+G60+H60+I60+J60+K60+L60+M60+N60+O60</f>
        <v>0.85</v>
      </c>
      <c r="D60" s="525">
        <v>0</v>
      </c>
      <c r="E60" s="525">
        <v>0</v>
      </c>
      <c r="F60" s="525">
        <v>0</v>
      </c>
      <c r="G60" s="525">
        <v>0</v>
      </c>
      <c r="H60" s="525">
        <v>0</v>
      </c>
      <c r="I60" s="525">
        <v>0</v>
      </c>
      <c r="J60" s="525">
        <v>0</v>
      </c>
      <c r="K60" s="525">
        <v>0</v>
      </c>
      <c r="L60" s="525">
        <v>0</v>
      </c>
      <c r="M60" s="525">
        <v>0</v>
      </c>
      <c r="N60" s="525">
        <v>0</v>
      </c>
      <c r="O60" s="525"/>
      <c r="P60" s="566" t="str">
        <f>N61</f>
        <v>과업재개</v>
      </c>
      <c r="Q60" s="490" t="s">
        <v>1133</v>
      </c>
      <c r="R60" s="553" t="s">
        <v>1131</v>
      </c>
      <c r="S60" s="537" t="s">
        <v>1132</v>
      </c>
      <c r="T60" s="521" t="s">
        <v>89</v>
      </c>
      <c r="U60" s="522">
        <f>BK60/1100000</f>
        <v>0</v>
      </c>
      <c r="V60" s="523" t="s">
        <v>7</v>
      </c>
      <c r="W60" s="524" t="e">
        <f>U60*0.75-(#REF!+W61)</f>
        <v>#REF!</v>
      </c>
      <c r="X60" s="299" t="s">
        <v>1075</v>
      </c>
      <c r="Y60" s="79" t="s">
        <v>1076</v>
      </c>
      <c r="Z60" s="260" t="s">
        <v>1126</v>
      </c>
      <c r="AA60" s="260"/>
      <c r="AB60" s="80" t="s">
        <v>814</v>
      </c>
      <c r="AC60" s="81">
        <v>118915020</v>
      </c>
      <c r="AD60" s="82" t="s">
        <v>35</v>
      </c>
      <c r="AE60" s="83">
        <f>SUM(AF60:BB60)</f>
        <v>60535000</v>
      </c>
      <c r="AF60" s="91" t="s">
        <v>1112</v>
      </c>
      <c r="AG60" s="92">
        <v>16840000</v>
      </c>
      <c r="AH60" s="92" t="s">
        <v>1113</v>
      </c>
      <c r="AI60" s="92">
        <v>43695000</v>
      </c>
      <c r="AJ60" s="92" t="s">
        <v>1080</v>
      </c>
      <c r="AK60" s="92"/>
      <c r="AL60" s="92" t="s">
        <v>1080</v>
      </c>
      <c r="AM60" s="92"/>
      <c r="AN60" s="92" t="s">
        <v>1080</v>
      </c>
      <c r="AO60" s="92"/>
      <c r="AP60" s="92"/>
      <c r="AQ60" s="92"/>
      <c r="AR60" s="92"/>
      <c r="AS60" s="92"/>
      <c r="AU60" s="92"/>
      <c r="AV60" s="92"/>
      <c r="AW60" s="92"/>
      <c r="AX60" s="92"/>
      <c r="AY60" s="92"/>
      <c r="AZ60" s="92"/>
      <c r="BA60" s="92"/>
      <c r="BB60" s="92"/>
    </row>
    <row r="61" spans="1:61" s="78" customFormat="1" ht="22.5" customHeight="1" thickBot="1">
      <c r="A61" s="495"/>
      <c r="B61" s="558"/>
      <c r="C61" s="559"/>
      <c r="D61" s="560" t="s">
        <v>1135</v>
      </c>
      <c r="E61" s="560" t="str">
        <f t="shared" ref="E61:M61" si="3">D61</f>
        <v>사업진행 발주처 내부검토</v>
      </c>
      <c r="F61" s="560" t="str">
        <f t="shared" si="3"/>
        <v>사업진행 발주처 내부검토</v>
      </c>
      <c r="G61" s="560" t="str">
        <f t="shared" si="3"/>
        <v>사업진행 발주처 내부검토</v>
      </c>
      <c r="H61" s="560" t="str">
        <f t="shared" si="3"/>
        <v>사업진행 발주처 내부검토</v>
      </c>
      <c r="I61" s="560" t="str">
        <f t="shared" si="3"/>
        <v>사업진행 발주처 내부검토</v>
      </c>
      <c r="J61" s="560" t="str">
        <f t="shared" si="3"/>
        <v>사업진행 발주처 내부검토</v>
      </c>
      <c r="K61" s="560" t="str">
        <f t="shared" si="3"/>
        <v>사업진행 발주처 내부검토</v>
      </c>
      <c r="L61" s="560" t="str">
        <f t="shared" si="3"/>
        <v>사업진행 발주처 내부검토</v>
      </c>
      <c r="M61" s="560" t="str">
        <f t="shared" si="3"/>
        <v>사업진행 발주처 내부검토</v>
      </c>
      <c r="N61" s="560" t="s">
        <v>1136</v>
      </c>
      <c r="O61" s="560"/>
      <c r="P61" s="568"/>
      <c r="Q61" s="495"/>
      <c r="R61" s="557"/>
      <c r="S61" s="531" t="s">
        <v>1134</v>
      </c>
      <c r="T61" s="526" t="s">
        <v>817</v>
      </c>
      <c r="U61" s="527" t="e">
        <f>U60-#REF!</f>
        <v>#REF!</v>
      </c>
      <c r="V61" s="532" t="s">
        <v>818</v>
      </c>
      <c r="W61" s="529" t="e">
        <f>(#REF!+BM61)/1000000</f>
        <v>#REF!</v>
      </c>
      <c r="X61" s="533"/>
      <c r="Y61" s="533"/>
      <c r="Z61" s="261"/>
      <c r="AA61" s="261"/>
      <c r="AB61" s="80" t="s">
        <v>817</v>
      </c>
      <c r="AC61" s="81" t="e">
        <f>AC60-#REF!</f>
        <v>#REF!</v>
      </c>
      <c r="AD61" s="82" t="s">
        <v>824</v>
      </c>
      <c r="AE61" s="83"/>
      <c r="AF61" s="77"/>
      <c r="AG61" s="77"/>
      <c r="AH61" s="77"/>
      <c r="AI61" s="77"/>
      <c r="AJ61" s="77"/>
      <c r="AK61" s="77"/>
      <c r="AL61" s="77"/>
      <c r="AM61" s="77"/>
      <c r="AN61" s="77"/>
      <c r="AO61" s="77"/>
      <c r="AP61" s="77"/>
      <c r="AQ61" s="77"/>
      <c r="AR61" s="77"/>
      <c r="AS61" s="77"/>
      <c r="AT61" s="68"/>
      <c r="AU61" s="77"/>
      <c r="AV61" s="77"/>
      <c r="AW61" s="77"/>
      <c r="AX61" s="77"/>
      <c r="AY61" s="77"/>
      <c r="AZ61" s="77"/>
      <c r="BA61" s="77"/>
      <c r="BB61" s="77"/>
      <c r="BD61" s="68"/>
      <c r="BE61" s="68"/>
      <c r="BF61" s="68"/>
      <c r="BG61" s="68"/>
      <c r="BH61" s="68"/>
      <c r="BI61" s="68"/>
    </row>
    <row r="62" spans="1:61" s="78" customFormat="1" ht="22.5" customHeight="1">
      <c r="A62" s="490" t="s">
        <v>1137</v>
      </c>
      <c r="B62" s="554">
        <v>0.95</v>
      </c>
      <c r="C62" s="555">
        <f>B62+D62+E62+F62+G62+H62+I62+J62+K62+L62+M62+N62+O62</f>
        <v>1</v>
      </c>
      <c r="D62" s="525">
        <v>0</v>
      </c>
      <c r="E62" s="525">
        <v>0</v>
      </c>
      <c r="F62" s="525">
        <v>0</v>
      </c>
      <c r="G62" s="525">
        <v>0.01</v>
      </c>
      <c r="H62" s="525">
        <v>0.01</v>
      </c>
      <c r="I62" s="525">
        <v>0.01</v>
      </c>
      <c r="J62" s="525">
        <v>0.01</v>
      </c>
      <c r="K62" s="525">
        <v>0</v>
      </c>
      <c r="L62" s="525">
        <v>0</v>
      </c>
      <c r="M62" s="525">
        <v>0.01</v>
      </c>
      <c r="N62" s="525">
        <v>0</v>
      </c>
      <c r="O62" s="525"/>
      <c r="P62" s="490" t="s">
        <v>1109</v>
      </c>
      <c r="Q62" s="490" t="s">
        <v>1140</v>
      </c>
      <c r="R62" s="553" t="s">
        <v>1138</v>
      </c>
      <c r="S62" s="537" t="s">
        <v>1139</v>
      </c>
      <c r="T62" s="521" t="s">
        <v>814</v>
      </c>
      <c r="U62" s="522">
        <f>BK62/1100000</f>
        <v>0</v>
      </c>
      <c r="V62" s="523" t="s">
        <v>832</v>
      </c>
      <c r="W62" s="524" t="e">
        <f>U62*0.75-(#REF!+W63)</f>
        <v>#REF!</v>
      </c>
      <c r="X62" s="299" t="s">
        <v>1075</v>
      </c>
      <c r="Y62" s="79" t="s">
        <v>1076</v>
      </c>
      <c r="Z62" s="260" t="s">
        <v>1141</v>
      </c>
      <c r="AA62" s="260"/>
      <c r="AB62" s="80" t="s">
        <v>814</v>
      </c>
      <c r="AC62" s="81">
        <v>111100000</v>
      </c>
      <c r="AD62" s="82" t="s">
        <v>35</v>
      </c>
      <c r="AE62" s="83">
        <f>SUM(AF62:BB62)</f>
        <v>0</v>
      </c>
      <c r="AF62" s="91" t="s">
        <v>1078</v>
      </c>
      <c r="AG62" s="92"/>
      <c r="AH62" s="92" t="s">
        <v>1079</v>
      </c>
      <c r="AI62" s="92"/>
      <c r="AJ62" s="92" t="s">
        <v>1080</v>
      </c>
      <c r="AK62" s="92"/>
      <c r="AL62" s="92" t="s">
        <v>1080</v>
      </c>
      <c r="AM62" s="92"/>
      <c r="AN62" s="92" t="s">
        <v>1080</v>
      </c>
      <c r="AO62" s="92"/>
      <c r="AP62" s="92"/>
      <c r="AQ62" s="92"/>
      <c r="AR62" s="92"/>
      <c r="AS62" s="92"/>
      <c r="AU62" s="92"/>
      <c r="AV62" s="92"/>
      <c r="AW62" s="92"/>
      <c r="AX62" s="92"/>
      <c r="AY62" s="92"/>
      <c r="AZ62" s="92"/>
      <c r="BA62" s="92"/>
      <c r="BB62" s="92"/>
    </row>
    <row r="63" spans="1:61" s="78" customFormat="1" ht="22.5" customHeight="1" thickBot="1">
      <c r="A63" s="495"/>
      <c r="B63" s="558"/>
      <c r="C63" s="559"/>
      <c r="D63" s="560" t="s">
        <v>1142</v>
      </c>
      <c r="E63" s="560" t="str">
        <f t="shared" ref="E63:K63" si="4">D63</f>
        <v>용역중지중</v>
      </c>
      <c r="F63" s="560" t="str">
        <f t="shared" si="4"/>
        <v>용역중지중</v>
      </c>
      <c r="G63" s="560" t="str">
        <f t="shared" si="4"/>
        <v>용역중지중</v>
      </c>
      <c r="H63" s="560" t="str">
        <f t="shared" si="4"/>
        <v>용역중지중</v>
      </c>
      <c r="I63" s="560" t="str">
        <f t="shared" si="4"/>
        <v>용역중지중</v>
      </c>
      <c r="J63" s="560" t="str">
        <f t="shared" si="4"/>
        <v>용역중지중</v>
      </c>
      <c r="K63" s="560" t="str">
        <f t="shared" si="4"/>
        <v>용역중지중</v>
      </c>
      <c r="L63" s="560" t="s">
        <v>1109</v>
      </c>
      <c r="M63" s="560" t="str">
        <f>L63</f>
        <v>용역준공</v>
      </c>
      <c r="N63" s="560" t="str">
        <f>M63</f>
        <v>용역준공</v>
      </c>
      <c r="O63" s="560"/>
      <c r="P63" s="561"/>
      <c r="Q63" s="495"/>
      <c r="R63" s="557"/>
      <c r="S63" s="531" t="s">
        <v>816</v>
      </c>
      <c r="T63" s="526" t="s">
        <v>817</v>
      </c>
      <c r="U63" s="527" t="e">
        <f>U62-#REF!</f>
        <v>#REF!</v>
      </c>
      <c r="V63" s="532" t="s">
        <v>818</v>
      </c>
      <c r="W63" s="529" t="e">
        <f>(#REF!+BM63)/1000000</f>
        <v>#REF!</v>
      </c>
      <c r="X63" s="533"/>
      <c r="Y63" s="533"/>
      <c r="Z63" s="261"/>
      <c r="AA63" s="261"/>
      <c r="AB63" s="80" t="s">
        <v>817</v>
      </c>
      <c r="AC63" s="81" t="e">
        <f>AC62-#REF!</f>
        <v>#REF!</v>
      </c>
      <c r="AD63" s="82" t="s">
        <v>824</v>
      </c>
      <c r="AE63" s="83"/>
      <c r="AF63" s="77"/>
      <c r="AG63" s="77"/>
      <c r="AH63" s="77"/>
      <c r="AI63" s="77"/>
      <c r="AJ63" s="77"/>
      <c r="AK63" s="77"/>
      <c r="AL63" s="77"/>
      <c r="AM63" s="77"/>
      <c r="AN63" s="77"/>
      <c r="AO63" s="77"/>
      <c r="AP63" s="77"/>
      <c r="AQ63" s="77"/>
      <c r="AR63" s="77"/>
      <c r="AS63" s="77"/>
      <c r="AT63" s="68"/>
      <c r="AU63" s="77"/>
      <c r="AV63" s="77"/>
      <c r="AW63" s="77"/>
      <c r="AX63" s="77"/>
      <c r="AY63" s="77"/>
      <c r="AZ63" s="77"/>
      <c r="BA63" s="77"/>
      <c r="BB63" s="77"/>
      <c r="BD63" s="68"/>
      <c r="BE63" s="68"/>
      <c r="BF63" s="68"/>
      <c r="BG63" s="68"/>
      <c r="BH63" s="68"/>
      <c r="BI63" s="68"/>
    </row>
    <row r="64" spans="1:61" s="78" customFormat="1" ht="22.5" customHeight="1">
      <c r="A64" s="490" t="s">
        <v>1143</v>
      </c>
      <c r="B64" s="554">
        <v>0.35</v>
      </c>
      <c r="C64" s="555">
        <f>B64+D64+E64+F64+G64+H64+I64+J64+K64+L64+M64+N64+O64</f>
        <v>0.99999999999999989</v>
      </c>
      <c r="D64" s="525">
        <v>0</v>
      </c>
      <c r="E64" s="525">
        <v>0</v>
      </c>
      <c r="F64" s="525">
        <v>0</v>
      </c>
      <c r="G64" s="525">
        <v>0</v>
      </c>
      <c r="H64" s="525">
        <v>0.1</v>
      </c>
      <c r="I64" s="525">
        <v>0.1</v>
      </c>
      <c r="J64" s="525">
        <v>0.1</v>
      </c>
      <c r="K64" s="525">
        <v>0.1</v>
      </c>
      <c r="L64" s="525">
        <v>0.1</v>
      </c>
      <c r="M64" s="525">
        <v>0.05</v>
      </c>
      <c r="N64" s="525">
        <v>0.1</v>
      </c>
      <c r="O64" s="525"/>
      <c r="P64" s="490" t="s">
        <v>1109</v>
      </c>
      <c r="Q64" s="490" t="s">
        <v>1146</v>
      </c>
      <c r="R64" s="553" t="s">
        <v>1144</v>
      </c>
      <c r="S64" s="537" t="s">
        <v>1145</v>
      </c>
      <c r="T64" s="521" t="s">
        <v>814</v>
      </c>
      <c r="U64" s="522">
        <f>BK64/1100000</f>
        <v>0</v>
      </c>
      <c r="V64" s="523" t="s">
        <v>832</v>
      </c>
      <c r="W64" s="524" t="e">
        <f>U64*0.75-(#REF!+W65)</f>
        <v>#REF!</v>
      </c>
      <c r="X64" s="299" t="s">
        <v>1075</v>
      </c>
      <c r="Y64" s="79" t="s">
        <v>1076</v>
      </c>
      <c r="Z64" s="260" t="s">
        <v>1147</v>
      </c>
      <c r="AA64" s="260"/>
      <c r="AB64" s="80" t="s">
        <v>814</v>
      </c>
      <c r="AC64" s="81">
        <v>19743000</v>
      </c>
      <c r="AD64" s="82" t="s">
        <v>35</v>
      </c>
      <c r="AE64" s="83">
        <f>SUM(AF64:BB64)</f>
        <v>8790000</v>
      </c>
      <c r="AF64" s="91" t="s">
        <v>1148</v>
      </c>
      <c r="AG64" s="92">
        <v>8790000</v>
      </c>
      <c r="AH64" s="92" t="s">
        <v>1079</v>
      </c>
      <c r="AI64" s="92"/>
      <c r="AJ64" s="92" t="s">
        <v>1080</v>
      </c>
      <c r="AK64" s="92"/>
      <c r="AL64" s="92" t="s">
        <v>1080</v>
      </c>
      <c r="AM64" s="92"/>
      <c r="AN64" s="92" t="s">
        <v>1080</v>
      </c>
      <c r="AO64" s="92"/>
      <c r="AP64" s="92"/>
      <c r="AQ64" s="92"/>
      <c r="AR64" s="92"/>
      <c r="AS64" s="92"/>
      <c r="AU64" s="92"/>
      <c r="AV64" s="92"/>
      <c r="AW64" s="92"/>
      <c r="AX64" s="92"/>
      <c r="AY64" s="92"/>
      <c r="AZ64" s="92"/>
      <c r="BA64" s="92"/>
      <c r="BB64" s="92"/>
    </row>
    <row r="65" spans="1:61" s="78" customFormat="1" ht="22.5" customHeight="1" thickBot="1">
      <c r="A65" s="495"/>
      <c r="B65" s="558"/>
      <c r="C65" s="559"/>
      <c r="D65" s="560" t="str">
        <f>E65</f>
        <v>용역중지중</v>
      </c>
      <c r="E65" s="560" t="s">
        <v>1142</v>
      </c>
      <c r="F65" s="560" t="s">
        <v>1142</v>
      </c>
      <c r="G65" s="560" t="s">
        <v>1142</v>
      </c>
      <c r="H65" s="560" t="s">
        <v>1150</v>
      </c>
      <c r="I65" s="560" t="s">
        <v>1151</v>
      </c>
      <c r="J65" s="560" t="str">
        <f>I65</f>
        <v>군관리계획변경</v>
      </c>
      <c r="K65" s="560" t="str">
        <f>J65</f>
        <v>군관리계획변경</v>
      </c>
      <c r="L65" s="560" t="str">
        <f>K65</f>
        <v>군관리계획변경</v>
      </c>
      <c r="M65" s="560" t="str">
        <f>L65</f>
        <v>군관리계획변경</v>
      </c>
      <c r="N65" s="560" t="s">
        <v>1152</v>
      </c>
      <c r="O65" s="560" t="str">
        <f>N65</f>
        <v>11/25준공계제출</v>
      </c>
      <c r="P65" s="561"/>
      <c r="Q65" s="495"/>
      <c r="R65" s="557"/>
      <c r="S65" s="531" t="s">
        <v>1149</v>
      </c>
      <c r="T65" s="526" t="s">
        <v>817</v>
      </c>
      <c r="U65" s="527" t="e">
        <f>U64-#REF!</f>
        <v>#REF!</v>
      </c>
      <c r="V65" s="532" t="s">
        <v>818</v>
      </c>
      <c r="W65" s="529" t="e">
        <f>(#REF!+BM65)/1000000</f>
        <v>#REF!</v>
      </c>
      <c r="X65" s="533"/>
      <c r="Y65" s="533"/>
      <c r="Z65" s="261"/>
      <c r="AA65" s="261"/>
      <c r="AB65" s="80" t="s">
        <v>817</v>
      </c>
      <c r="AC65" s="81" t="e">
        <f>AC64-#REF!</f>
        <v>#REF!</v>
      </c>
      <c r="AD65" s="82" t="s">
        <v>824</v>
      </c>
      <c r="AE65" s="83"/>
      <c r="AF65" s="77"/>
      <c r="AG65" s="77"/>
      <c r="AH65" s="77"/>
      <c r="AI65" s="77"/>
      <c r="AJ65" s="77"/>
      <c r="AK65" s="77"/>
      <c r="AL65" s="77"/>
      <c r="AM65" s="77"/>
      <c r="AN65" s="77"/>
      <c r="AO65" s="77"/>
      <c r="AP65" s="77"/>
      <c r="AQ65" s="77"/>
      <c r="AR65" s="77"/>
      <c r="AS65" s="77"/>
      <c r="AT65" s="68"/>
      <c r="AU65" s="77"/>
      <c r="AV65" s="77"/>
      <c r="AW65" s="77"/>
      <c r="AX65" s="77"/>
      <c r="AY65" s="77"/>
      <c r="AZ65" s="77"/>
      <c r="BA65" s="77"/>
      <c r="BB65" s="77"/>
      <c r="BD65" s="68"/>
      <c r="BE65" s="68"/>
      <c r="BF65" s="68"/>
      <c r="BG65" s="68"/>
      <c r="BH65" s="68"/>
      <c r="BI65" s="68"/>
    </row>
    <row r="66" spans="1:61" s="78" customFormat="1" ht="22.5" customHeight="1">
      <c r="A66" s="490" t="s">
        <v>1154</v>
      </c>
      <c r="B66" s="554">
        <v>0.8</v>
      </c>
      <c r="C66" s="555">
        <f>B66+D66+E66+F66+G66+H66+I66+J66+K66+L66+M66+N66+O66</f>
        <v>0.9800000000000002</v>
      </c>
      <c r="D66" s="525">
        <v>0.02</v>
      </c>
      <c r="E66" s="525">
        <v>0.02</v>
      </c>
      <c r="F66" s="525">
        <v>0.03</v>
      </c>
      <c r="G66" s="525">
        <v>0.03</v>
      </c>
      <c r="H66" s="525">
        <v>0.03</v>
      </c>
      <c r="I66" s="525">
        <v>0.02</v>
      </c>
      <c r="J66" s="525">
        <v>0.01</v>
      </c>
      <c r="K66" s="525">
        <v>0.01</v>
      </c>
      <c r="L66" s="525">
        <v>0.01</v>
      </c>
      <c r="M66" s="525">
        <v>0</v>
      </c>
      <c r="N66" s="525">
        <v>0</v>
      </c>
      <c r="O66" s="525"/>
      <c r="P66" s="566" t="str">
        <f>N67</f>
        <v>도계약심사 및 군관리계획 심의준비</v>
      </c>
      <c r="Q66" s="490" t="s">
        <v>1157</v>
      </c>
      <c r="R66" s="553" t="s">
        <v>1155</v>
      </c>
      <c r="S66" s="537" t="s">
        <v>1156</v>
      </c>
      <c r="T66" s="521" t="s">
        <v>814</v>
      </c>
      <c r="U66" s="522">
        <f>BK66/1100000</f>
        <v>0</v>
      </c>
      <c r="V66" s="523" t="s">
        <v>832</v>
      </c>
      <c r="W66" s="524" t="e">
        <f>U66*0.75-(#REF!+W67)</f>
        <v>#REF!</v>
      </c>
      <c r="X66" s="299" t="s">
        <v>1075</v>
      </c>
      <c r="Y66" s="79" t="s">
        <v>1076</v>
      </c>
      <c r="Z66" s="260" t="s">
        <v>1147</v>
      </c>
      <c r="AA66" s="260"/>
      <c r="AB66" s="80" t="s">
        <v>814</v>
      </c>
      <c r="AC66" s="81">
        <v>185510000</v>
      </c>
      <c r="AD66" s="82" t="s">
        <v>35</v>
      </c>
      <c r="AE66" s="83">
        <f>SUM(AF66:BB66)</f>
        <v>12490000</v>
      </c>
      <c r="AF66" s="91" t="s">
        <v>1148</v>
      </c>
      <c r="AG66" s="92">
        <v>0</v>
      </c>
      <c r="AH66" s="92" t="s">
        <v>1078</v>
      </c>
      <c r="AI66" s="92">
        <v>12490000</v>
      </c>
      <c r="AJ66" s="92" t="s">
        <v>1080</v>
      </c>
      <c r="AK66" s="92"/>
      <c r="AL66" s="92" t="s">
        <v>1080</v>
      </c>
      <c r="AM66" s="92"/>
      <c r="AN66" s="92" t="s">
        <v>1080</v>
      </c>
      <c r="AO66" s="92"/>
      <c r="AP66" s="92"/>
      <c r="AQ66" s="92"/>
      <c r="AR66" s="92"/>
      <c r="AS66" s="92"/>
      <c r="AU66" s="92"/>
      <c r="AV66" s="92"/>
      <c r="AW66" s="92"/>
      <c r="AX66" s="92"/>
      <c r="AY66" s="92"/>
      <c r="AZ66" s="92"/>
      <c r="BA66" s="92"/>
      <c r="BB66" s="92"/>
    </row>
    <row r="67" spans="1:61" s="78" customFormat="1" ht="22.5" customHeight="1" thickBot="1">
      <c r="A67" s="495"/>
      <c r="B67" s="558"/>
      <c r="C67" s="559"/>
      <c r="D67" s="560" t="s">
        <v>1159</v>
      </c>
      <c r="E67" s="560" t="s">
        <v>1160</v>
      </c>
      <c r="F67" s="560" t="s">
        <v>1160</v>
      </c>
      <c r="G67" s="560" t="s">
        <v>1161</v>
      </c>
      <c r="H67" s="560" t="s">
        <v>1162</v>
      </c>
      <c r="I67" s="560" t="s">
        <v>1163</v>
      </c>
      <c r="J67" s="560" t="s">
        <v>1164</v>
      </c>
      <c r="K67" s="560" t="s">
        <v>1165</v>
      </c>
      <c r="L67" s="560" t="s">
        <v>1166</v>
      </c>
      <c r="M67" s="560" t="str">
        <f>L67</f>
        <v>군관리계획 및 실시설계</v>
      </c>
      <c r="N67" s="560" t="s">
        <v>1167</v>
      </c>
      <c r="O67" s="560"/>
      <c r="P67" s="567"/>
      <c r="Q67" s="495"/>
      <c r="R67" s="557"/>
      <c r="S67" s="531" t="s">
        <v>1158</v>
      </c>
      <c r="T67" s="526" t="s">
        <v>817</v>
      </c>
      <c r="U67" s="527" t="e">
        <f>U66-#REF!</f>
        <v>#REF!</v>
      </c>
      <c r="V67" s="532" t="s">
        <v>818</v>
      </c>
      <c r="W67" s="529" t="e">
        <f>(#REF!+BM67)/1000000</f>
        <v>#REF!</v>
      </c>
      <c r="X67" s="533"/>
      <c r="Y67" s="533"/>
      <c r="Z67" s="261"/>
      <c r="AA67" s="261"/>
      <c r="AB67" s="80" t="s">
        <v>1168</v>
      </c>
      <c r="AC67" s="81" t="e">
        <f>AC66-#REF!</f>
        <v>#REF!</v>
      </c>
      <c r="AD67" s="82" t="s">
        <v>1169</v>
      </c>
      <c r="AE67" s="83"/>
      <c r="AF67" s="77"/>
      <c r="AG67" s="77"/>
      <c r="AH67" s="77"/>
      <c r="AI67" s="77"/>
      <c r="AJ67" s="77"/>
      <c r="AK67" s="77"/>
      <c r="AL67" s="77"/>
      <c r="AM67" s="77"/>
      <c r="AN67" s="77"/>
      <c r="AO67" s="77"/>
      <c r="AP67" s="77"/>
      <c r="AQ67" s="77"/>
      <c r="AR67" s="77"/>
      <c r="AS67" s="77"/>
      <c r="AT67" s="68"/>
      <c r="AU67" s="77"/>
      <c r="AV67" s="77"/>
      <c r="AW67" s="77"/>
      <c r="AX67" s="77"/>
      <c r="AY67" s="77"/>
      <c r="AZ67" s="77"/>
      <c r="BA67" s="77"/>
      <c r="BB67" s="77"/>
      <c r="BD67" s="68"/>
    </row>
    <row r="68" spans="1:61" s="78" customFormat="1" ht="22.5" customHeight="1">
      <c r="A68" s="490" t="s">
        <v>1170</v>
      </c>
      <c r="B68" s="554">
        <v>0.54</v>
      </c>
      <c r="C68" s="555">
        <f>B68+D68+E68+F68+G68+H68+I68+J68+K68+L68+M68+N68+O68</f>
        <v>0.90000000000000036</v>
      </c>
      <c r="D68" s="525">
        <v>0.04</v>
      </c>
      <c r="E68" s="525">
        <v>0.04</v>
      </c>
      <c r="F68" s="525">
        <v>0.04</v>
      </c>
      <c r="G68" s="525">
        <v>0.04</v>
      </c>
      <c r="H68" s="525">
        <v>0.04</v>
      </c>
      <c r="I68" s="525">
        <v>0.04</v>
      </c>
      <c r="J68" s="525">
        <v>0.04</v>
      </c>
      <c r="K68" s="525">
        <v>0.04</v>
      </c>
      <c r="L68" s="525">
        <v>0.02</v>
      </c>
      <c r="M68" s="525">
        <v>0.01</v>
      </c>
      <c r="N68" s="525">
        <v>0.01</v>
      </c>
      <c r="O68" s="525"/>
      <c r="P68" s="566" t="str">
        <f>N69</f>
        <v>지구단위계획(용도지역)입안서류 작성</v>
      </c>
      <c r="Q68" s="490" t="s">
        <v>1175</v>
      </c>
      <c r="R68" s="553" t="s">
        <v>1171</v>
      </c>
      <c r="S68" s="537" t="s">
        <v>1172</v>
      </c>
      <c r="T68" s="521" t="s">
        <v>1173</v>
      </c>
      <c r="U68" s="522">
        <f>BK68/1100000</f>
        <v>0</v>
      </c>
      <c r="V68" s="523" t="s">
        <v>1174</v>
      </c>
      <c r="W68" s="524" t="e">
        <f>U68*0.75-(#REF!+W69)</f>
        <v>#REF!</v>
      </c>
      <c r="X68" s="299" t="s">
        <v>1075</v>
      </c>
      <c r="Y68" s="79" t="s">
        <v>1076</v>
      </c>
      <c r="Z68" s="260" t="s">
        <v>65</v>
      </c>
      <c r="AA68" s="260"/>
      <c r="AB68" s="80" t="s">
        <v>89</v>
      </c>
      <c r="AC68" s="81">
        <v>207180000</v>
      </c>
      <c r="AD68" s="82" t="s">
        <v>98</v>
      </c>
      <c r="AE68" s="83">
        <f>SUM(AF68:BB68)</f>
        <v>0</v>
      </c>
      <c r="AF68" s="91" t="s">
        <v>482</v>
      </c>
      <c r="AG68" s="92">
        <v>0</v>
      </c>
      <c r="AH68" s="92" t="s">
        <v>1105</v>
      </c>
      <c r="AI68" s="92"/>
      <c r="AJ68" s="92" t="s">
        <v>207</v>
      </c>
      <c r="AK68" s="92"/>
      <c r="AL68" s="92" t="s">
        <v>207</v>
      </c>
      <c r="AM68" s="92"/>
      <c r="AN68" s="92" t="s">
        <v>207</v>
      </c>
      <c r="AO68" s="92"/>
      <c r="AP68" s="92"/>
      <c r="AQ68" s="92"/>
      <c r="AR68" s="92"/>
      <c r="AS68" s="92"/>
      <c r="AU68" s="92"/>
      <c r="AV68" s="92"/>
      <c r="AW68" s="92"/>
      <c r="AX68" s="92"/>
      <c r="AY68" s="92"/>
      <c r="AZ68" s="92"/>
      <c r="BA68" s="92"/>
      <c r="BB68" s="92"/>
    </row>
    <row r="69" spans="1:61" s="78" customFormat="1" ht="22.5" customHeight="1" thickBot="1">
      <c r="A69" s="495"/>
      <c r="B69" s="558"/>
      <c r="C69" s="559"/>
      <c r="D69" s="560" t="s">
        <v>1178</v>
      </c>
      <c r="E69" s="560" t="str">
        <f>D69</f>
        <v>군관리계획시설 서류작성</v>
      </c>
      <c r="F69" s="560" t="str">
        <f>E69</f>
        <v>군관리계획시설 서류작성</v>
      </c>
      <c r="G69" s="560" t="s">
        <v>1179</v>
      </c>
      <c r="H69" s="560" t="s">
        <v>1180</v>
      </c>
      <c r="I69" s="560" t="str">
        <f>H69</f>
        <v>중간보고 보완</v>
      </c>
      <c r="J69" s="560" t="s">
        <v>1181</v>
      </c>
      <c r="K69" s="560" t="s">
        <v>1182</v>
      </c>
      <c r="L69" s="560" t="s">
        <v>1183</v>
      </c>
      <c r="M69" s="560" t="s">
        <v>1184</v>
      </c>
      <c r="N69" s="560" t="s">
        <v>1185</v>
      </c>
      <c r="O69" s="560"/>
      <c r="P69" s="567"/>
      <c r="Q69" s="495"/>
      <c r="R69" s="557"/>
      <c r="S69" s="531" t="s">
        <v>1176</v>
      </c>
      <c r="T69" s="526" t="s">
        <v>1168</v>
      </c>
      <c r="U69" s="527" t="e">
        <f>U68-#REF!</f>
        <v>#REF!</v>
      </c>
      <c r="V69" s="532" t="s">
        <v>1177</v>
      </c>
      <c r="W69" s="529" t="e">
        <f>(#REF!+BM69)/1000000</f>
        <v>#REF!</v>
      </c>
      <c r="X69" s="533"/>
      <c r="Y69" s="533"/>
      <c r="Z69" s="261"/>
      <c r="AA69" s="261"/>
      <c r="AB69" s="80" t="s">
        <v>1168</v>
      </c>
      <c r="AC69" s="81" t="e">
        <f>AC68-#REF!</f>
        <v>#REF!</v>
      </c>
      <c r="AD69" s="82" t="s">
        <v>1169</v>
      </c>
      <c r="AE69" s="83"/>
      <c r="AF69" s="77"/>
      <c r="AG69" s="77"/>
      <c r="AH69" s="77"/>
      <c r="AI69" s="77"/>
      <c r="AJ69" s="77"/>
      <c r="AK69" s="77"/>
      <c r="AL69" s="77"/>
      <c r="AM69" s="77"/>
      <c r="AN69" s="77"/>
      <c r="AO69" s="77"/>
      <c r="AP69" s="77"/>
      <c r="AQ69" s="77"/>
      <c r="AR69" s="77"/>
      <c r="AS69" s="77"/>
      <c r="AU69" s="77"/>
      <c r="AV69" s="77"/>
      <c r="AW69" s="77"/>
      <c r="AX69" s="77"/>
      <c r="AY69" s="77"/>
      <c r="AZ69" s="77"/>
      <c r="BA69" s="77"/>
      <c r="BB69" s="77"/>
    </row>
    <row r="70" spans="1:61" s="78" customFormat="1" ht="22.5" customHeight="1">
      <c r="A70" s="490" t="s">
        <v>1186</v>
      </c>
      <c r="B70" s="554">
        <v>0.85</v>
      </c>
      <c r="C70" s="555">
        <f>B70+D70+E70+F70+G70+H70+I70+J70+K70+L70+M70+N70+O70</f>
        <v>1</v>
      </c>
      <c r="D70" s="525">
        <v>0.05</v>
      </c>
      <c r="E70" s="525">
        <v>0.05</v>
      </c>
      <c r="F70" s="525">
        <v>0.03</v>
      </c>
      <c r="G70" s="525">
        <v>0.01</v>
      </c>
      <c r="H70" s="525">
        <v>0.01</v>
      </c>
      <c r="I70" s="525">
        <v>0</v>
      </c>
      <c r="J70" s="525">
        <v>0</v>
      </c>
      <c r="K70" s="525">
        <v>0</v>
      </c>
      <c r="L70" s="525">
        <v>0</v>
      </c>
      <c r="M70" s="525">
        <v>0</v>
      </c>
      <c r="N70" s="525">
        <v>0</v>
      </c>
      <c r="O70" s="525"/>
      <c r="P70" s="566" t="str">
        <f>I71</f>
        <v>용역준공</v>
      </c>
      <c r="Q70" s="490" t="s">
        <v>1189</v>
      </c>
      <c r="R70" s="553" t="s">
        <v>1187</v>
      </c>
      <c r="S70" s="537" t="s">
        <v>1188</v>
      </c>
      <c r="T70" s="521" t="s">
        <v>1173</v>
      </c>
      <c r="U70" s="522">
        <f>BK70/1100000</f>
        <v>0</v>
      </c>
      <c r="V70" s="523" t="s">
        <v>1174</v>
      </c>
      <c r="W70" s="524" t="e">
        <f>U70*0.75-(#REF!+W71)</f>
        <v>#REF!</v>
      </c>
      <c r="X70" s="299" t="s">
        <v>1075</v>
      </c>
      <c r="Y70" s="79" t="s">
        <v>1076</v>
      </c>
      <c r="Z70" s="260" t="s">
        <v>1147</v>
      </c>
      <c r="AA70" s="260"/>
      <c r="AB70" s="80" t="s">
        <v>814</v>
      </c>
      <c r="AC70" s="81">
        <v>22894000</v>
      </c>
      <c r="AD70" s="82" t="s">
        <v>35</v>
      </c>
      <c r="AE70" s="83">
        <f>SUM(AF70:BB70)</f>
        <v>5000000</v>
      </c>
      <c r="AF70" s="91" t="s">
        <v>1148</v>
      </c>
      <c r="AG70" s="92">
        <v>0</v>
      </c>
      <c r="AH70" s="92" t="s">
        <v>1079</v>
      </c>
      <c r="AI70" s="92">
        <v>3500000</v>
      </c>
      <c r="AJ70" s="92" t="s">
        <v>1078</v>
      </c>
      <c r="AK70" s="92">
        <v>1500000</v>
      </c>
      <c r="AL70" s="92" t="s">
        <v>1080</v>
      </c>
      <c r="AM70" s="92"/>
      <c r="AN70" s="92" t="s">
        <v>1080</v>
      </c>
      <c r="AO70" s="92"/>
      <c r="AP70" s="92"/>
      <c r="AQ70" s="92"/>
      <c r="AR70" s="92"/>
      <c r="AS70" s="92"/>
      <c r="AU70" s="92"/>
      <c r="AV70" s="92"/>
      <c r="AW70" s="92"/>
      <c r="AX70" s="92"/>
      <c r="AY70" s="92"/>
      <c r="AZ70" s="92"/>
      <c r="BA70" s="92"/>
      <c r="BB70" s="92"/>
    </row>
    <row r="71" spans="1:61" s="78" customFormat="1" ht="22.5" customHeight="1" thickBot="1">
      <c r="A71" s="495"/>
      <c r="B71" s="558"/>
      <c r="C71" s="559"/>
      <c r="D71" s="560" t="s">
        <v>1127</v>
      </c>
      <c r="E71" s="560" t="s">
        <v>1190</v>
      </c>
      <c r="F71" s="560" t="s">
        <v>1191</v>
      </c>
      <c r="G71" s="560" t="s">
        <v>1192</v>
      </c>
      <c r="H71" s="560" t="s">
        <v>1109</v>
      </c>
      <c r="I71" s="560" t="str">
        <f t="shared" ref="I71:N71" si="5">H71</f>
        <v>용역준공</v>
      </c>
      <c r="J71" s="560" t="str">
        <f t="shared" si="5"/>
        <v>용역준공</v>
      </c>
      <c r="K71" s="560" t="str">
        <f t="shared" si="5"/>
        <v>용역준공</v>
      </c>
      <c r="L71" s="560" t="str">
        <f t="shared" si="5"/>
        <v>용역준공</v>
      </c>
      <c r="M71" s="560" t="str">
        <f t="shared" si="5"/>
        <v>용역준공</v>
      </c>
      <c r="N71" s="560" t="str">
        <f t="shared" si="5"/>
        <v>용역준공</v>
      </c>
      <c r="O71" s="560"/>
      <c r="P71" s="567"/>
      <c r="Q71" s="495"/>
      <c r="R71" s="557"/>
      <c r="S71" s="531"/>
      <c r="T71" s="526" t="s">
        <v>817</v>
      </c>
      <c r="U71" s="527" t="e">
        <f>U70-#REF!</f>
        <v>#REF!</v>
      </c>
      <c r="V71" s="532" t="s">
        <v>818</v>
      </c>
      <c r="W71" s="529" t="e">
        <f>(#REF!+BM71)/1000000</f>
        <v>#REF!</v>
      </c>
      <c r="X71" s="533"/>
      <c r="Y71" s="533"/>
      <c r="Z71" s="261"/>
      <c r="AA71" s="261"/>
      <c r="AB71" s="80" t="s">
        <v>817</v>
      </c>
      <c r="AC71" s="81" t="e">
        <f>AC70-#REF!</f>
        <v>#REF!</v>
      </c>
      <c r="AD71" s="82" t="s">
        <v>824</v>
      </c>
      <c r="AE71" s="83"/>
      <c r="AF71" s="77"/>
      <c r="AG71" s="77"/>
      <c r="AH71" s="77"/>
      <c r="AI71" s="77"/>
      <c r="AJ71" s="77"/>
      <c r="AK71" s="77"/>
      <c r="AL71" s="77"/>
      <c r="AM71" s="77"/>
      <c r="AN71" s="77"/>
      <c r="AO71" s="77"/>
      <c r="AP71" s="77"/>
      <c r="AQ71" s="77"/>
      <c r="AR71" s="77"/>
      <c r="AS71" s="77"/>
      <c r="AU71" s="77"/>
      <c r="AV71" s="77"/>
      <c r="AW71" s="77"/>
      <c r="AX71" s="77"/>
      <c r="AY71" s="77"/>
      <c r="AZ71" s="77"/>
      <c r="BA71" s="77"/>
      <c r="BB71" s="77"/>
    </row>
    <row r="72" spans="1:61" s="78" customFormat="1" ht="22.5" customHeight="1">
      <c r="A72" s="490" t="s">
        <v>1194</v>
      </c>
      <c r="B72" s="554">
        <v>0.18</v>
      </c>
      <c r="C72" s="555">
        <f>B72+D72+E72+F72+G72+H72+I72+J72+K72+L72+M72+N72+O72</f>
        <v>0.81</v>
      </c>
      <c r="D72" s="525">
        <v>0.1</v>
      </c>
      <c r="E72" s="525">
        <v>0.1</v>
      </c>
      <c r="F72" s="525">
        <v>0.1</v>
      </c>
      <c r="G72" s="525">
        <v>0.1</v>
      </c>
      <c r="H72" s="525">
        <v>0.1</v>
      </c>
      <c r="I72" s="525">
        <v>0.05</v>
      </c>
      <c r="J72" s="525">
        <v>0.02</v>
      </c>
      <c r="K72" s="525">
        <v>0.02</v>
      </c>
      <c r="L72" s="525">
        <v>0.02</v>
      </c>
      <c r="M72" s="525">
        <v>0.01</v>
      </c>
      <c r="N72" s="525">
        <v>0.01</v>
      </c>
      <c r="O72" s="525"/>
      <c r="P72" s="566" t="str">
        <f>N73</f>
        <v>주민제안서 작성및접수</v>
      </c>
      <c r="Q72" s="490" t="s">
        <v>1197</v>
      </c>
      <c r="R72" s="553" t="s">
        <v>1195</v>
      </c>
      <c r="S72" s="537" t="s">
        <v>1196</v>
      </c>
      <c r="T72" s="521" t="s">
        <v>814</v>
      </c>
      <c r="U72" s="522">
        <f>BK72/1100000</f>
        <v>0</v>
      </c>
      <c r="V72" s="523" t="s">
        <v>832</v>
      </c>
      <c r="W72" s="524" t="e">
        <f>U72*0.75-(#REF!+W73)</f>
        <v>#REF!</v>
      </c>
      <c r="X72" s="299" t="s">
        <v>1075</v>
      </c>
      <c r="Y72" s="79" t="s">
        <v>1076</v>
      </c>
      <c r="Z72" s="260" t="s">
        <v>1147</v>
      </c>
      <c r="AA72" s="260"/>
      <c r="AB72" s="80" t="s">
        <v>814</v>
      </c>
      <c r="AC72" s="81">
        <v>330000000</v>
      </c>
      <c r="AD72" s="82" t="s">
        <v>35</v>
      </c>
      <c r="AE72" s="83">
        <f>SUM(AF72:BB72)</f>
        <v>76980000</v>
      </c>
      <c r="AF72" s="91" t="s">
        <v>1148</v>
      </c>
      <c r="AG72" s="92">
        <v>0</v>
      </c>
      <c r="AH72" s="92" t="s">
        <v>1079</v>
      </c>
      <c r="AI72" s="92">
        <v>15000000</v>
      </c>
      <c r="AJ72" s="92" t="s">
        <v>1078</v>
      </c>
      <c r="AK72" s="92">
        <v>61980000</v>
      </c>
      <c r="AL72" s="92" t="s">
        <v>1080</v>
      </c>
      <c r="AM72" s="92"/>
      <c r="AN72" s="92" t="s">
        <v>1080</v>
      </c>
      <c r="AO72" s="92"/>
      <c r="AP72" s="92"/>
      <c r="AQ72" s="92"/>
      <c r="AR72" s="92"/>
      <c r="AS72" s="92"/>
      <c r="AU72" s="92"/>
      <c r="AV72" s="92"/>
      <c r="AW72" s="92"/>
      <c r="AX72" s="92"/>
      <c r="AY72" s="92"/>
      <c r="AZ72" s="92"/>
      <c r="BA72" s="92"/>
      <c r="BB72" s="92"/>
    </row>
    <row r="73" spans="1:61" s="78" customFormat="1" ht="22.5" customHeight="1" thickBot="1">
      <c r="A73" s="495"/>
      <c r="B73" s="558"/>
      <c r="C73" s="559"/>
      <c r="D73" s="560" t="s">
        <v>1127</v>
      </c>
      <c r="E73" s="560" t="s">
        <v>1198</v>
      </c>
      <c r="F73" s="560" t="s">
        <v>1198</v>
      </c>
      <c r="G73" s="560" t="s">
        <v>1199</v>
      </c>
      <c r="H73" s="560" t="s">
        <v>1200</v>
      </c>
      <c r="I73" s="560" t="s">
        <v>1201</v>
      </c>
      <c r="J73" s="560" t="str">
        <f>I73</f>
        <v>개발계획변경 진행</v>
      </c>
      <c r="K73" s="560" t="str">
        <f>J73</f>
        <v>개발계획변경 진행</v>
      </c>
      <c r="L73" s="560" t="str">
        <f>K73</f>
        <v>개발계획변경 진행</v>
      </c>
      <c r="M73" s="560" t="str">
        <f>L73</f>
        <v>개발계획변경 진행</v>
      </c>
      <c r="N73" s="560" t="s">
        <v>1202</v>
      </c>
      <c r="O73" s="560"/>
      <c r="P73" s="567"/>
      <c r="Q73" s="495"/>
      <c r="R73" s="557"/>
      <c r="S73" s="531" t="s">
        <v>816</v>
      </c>
      <c r="T73" s="526" t="s">
        <v>817</v>
      </c>
      <c r="U73" s="527" t="e">
        <f>U72-#REF!</f>
        <v>#REF!</v>
      </c>
      <c r="V73" s="532" t="s">
        <v>818</v>
      </c>
      <c r="W73" s="529" t="e">
        <f>(#REF!+BM73)/1000000</f>
        <v>#REF!</v>
      </c>
      <c r="X73" s="533"/>
      <c r="Y73" s="533"/>
      <c r="Z73" s="261"/>
      <c r="AA73" s="261"/>
      <c r="AB73" s="80" t="s">
        <v>817</v>
      </c>
      <c r="AC73" s="81" t="e">
        <f>AC72-#REF!</f>
        <v>#REF!</v>
      </c>
      <c r="AD73" s="82" t="s">
        <v>824</v>
      </c>
      <c r="AE73" s="83"/>
      <c r="AF73" s="77"/>
      <c r="AG73" s="77"/>
      <c r="AH73" s="77"/>
      <c r="AI73" s="77"/>
      <c r="AJ73" s="77"/>
      <c r="AK73" s="77"/>
      <c r="AL73" s="77"/>
      <c r="AM73" s="77"/>
      <c r="AN73" s="77"/>
      <c r="AO73" s="77"/>
      <c r="AP73" s="77"/>
      <c r="AQ73" s="77"/>
      <c r="AR73" s="77"/>
      <c r="AS73" s="77"/>
      <c r="AU73" s="77"/>
      <c r="AV73" s="77"/>
      <c r="AW73" s="77"/>
      <c r="AX73" s="77"/>
      <c r="AY73" s="77"/>
      <c r="AZ73" s="77"/>
      <c r="BA73" s="77"/>
      <c r="BB73" s="77"/>
    </row>
    <row r="74" spans="1:61" s="78" customFormat="1" ht="22.5" customHeight="1">
      <c r="A74" s="490" t="s">
        <v>1203</v>
      </c>
      <c r="B74" s="554">
        <v>0.09</v>
      </c>
      <c r="C74" s="555">
        <f>B74+D74+E74+F74+G74+H74+I74+J74+K74+L74+M74+N74+O74</f>
        <v>0.62</v>
      </c>
      <c r="D74" s="525">
        <v>0.05</v>
      </c>
      <c r="E74" s="525">
        <v>0.05</v>
      </c>
      <c r="F74" s="525">
        <v>0.05</v>
      </c>
      <c r="G74" s="525">
        <v>0.05</v>
      </c>
      <c r="H74" s="525">
        <v>0.05</v>
      </c>
      <c r="I74" s="525">
        <v>0.05</v>
      </c>
      <c r="J74" s="525">
        <v>0.05</v>
      </c>
      <c r="K74" s="525">
        <v>0.05</v>
      </c>
      <c r="L74" s="525">
        <v>0.05</v>
      </c>
      <c r="M74" s="525">
        <v>0.05</v>
      </c>
      <c r="N74" s="525">
        <v>0.03</v>
      </c>
      <c r="O74" s="525"/>
      <c r="P74" s="566" t="str">
        <f>M75</f>
        <v>기본계획(안)작성</v>
      </c>
      <c r="Q74" s="490" t="s">
        <v>1206</v>
      </c>
      <c r="R74" s="553" t="s">
        <v>1204</v>
      </c>
      <c r="S74" s="537" t="s">
        <v>1205</v>
      </c>
      <c r="T74" s="521" t="s">
        <v>814</v>
      </c>
      <c r="U74" s="522">
        <f>BK74/1100000</f>
        <v>0</v>
      </c>
      <c r="V74" s="523" t="s">
        <v>832</v>
      </c>
      <c r="W74" s="524" t="e">
        <f>U74*0.75-(#REF!+W75)</f>
        <v>#REF!</v>
      </c>
      <c r="X74" s="299" t="s">
        <v>1075</v>
      </c>
      <c r="Y74" s="79" t="s">
        <v>1076</v>
      </c>
      <c r="Z74" s="260" t="s">
        <v>65</v>
      </c>
      <c r="AA74" s="260"/>
      <c r="AB74" s="80" t="s">
        <v>89</v>
      </c>
      <c r="AC74" s="81">
        <v>202920000</v>
      </c>
      <c r="AD74" s="82" t="s">
        <v>98</v>
      </c>
      <c r="AE74" s="83">
        <f>SUM(AF74:BB74)</f>
        <v>5000000</v>
      </c>
      <c r="AF74" s="91" t="s">
        <v>482</v>
      </c>
      <c r="AG74" s="92">
        <v>0</v>
      </c>
      <c r="AH74" s="92" t="s">
        <v>1105</v>
      </c>
      <c r="AI74" s="92">
        <v>3000000</v>
      </c>
      <c r="AJ74" s="92" t="s">
        <v>1104</v>
      </c>
      <c r="AK74" s="92">
        <v>2000000</v>
      </c>
      <c r="AL74" s="92" t="s">
        <v>56</v>
      </c>
      <c r="AM74" s="92">
        <v>0</v>
      </c>
      <c r="AN74" s="92" t="s">
        <v>207</v>
      </c>
      <c r="AO74" s="92"/>
      <c r="AP74" s="92"/>
      <c r="AQ74" s="92"/>
      <c r="AR74" s="92"/>
      <c r="AS74" s="92"/>
      <c r="AU74" s="92"/>
      <c r="AV74" s="92"/>
      <c r="AW74" s="92"/>
      <c r="AX74" s="92"/>
      <c r="AY74" s="92"/>
      <c r="AZ74" s="92"/>
      <c r="BA74" s="92"/>
      <c r="BB74" s="92"/>
    </row>
    <row r="75" spans="1:61" s="78" customFormat="1" ht="22.5" customHeight="1" thickBot="1">
      <c r="A75" s="495"/>
      <c r="B75" s="558"/>
      <c r="C75" s="559"/>
      <c r="D75" s="560" t="s">
        <v>1207</v>
      </c>
      <c r="E75" s="560" t="s">
        <v>1208</v>
      </c>
      <c r="F75" s="560" t="s">
        <v>1209</v>
      </c>
      <c r="G75" s="560" t="str">
        <f>F75</f>
        <v>기본계획(안) 작성 및 건축공모 준비</v>
      </c>
      <c r="H75" s="560" t="str">
        <f>G75</f>
        <v>기본계획(안) 작성 및 건축공모 준비</v>
      </c>
      <c r="I75" s="560" t="str">
        <f>H75</f>
        <v>기본계획(안) 작성 및 건축공모 준비</v>
      </c>
      <c r="J75" s="560" t="str">
        <f>I75</f>
        <v>기본계획(안) 작성 및 건축공모 준비</v>
      </c>
      <c r="K75" s="560" t="str">
        <f>J75</f>
        <v>기본계획(안) 작성 및 건축공모 준비</v>
      </c>
      <c r="L75" s="560" t="s">
        <v>1210</v>
      </c>
      <c r="M75" s="560" t="s">
        <v>1211</v>
      </c>
      <c r="N75" s="560" t="str">
        <f>M75</f>
        <v>기본계획(안)작성</v>
      </c>
      <c r="O75" s="560"/>
      <c r="P75" s="567"/>
      <c r="Q75" s="495"/>
      <c r="R75" s="557"/>
      <c r="S75" s="531" t="s">
        <v>67</v>
      </c>
      <c r="T75" s="526" t="s">
        <v>196</v>
      </c>
      <c r="U75" s="527" t="e">
        <f>U74-#REF!</f>
        <v>#REF!</v>
      </c>
      <c r="V75" s="532" t="s">
        <v>15</v>
      </c>
      <c r="W75" s="529" t="e">
        <f>(#REF!+BM75)/1000000</f>
        <v>#REF!</v>
      </c>
      <c r="X75" s="533"/>
      <c r="Y75" s="533"/>
      <c r="Z75" s="261"/>
      <c r="AA75" s="261"/>
      <c r="AB75" s="80" t="s">
        <v>817</v>
      </c>
      <c r="AC75" s="81" t="e">
        <f>AC74-#REF!</f>
        <v>#REF!</v>
      </c>
      <c r="AD75" s="82" t="s">
        <v>824</v>
      </c>
      <c r="AE75" s="83"/>
      <c r="AF75" s="77"/>
      <c r="AG75" s="77"/>
      <c r="AH75" s="77"/>
      <c r="AI75" s="77"/>
      <c r="AJ75" s="77"/>
      <c r="AK75" s="77"/>
      <c r="AL75" s="77"/>
      <c r="AM75" s="77"/>
      <c r="AN75" s="77"/>
      <c r="AO75" s="77"/>
      <c r="AP75" s="77"/>
      <c r="AQ75" s="77"/>
      <c r="AR75" s="77"/>
      <c r="AS75" s="77"/>
      <c r="AU75" s="77"/>
      <c r="AV75" s="77"/>
      <c r="AW75" s="77"/>
      <c r="AX75" s="77"/>
      <c r="AY75" s="77"/>
      <c r="AZ75" s="77"/>
      <c r="BA75" s="77"/>
      <c r="BB75" s="77"/>
    </row>
    <row r="76" spans="1:61" s="78" customFormat="1" ht="22.5" customHeight="1">
      <c r="A76" s="490" t="s">
        <v>1212</v>
      </c>
      <c r="B76" s="554">
        <v>0.12</v>
      </c>
      <c r="C76" s="555">
        <f>B76+D76+E76+F76+G76+H76+I76+J76+K76+L76+M76+N76+O76</f>
        <v>0.6000000000000002</v>
      </c>
      <c r="D76" s="525">
        <v>0.08</v>
      </c>
      <c r="E76" s="525">
        <v>0.08</v>
      </c>
      <c r="F76" s="525">
        <v>0.08</v>
      </c>
      <c r="G76" s="525">
        <v>0.03</v>
      </c>
      <c r="H76" s="525">
        <v>0.03</v>
      </c>
      <c r="I76" s="525">
        <v>0.03</v>
      </c>
      <c r="J76" s="525">
        <v>0.03</v>
      </c>
      <c r="K76" s="525">
        <v>0.03</v>
      </c>
      <c r="L76" s="525">
        <v>0.03</v>
      </c>
      <c r="M76" s="525">
        <v>0.03</v>
      </c>
      <c r="N76" s="525">
        <v>0.03</v>
      </c>
      <c r="O76" s="525"/>
      <c r="P76" s="566" t="str">
        <f>N77</f>
        <v>기본계획(안)작성</v>
      </c>
      <c r="Q76" s="490" t="s">
        <v>1215</v>
      </c>
      <c r="R76" s="553" t="s">
        <v>1213</v>
      </c>
      <c r="S76" s="537" t="s">
        <v>1214</v>
      </c>
      <c r="T76" s="521" t="s">
        <v>814</v>
      </c>
      <c r="U76" s="522">
        <f>BK76/1100000</f>
        <v>0</v>
      </c>
      <c r="V76" s="523" t="s">
        <v>832</v>
      </c>
      <c r="W76" s="524" t="e">
        <f>U76*0.75-(#REF!+W77)</f>
        <v>#REF!</v>
      </c>
      <c r="X76" s="299" t="s">
        <v>1075</v>
      </c>
      <c r="Y76" s="79" t="s">
        <v>1076</v>
      </c>
      <c r="Z76" s="260" t="s">
        <v>65</v>
      </c>
      <c r="AA76" s="260"/>
      <c r="AB76" s="80" t="s">
        <v>89</v>
      </c>
      <c r="AC76" s="81">
        <v>177210000</v>
      </c>
      <c r="AD76" s="82" t="s">
        <v>98</v>
      </c>
      <c r="AE76" s="83">
        <f>SUM(AF76:BB76)</f>
        <v>33490000</v>
      </c>
      <c r="AF76" s="91" t="s">
        <v>482</v>
      </c>
      <c r="AG76" s="92">
        <v>0</v>
      </c>
      <c r="AH76" s="92" t="s">
        <v>1105</v>
      </c>
      <c r="AI76" s="92">
        <v>3000000</v>
      </c>
      <c r="AJ76" s="92" t="s">
        <v>1104</v>
      </c>
      <c r="AK76" s="92">
        <v>2000000</v>
      </c>
      <c r="AL76" s="92" t="s">
        <v>56</v>
      </c>
      <c r="AM76" s="92">
        <v>28490000</v>
      </c>
      <c r="AN76" s="92" t="s">
        <v>207</v>
      </c>
      <c r="AO76" s="92"/>
      <c r="AP76" s="92"/>
      <c r="AQ76" s="92"/>
      <c r="AR76" s="92"/>
      <c r="AS76" s="92"/>
      <c r="AU76" s="92"/>
      <c r="AV76" s="92"/>
      <c r="AW76" s="92"/>
      <c r="AX76" s="92"/>
      <c r="AY76" s="92"/>
      <c r="AZ76" s="92"/>
      <c r="BA76" s="92"/>
      <c r="BB76" s="92"/>
    </row>
    <row r="77" spans="1:61" s="78" customFormat="1" ht="22.5" customHeight="1" thickBot="1">
      <c r="A77" s="495"/>
      <c r="B77" s="558"/>
      <c r="C77" s="559"/>
      <c r="D77" s="560" t="s">
        <v>1207</v>
      </c>
      <c r="E77" s="560" t="str">
        <f>D77</f>
        <v>기본계획(안)작성</v>
      </c>
      <c r="F77" s="560" t="str">
        <f>E77</f>
        <v>기본계획(안)작성</v>
      </c>
      <c r="G77" s="560" t="str">
        <f>F77</f>
        <v>기본계획(안)작성</v>
      </c>
      <c r="H77" s="560" t="str">
        <f>G77</f>
        <v>기본계획(안)작성</v>
      </c>
      <c r="I77" s="560" t="str">
        <f>I75</f>
        <v>기본계획(안) 작성 및 건축공모 준비</v>
      </c>
      <c r="J77" s="560" t="str">
        <f>J75</f>
        <v>기본계획(안) 작성 및 건축공모 준비</v>
      </c>
      <c r="K77" s="560" t="s">
        <v>1207</v>
      </c>
      <c r="L77" s="560" t="s">
        <v>1217</v>
      </c>
      <c r="M77" s="560" t="str">
        <f>L77</f>
        <v>건축 부지조성안 작성</v>
      </c>
      <c r="N77" s="560" t="s">
        <v>1207</v>
      </c>
      <c r="O77" s="560"/>
      <c r="P77" s="567"/>
      <c r="Q77" s="495"/>
      <c r="R77" s="557"/>
      <c r="S77" s="531" t="s">
        <v>1216</v>
      </c>
      <c r="T77" s="526" t="s">
        <v>196</v>
      </c>
      <c r="U77" s="527" t="e">
        <f>U76-#REF!</f>
        <v>#REF!</v>
      </c>
      <c r="V77" s="532" t="s">
        <v>15</v>
      </c>
      <c r="W77" s="529" t="e">
        <f>(#REF!+BM77)/1000000</f>
        <v>#REF!</v>
      </c>
      <c r="X77" s="533"/>
      <c r="Y77" s="533"/>
      <c r="Z77" s="261"/>
      <c r="AA77" s="261"/>
      <c r="AB77" s="80" t="s">
        <v>196</v>
      </c>
      <c r="AC77" s="81" t="e">
        <f>AC76-#REF!</f>
        <v>#REF!</v>
      </c>
      <c r="AD77" s="82" t="s">
        <v>100</v>
      </c>
      <c r="AE77" s="83"/>
      <c r="AF77" s="77"/>
      <c r="AG77" s="77"/>
      <c r="AH77" s="77"/>
      <c r="AI77" s="77"/>
      <c r="AJ77" s="77"/>
      <c r="AK77" s="77"/>
      <c r="AL77" s="77"/>
      <c r="AM77" s="77"/>
      <c r="AN77" s="77"/>
      <c r="AO77" s="77"/>
      <c r="AP77" s="77"/>
      <c r="AQ77" s="77"/>
      <c r="AR77" s="77"/>
      <c r="AS77" s="77"/>
      <c r="AU77" s="77"/>
      <c r="AV77" s="77"/>
      <c r="AW77" s="77"/>
      <c r="AX77" s="77"/>
      <c r="AY77" s="77"/>
      <c r="AZ77" s="77"/>
      <c r="BA77" s="77"/>
      <c r="BB77" s="77"/>
    </row>
    <row r="78" spans="1:61" s="78" customFormat="1" ht="22.5" customHeight="1">
      <c r="A78" s="490" t="s">
        <v>1218</v>
      </c>
      <c r="B78" s="554">
        <v>0.1</v>
      </c>
      <c r="C78" s="555">
        <f>B78+D78+E78+F78+G78+H78+I78+J78+K78+L78+M78+N78+O78</f>
        <v>0.65</v>
      </c>
      <c r="D78" s="525">
        <v>0.1</v>
      </c>
      <c r="E78" s="525">
        <v>0.1</v>
      </c>
      <c r="F78" s="525">
        <v>0.1</v>
      </c>
      <c r="G78" s="525">
        <v>0.1</v>
      </c>
      <c r="H78" s="525">
        <v>0.1</v>
      </c>
      <c r="I78" s="525">
        <v>0.05</v>
      </c>
      <c r="J78" s="525">
        <v>0</v>
      </c>
      <c r="K78" s="525">
        <v>0</v>
      </c>
      <c r="L78" s="525">
        <v>0</v>
      </c>
      <c r="M78" s="525">
        <v>0</v>
      </c>
      <c r="N78" s="525">
        <v>0</v>
      </c>
      <c r="O78" s="525"/>
      <c r="P78" s="566" t="str">
        <f>N79</f>
        <v>업무대기</v>
      </c>
      <c r="Q78" s="490" t="s">
        <v>1087</v>
      </c>
      <c r="R78" s="553" t="s">
        <v>1219</v>
      </c>
      <c r="S78" s="537" t="s">
        <v>1220</v>
      </c>
      <c r="T78" s="521" t="s">
        <v>89</v>
      </c>
      <c r="U78" s="522">
        <f>BK78/1100000</f>
        <v>0</v>
      </c>
      <c r="V78" s="523" t="s">
        <v>7</v>
      </c>
      <c r="W78" s="524" t="e">
        <f>U78*0.75-(#REF!+W79)</f>
        <v>#REF!</v>
      </c>
      <c r="X78" s="299" t="s">
        <v>1075</v>
      </c>
      <c r="Y78" s="79" t="s">
        <v>1076</v>
      </c>
      <c r="Z78" s="260" t="s">
        <v>1147</v>
      </c>
      <c r="AA78" s="260"/>
      <c r="AB78" s="80" t="s">
        <v>814</v>
      </c>
      <c r="AC78" s="81">
        <v>200000000</v>
      </c>
      <c r="AD78" s="82" t="s">
        <v>35</v>
      </c>
      <c r="AE78" s="83">
        <f>SUM(AF78:BB78)</f>
        <v>39690000</v>
      </c>
      <c r="AF78" s="91" t="s">
        <v>796</v>
      </c>
      <c r="AG78" s="92">
        <v>39690000</v>
      </c>
      <c r="AH78" s="92" t="s">
        <v>1079</v>
      </c>
      <c r="AI78" s="92">
        <v>0</v>
      </c>
      <c r="AJ78" s="92" t="s">
        <v>1078</v>
      </c>
      <c r="AK78" s="92">
        <v>0</v>
      </c>
      <c r="AL78" s="92" t="s">
        <v>815</v>
      </c>
      <c r="AM78" s="92">
        <v>0</v>
      </c>
      <c r="AN78" s="92" t="s">
        <v>1080</v>
      </c>
      <c r="AO78" s="92"/>
      <c r="AP78" s="92"/>
      <c r="AQ78" s="92"/>
      <c r="AR78" s="92"/>
      <c r="AS78" s="92"/>
      <c r="AU78" s="92"/>
      <c r="AV78" s="92"/>
      <c r="AW78" s="92"/>
      <c r="AX78" s="92"/>
      <c r="AY78" s="92"/>
      <c r="AZ78" s="92"/>
      <c r="BA78" s="92"/>
      <c r="BB78" s="92"/>
    </row>
    <row r="79" spans="1:61" s="78" customFormat="1" ht="22.5" customHeight="1" thickBot="1">
      <c r="A79" s="495"/>
      <c r="B79" s="558"/>
      <c r="C79" s="559"/>
      <c r="D79" s="560" t="s">
        <v>1221</v>
      </c>
      <c r="E79" s="560" t="s">
        <v>1222</v>
      </c>
      <c r="F79" s="560" t="s">
        <v>1222</v>
      </c>
      <c r="G79" s="560" t="str">
        <f>F79</f>
        <v>관련실과부서 협의 및 성과품작성</v>
      </c>
      <c r="H79" s="560" t="str">
        <f>G79</f>
        <v>관련실과부서 협의 및 성과품작성</v>
      </c>
      <c r="I79" s="560" t="s">
        <v>1223</v>
      </c>
      <c r="J79" s="560" t="s">
        <v>77</v>
      </c>
      <c r="K79" s="560" t="str">
        <f>J79</f>
        <v>업무대기</v>
      </c>
      <c r="L79" s="560" t="str">
        <f>K79</f>
        <v>업무대기</v>
      </c>
      <c r="M79" s="560" t="str">
        <f>L79</f>
        <v>업무대기</v>
      </c>
      <c r="N79" s="560" t="str">
        <f>M79</f>
        <v>업무대기</v>
      </c>
      <c r="O79" s="560"/>
      <c r="P79" s="567"/>
      <c r="Q79" s="495"/>
      <c r="R79" s="557"/>
      <c r="S79" s="531" t="s">
        <v>816</v>
      </c>
      <c r="T79" s="526" t="s">
        <v>817</v>
      </c>
      <c r="U79" s="527" t="e">
        <f>U78-#REF!</f>
        <v>#REF!</v>
      </c>
      <c r="V79" s="532" t="s">
        <v>818</v>
      </c>
      <c r="W79" s="529" t="e">
        <f>(#REF!+BM79)/1000000</f>
        <v>#REF!</v>
      </c>
      <c r="X79" s="533"/>
      <c r="Y79" s="533"/>
      <c r="Z79" s="261"/>
      <c r="AA79" s="261"/>
      <c r="AB79" s="80" t="s">
        <v>817</v>
      </c>
      <c r="AC79" s="81" t="e">
        <f>AC78-#REF!</f>
        <v>#REF!</v>
      </c>
      <c r="AD79" s="82" t="s">
        <v>824</v>
      </c>
      <c r="AE79" s="83"/>
      <c r="AF79" s="77"/>
      <c r="AG79" s="77"/>
      <c r="AH79" s="77"/>
      <c r="AI79" s="77"/>
      <c r="AJ79" s="77"/>
      <c r="AK79" s="77"/>
      <c r="AL79" s="77"/>
      <c r="AM79" s="77"/>
      <c r="AN79" s="77"/>
      <c r="AO79" s="77"/>
      <c r="AP79" s="77"/>
      <c r="AQ79" s="77"/>
      <c r="AR79" s="77"/>
      <c r="AS79" s="77"/>
      <c r="AU79" s="77"/>
      <c r="AV79" s="77"/>
      <c r="AW79" s="77"/>
      <c r="AX79" s="77"/>
      <c r="AY79" s="77"/>
      <c r="AZ79" s="77"/>
      <c r="BA79" s="77"/>
      <c r="BB79" s="77"/>
    </row>
    <row r="80" spans="1:61" s="78" customFormat="1" ht="22.5" customHeight="1">
      <c r="A80" s="490" t="s">
        <v>1224</v>
      </c>
      <c r="B80" s="554">
        <v>0.04</v>
      </c>
      <c r="C80" s="555">
        <f>B80+D80+E80+F80+G80+H80+I80+J80+K80+L80+M80+N80+O80</f>
        <v>0.88000000000000012</v>
      </c>
      <c r="D80" s="525">
        <v>0.08</v>
      </c>
      <c r="E80" s="525">
        <v>0.08</v>
      </c>
      <c r="F80" s="525">
        <v>0.08</v>
      </c>
      <c r="G80" s="525">
        <v>0.03</v>
      </c>
      <c r="H80" s="525">
        <v>0.03</v>
      </c>
      <c r="I80" s="525">
        <v>0.06</v>
      </c>
      <c r="J80" s="525">
        <v>0.06</v>
      </c>
      <c r="K80" s="525">
        <v>0.06</v>
      </c>
      <c r="L80" s="525">
        <v>0.06</v>
      </c>
      <c r="M80" s="525">
        <v>0.1</v>
      </c>
      <c r="N80" s="525">
        <v>0.2</v>
      </c>
      <c r="O80" s="525"/>
      <c r="P80" s="566" t="str">
        <f>N81</f>
        <v>공원조성계획(안)작성</v>
      </c>
      <c r="Q80" s="490" t="s">
        <v>1227</v>
      </c>
      <c r="R80" s="553" t="s">
        <v>1225</v>
      </c>
      <c r="S80" s="537" t="s">
        <v>1226</v>
      </c>
      <c r="T80" s="521" t="s">
        <v>814</v>
      </c>
      <c r="U80" s="522">
        <f>BK80/1100000</f>
        <v>0</v>
      </c>
      <c r="V80" s="523" t="s">
        <v>832</v>
      </c>
      <c r="W80" s="524" t="e">
        <f>U80*0.75-(#REF!+W81)</f>
        <v>#REF!</v>
      </c>
      <c r="X80" s="299" t="s">
        <v>1075</v>
      </c>
      <c r="Y80" s="79" t="s">
        <v>1076</v>
      </c>
      <c r="Z80" s="260" t="s">
        <v>65</v>
      </c>
      <c r="AA80" s="260"/>
      <c r="AB80" s="80" t="s">
        <v>89</v>
      </c>
      <c r="AC80" s="81">
        <v>38577000</v>
      </c>
      <c r="AD80" s="82" t="s">
        <v>98</v>
      </c>
      <c r="AE80" s="83">
        <f>SUM(AF80:BB80)</f>
        <v>0</v>
      </c>
      <c r="AF80" s="91" t="s">
        <v>482</v>
      </c>
      <c r="AG80" s="92">
        <v>0</v>
      </c>
      <c r="AH80" s="92" t="s">
        <v>1105</v>
      </c>
      <c r="AI80" s="92">
        <v>0</v>
      </c>
      <c r="AJ80" s="92" t="s">
        <v>1104</v>
      </c>
      <c r="AK80" s="92">
        <v>0</v>
      </c>
      <c r="AL80" s="92" t="s">
        <v>56</v>
      </c>
      <c r="AM80" s="92">
        <v>0</v>
      </c>
      <c r="AN80" s="92" t="s">
        <v>207</v>
      </c>
      <c r="AO80" s="92"/>
      <c r="AP80" s="92"/>
      <c r="AQ80" s="92"/>
      <c r="AR80" s="92"/>
      <c r="AS80" s="92"/>
      <c r="AU80" s="92"/>
      <c r="AV80" s="92"/>
      <c r="AW80" s="92"/>
      <c r="AX80" s="92"/>
      <c r="AY80" s="92"/>
      <c r="AZ80" s="92"/>
      <c r="BA80" s="92"/>
      <c r="BB80" s="92"/>
    </row>
    <row r="81" spans="1:61" s="78" customFormat="1" ht="22.5" customHeight="1" thickBot="1">
      <c r="A81" s="495"/>
      <c r="B81" s="558"/>
      <c r="C81" s="559"/>
      <c r="D81" s="560" t="s">
        <v>1207</v>
      </c>
      <c r="E81" s="560" t="str">
        <f>D81</f>
        <v>기본계획(안)작성</v>
      </c>
      <c r="F81" s="560" t="str">
        <f>E81</f>
        <v>기본계획(안)작성</v>
      </c>
      <c r="G81" s="560" t="str">
        <f>F81</f>
        <v>기본계획(안)작성</v>
      </c>
      <c r="H81" s="560" t="str">
        <f>G81</f>
        <v>기본계획(안)작성</v>
      </c>
      <c r="I81" s="560" t="str">
        <f>H81</f>
        <v>기본계획(안)작성</v>
      </c>
      <c r="J81" s="560" t="s">
        <v>1228</v>
      </c>
      <c r="K81" s="560" t="str">
        <f>J81</f>
        <v>공원조성계획(안)작성</v>
      </c>
      <c r="L81" s="560" t="str">
        <f>K81</f>
        <v>공원조성계획(안)작성</v>
      </c>
      <c r="M81" s="560" t="str">
        <f>L81</f>
        <v>공원조성계획(안)작성</v>
      </c>
      <c r="N81" s="560" t="str">
        <f>M81</f>
        <v>공원조성계획(안)작성</v>
      </c>
      <c r="O81" s="560"/>
      <c r="P81" s="567"/>
      <c r="Q81" s="495"/>
      <c r="R81" s="557"/>
      <c r="S81" s="531" t="s">
        <v>67</v>
      </c>
      <c r="T81" s="526" t="s">
        <v>196</v>
      </c>
      <c r="U81" s="527" t="e">
        <f>U80-#REF!</f>
        <v>#REF!</v>
      </c>
      <c r="V81" s="532" t="s">
        <v>15</v>
      </c>
      <c r="W81" s="529" t="e">
        <f>(#REF!+BM81)/1000000</f>
        <v>#REF!</v>
      </c>
      <c r="X81" s="533"/>
      <c r="Y81" s="533"/>
      <c r="Z81" s="261"/>
      <c r="AA81" s="261"/>
      <c r="AB81" s="80" t="s">
        <v>817</v>
      </c>
      <c r="AC81" s="81" t="e">
        <f>AC80-#REF!</f>
        <v>#REF!</v>
      </c>
      <c r="AD81" s="82" t="s">
        <v>824</v>
      </c>
      <c r="AE81" s="83"/>
      <c r="AF81" s="77"/>
      <c r="AG81" s="77"/>
      <c r="AH81" s="77"/>
      <c r="AI81" s="77"/>
      <c r="AJ81" s="77"/>
      <c r="AK81" s="77"/>
      <c r="AL81" s="77"/>
      <c r="AM81" s="77"/>
      <c r="AN81" s="77"/>
      <c r="AO81" s="77"/>
      <c r="AP81" s="77"/>
      <c r="AQ81" s="77"/>
      <c r="AR81" s="77"/>
      <c r="AS81" s="77"/>
      <c r="AU81" s="77"/>
      <c r="AV81" s="77"/>
      <c r="AW81" s="77"/>
      <c r="AX81" s="77"/>
      <c r="AY81" s="77"/>
      <c r="AZ81" s="77"/>
      <c r="BA81" s="77"/>
      <c r="BB81" s="77"/>
    </row>
    <row r="82" spans="1:61" s="78" customFormat="1" ht="22.5" customHeight="1">
      <c r="A82" s="490" t="s">
        <v>1230</v>
      </c>
      <c r="B82" s="554">
        <v>0</v>
      </c>
      <c r="C82" s="555">
        <f>B82+D82+E82+F82+G82+H82+I82+J82+K82+L82+M82+N82+O82</f>
        <v>0.65</v>
      </c>
      <c r="D82" s="525"/>
      <c r="E82" s="525"/>
      <c r="F82" s="525"/>
      <c r="G82" s="525"/>
      <c r="H82" s="525"/>
      <c r="I82" s="525">
        <v>0.05</v>
      </c>
      <c r="J82" s="525">
        <v>0.05</v>
      </c>
      <c r="K82" s="525">
        <v>0.05</v>
      </c>
      <c r="L82" s="525">
        <v>0.1</v>
      </c>
      <c r="M82" s="525">
        <v>0.2</v>
      </c>
      <c r="N82" s="525">
        <v>0.2</v>
      </c>
      <c r="O82" s="525"/>
      <c r="P82" s="566" t="str">
        <f>N83</f>
        <v>군수보고및기본계획(안)작성</v>
      </c>
      <c r="Q82" s="490" t="s">
        <v>1233</v>
      </c>
      <c r="R82" s="553" t="s">
        <v>1231</v>
      </c>
      <c r="S82" s="537" t="s">
        <v>1232</v>
      </c>
      <c r="T82" s="521" t="s">
        <v>814</v>
      </c>
      <c r="U82" s="522">
        <f>BK82/1100000</f>
        <v>0</v>
      </c>
      <c r="V82" s="523" t="s">
        <v>832</v>
      </c>
      <c r="W82" s="524" t="e">
        <f>U82*0.75-(#REF!+W83)</f>
        <v>#REF!</v>
      </c>
      <c r="X82" s="299" t="s">
        <v>1075</v>
      </c>
      <c r="Y82" s="79" t="s">
        <v>1076</v>
      </c>
      <c r="Z82" s="260" t="s">
        <v>1147</v>
      </c>
      <c r="AA82" s="260"/>
      <c r="AB82" s="80" t="s">
        <v>814</v>
      </c>
      <c r="AC82" s="81">
        <v>178980000</v>
      </c>
      <c r="AD82" s="82" t="s">
        <v>35</v>
      </c>
      <c r="AE82" s="83">
        <f>SUM(AF82:BB82)</f>
        <v>27067500</v>
      </c>
      <c r="AF82" s="91" t="s">
        <v>1148</v>
      </c>
      <c r="AG82" s="92">
        <v>0</v>
      </c>
      <c r="AH82" s="92" t="s">
        <v>1079</v>
      </c>
      <c r="AI82" s="92">
        <v>0</v>
      </c>
      <c r="AJ82" s="92" t="s">
        <v>1078</v>
      </c>
      <c r="AK82" s="92">
        <v>0</v>
      </c>
      <c r="AL82" s="92" t="s">
        <v>815</v>
      </c>
      <c r="AM82" s="92">
        <v>27067500</v>
      </c>
      <c r="AN82" s="92" t="s">
        <v>1080</v>
      </c>
      <c r="AO82" s="92"/>
      <c r="AP82" s="92"/>
      <c r="AQ82" s="92"/>
      <c r="AR82" s="92"/>
      <c r="AS82" s="92"/>
      <c r="AU82" s="92"/>
      <c r="AV82" s="92"/>
      <c r="AW82" s="92"/>
      <c r="AX82" s="92"/>
      <c r="AY82" s="92"/>
      <c r="AZ82" s="92"/>
      <c r="BA82" s="92"/>
      <c r="BB82" s="92"/>
    </row>
    <row r="83" spans="1:61" s="78" customFormat="1" ht="22.5" customHeight="1" thickBot="1">
      <c r="A83" s="495"/>
      <c r="B83" s="558"/>
      <c r="C83" s="559"/>
      <c r="D83" s="560"/>
      <c r="E83" s="560"/>
      <c r="F83" s="560"/>
      <c r="G83" s="560"/>
      <c r="H83" s="560"/>
      <c r="I83" s="560" t="s">
        <v>1234</v>
      </c>
      <c r="J83" s="560" t="s">
        <v>1235</v>
      </c>
      <c r="K83" s="560" t="s">
        <v>1211</v>
      </c>
      <c r="L83" s="560" t="str">
        <f>K83</f>
        <v>기본계획(안)작성</v>
      </c>
      <c r="M83" s="560" t="str">
        <f>L83</f>
        <v>기본계획(안)작성</v>
      </c>
      <c r="N83" s="560" t="s">
        <v>1236</v>
      </c>
      <c r="O83" s="560"/>
      <c r="P83" s="567"/>
      <c r="Q83" s="495"/>
      <c r="R83" s="557"/>
      <c r="S83" s="531" t="s">
        <v>816</v>
      </c>
      <c r="T83" s="526" t="s">
        <v>817</v>
      </c>
      <c r="U83" s="527" t="e">
        <f>U82-#REF!</f>
        <v>#REF!</v>
      </c>
      <c r="V83" s="532" t="s">
        <v>818</v>
      </c>
      <c r="W83" s="529" t="e">
        <f>(#REF!+BM83)/1000000</f>
        <v>#REF!</v>
      </c>
      <c r="X83" s="533"/>
      <c r="Y83" s="533"/>
      <c r="Z83" s="261"/>
      <c r="AA83" s="261"/>
      <c r="AB83" s="80" t="s">
        <v>817</v>
      </c>
      <c r="AC83" s="81" t="e">
        <f>AC82-#REF!</f>
        <v>#REF!</v>
      </c>
      <c r="AD83" s="82" t="s">
        <v>824</v>
      </c>
      <c r="AE83" s="83"/>
      <c r="AF83" s="77"/>
      <c r="AG83" s="77"/>
      <c r="AH83" s="77"/>
      <c r="AI83" s="77"/>
      <c r="AJ83" s="77"/>
      <c r="AK83" s="77"/>
      <c r="AL83" s="77"/>
      <c r="AM83" s="77"/>
      <c r="AN83" s="77"/>
      <c r="AO83" s="77"/>
      <c r="AP83" s="77"/>
      <c r="AQ83" s="77"/>
      <c r="AR83" s="77"/>
      <c r="AS83" s="77"/>
      <c r="AU83" s="77"/>
      <c r="AV83" s="77"/>
      <c r="AW83" s="77"/>
      <c r="AX83" s="77"/>
      <c r="AY83" s="77"/>
      <c r="AZ83" s="77"/>
      <c r="BA83" s="77"/>
      <c r="BB83" s="77"/>
    </row>
    <row r="84" spans="1:61" s="78" customFormat="1" ht="22.5" customHeight="1">
      <c r="A84" s="490" t="s">
        <v>1237</v>
      </c>
      <c r="B84" s="554">
        <v>0</v>
      </c>
      <c r="C84" s="555">
        <f>B84+D84+E84+F84+G84+H84+I84+J84+K84+L84+M84+N84+O84</f>
        <v>0.95000000000000007</v>
      </c>
      <c r="D84" s="525"/>
      <c r="E84" s="525"/>
      <c r="F84" s="525"/>
      <c r="G84" s="525"/>
      <c r="H84" s="525"/>
      <c r="I84" s="525">
        <v>0.05</v>
      </c>
      <c r="J84" s="525">
        <v>0.2</v>
      </c>
      <c r="K84" s="525">
        <v>0.2</v>
      </c>
      <c r="L84" s="525">
        <v>0.2</v>
      </c>
      <c r="M84" s="525">
        <v>0.2</v>
      </c>
      <c r="N84" s="525">
        <v>0.1</v>
      </c>
      <c r="O84" s="525"/>
      <c r="P84" s="566" t="str">
        <f>N85</f>
        <v>최종성과품 보고</v>
      </c>
      <c r="Q84" s="490" t="s">
        <v>1240</v>
      </c>
      <c r="R84" s="553" t="s">
        <v>1238</v>
      </c>
      <c r="S84" s="537" t="s">
        <v>1239</v>
      </c>
      <c r="T84" s="521" t="s">
        <v>814</v>
      </c>
      <c r="U84" s="522">
        <f>BK84/1100000</f>
        <v>0</v>
      </c>
      <c r="V84" s="523" t="s">
        <v>832</v>
      </c>
      <c r="W84" s="524" t="e">
        <f>U84*0.75-(#REF!+W85)</f>
        <v>#REF!</v>
      </c>
      <c r="X84" s="299" t="s">
        <v>1075</v>
      </c>
      <c r="Y84" s="79" t="s">
        <v>1076</v>
      </c>
      <c r="Z84" s="260" t="s">
        <v>1147</v>
      </c>
      <c r="AA84" s="260"/>
      <c r="AB84" s="80" t="s">
        <v>814</v>
      </c>
      <c r="AC84" s="81">
        <v>20040000</v>
      </c>
      <c r="AD84" s="82" t="s">
        <v>35</v>
      </c>
      <c r="AE84" s="83">
        <f>SUM(AF84:BB84)</f>
        <v>0</v>
      </c>
      <c r="AF84" s="91" t="s">
        <v>1148</v>
      </c>
      <c r="AG84" s="92">
        <v>0</v>
      </c>
      <c r="AH84" s="92" t="s">
        <v>1079</v>
      </c>
      <c r="AI84" s="92">
        <v>0</v>
      </c>
      <c r="AJ84" s="92" t="s">
        <v>1078</v>
      </c>
      <c r="AK84" s="92">
        <v>0</v>
      </c>
      <c r="AL84" s="92" t="s">
        <v>815</v>
      </c>
      <c r="AM84" s="92">
        <v>0</v>
      </c>
      <c r="AN84" s="92" t="s">
        <v>1080</v>
      </c>
      <c r="AO84" s="92"/>
      <c r="AP84" s="92"/>
      <c r="AQ84" s="92"/>
      <c r="AR84" s="92"/>
      <c r="AS84" s="92"/>
      <c r="AU84" s="92"/>
      <c r="AV84" s="92"/>
      <c r="AW84" s="92"/>
      <c r="AX84" s="92"/>
      <c r="AY84" s="92"/>
      <c r="AZ84" s="92"/>
      <c r="BA84" s="92"/>
      <c r="BB84" s="92"/>
    </row>
    <row r="85" spans="1:61" s="78" customFormat="1" ht="22.5" customHeight="1" thickBot="1">
      <c r="A85" s="495"/>
      <c r="B85" s="558"/>
      <c r="C85" s="559"/>
      <c r="D85" s="560"/>
      <c r="E85" s="560"/>
      <c r="F85" s="560"/>
      <c r="G85" s="560"/>
      <c r="H85" s="560"/>
      <c r="I85" s="560" t="s">
        <v>1241</v>
      </c>
      <c r="J85" s="560" t="s">
        <v>1211</v>
      </c>
      <c r="K85" s="560" t="s">
        <v>1242</v>
      </c>
      <c r="L85" s="560" t="s">
        <v>1243</v>
      </c>
      <c r="M85" s="560" t="s">
        <v>1244</v>
      </c>
      <c r="N85" s="560" t="s">
        <v>1245</v>
      </c>
      <c r="O85" s="560"/>
      <c r="P85" s="567"/>
      <c r="Q85" s="495"/>
      <c r="R85" s="557"/>
      <c r="S85" s="531" t="s">
        <v>816</v>
      </c>
      <c r="T85" s="526" t="s">
        <v>817</v>
      </c>
      <c r="U85" s="527" t="e">
        <f>U84-#REF!</f>
        <v>#REF!</v>
      </c>
      <c r="V85" s="532" t="s">
        <v>818</v>
      </c>
      <c r="W85" s="529" t="e">
        <f>(#REF!+BM85)/1000000</f>
        <v>#REF!</v>
      </c>
      <c r="X85" s="533"/>
      <c r="Y85" s="533"/>
      <c r="Z85" s="261"/>
      <c r="AA85" s="261"/>
      <c r="AB85" s="80" t="s">
        <v>817</v>
      </c>
      <c r="AC85" s="81" t="e">
        <f>AC84-#REF!</f>
        <v>#REF!</v>
      </c>
      <c r="AD85" s="82" t="s">
        <v>824</v>
      </c>
      <c r="AE85" s="83"/>
      <c r="AF85" s="77"/>
      <c r="AG85" s="77"/>
      <c r="AH85" s="77"/>
      <c r="AI85" s="77"/>
      <c r="AJ85" s="77"/>
      <c r="AK85" s="77"/>
      <c r="AL85" s="77"/>
      <c r="AM85" s="77"/>
      <c r="AN85" s="77"/>
      <c r="AO85" s="77"/>
      <c r="AP85" s="77"/>
      <c r="AQ85" s="77"/>
      <c r="AR85" s="77"/>
      <c r="AS85" s="77"/>
      <c r="AU85" s="77"/>
      <c r="AV85" s="77"/>
      <c r="AW85" s="77"/>
      <c r="AX85" s="77"/>
      <c r="AY85" s="77"/>
      <c r="AZ85" s="77"/>
      <c r="BA85" s="77"/>
      <c r="BB85" s="77"/>
    </row>
    <row r="86" spans="1:61" s="78" customFormat="1" ht="22.5" customHeight="1">
      <c r="A86" s="490" t="s">
        <v>1246</v>
      </c>
      <c r="B86" s="554">
        <v>0</v>
      </c>
      <c r="C86" s="555">
        <f>B86+D86+E86+F86+G86+H86+I86+J86+K86+L86+M86+N86+O86</f>
        <v>0.89999999999999991</v>
      </c>
      <c r="D86" s="525"/>
      <c r="E86" s="525"/>
      <c r="F86" s="525"/>
      <c r="G86" s="525"/>
      <c r="H86" s="525"/>
      <c r="I86" s="525">
        <v>0.1</v>
      </c>
      <c r="J86" s="525">
        <v>0.2</v>
      </c>
      <c r="K86" s="525">
        <v>0.2</v>
      </c>
      <c r="L86" s="525">
        <v>0.2</v>
      </c>
      <c r="M86" s="525">
        <v>0.1</v>
      </c>
      <c r="N86" s="525">
        <v>0.1</v>
      </c>
      <c r="O86" s="525"/>
      <c r="P86" s="566" t="str">
        <f>N87</f>
        <v>세부설계진행</v>
      </c>
      <c r="Q86" s="490" t="s">
        <v>1249</v>
      </c>
      <c r="R86" s="553" t="s">
        <v>1247</v>
      </c>
      <c r="S86" s="537" t="s">
        <v>1248</v>
      </c>
      <c r="T86" s="521" t="s">
        <v>814</v>
      </c>
      <c r="U86" s="522">
        <f>BK86/1100000</f>
        <v>0</v>
      </c>
      <c r="V86" s="523" t="s">
        <v>832</v>
      </c>
      <c r="W86" s="524" t="e">
        <f>U86*0.75-(#REF!+W87)</f>
        <v>#REF!</v>
      </c>
      <c r="X86" s="299" t="s">
        <v>1075</v>
      </c>
      <c r="Y86" s="79" t="s">
        <v>1076</v>
      </c>
      <c r="Z86" s="260" t="s">
        <v>65</v>
      </c>
      <c r="AA86" s="260"/>
      <c r="AB86" s="80" t="s">
        <v>89</v>
      </c>
      <c r="AC86" s="81">
        <v>20250000</v>
      </c>
      <c r="AD86" s="82" t="s">
        <v>98</v>
      </c>
      <c r="AE86" s="83">
        <f>SUM(AF86:BB86)</f>
        <v>0</v>
      </c>
      <c r="AF86" s="91" t="s">
        <v>482</v>
      </c>
      <c r="AG86" s="92">
        <v>0</v>
      </c>
      <c r="AH86" s="92" t="s">
        <v>1105</v>
      </c>
      <c r="AI86" s="92">
        <v>0</v>
      </c>
      <c r="AJ86" s="92" t="s">
        <v>1104</v>
      </c>
      <c r="AK86" s="92">
        <v>0</v>
      </c>
      <c r="AL86" s="92" t="s">
        <v>56</v>
      </c>
      <c r="AM86" s="92">
        <v>0</v>
      </c>
      <c r="AN86" s="92" t="s">
        <v>207</v>
      </c>
      <c r="AO86" s="92"/>
      <c r="AP86" s="92"/>
      <c r="AQ86" s="92"/>
      <c r="AR86" s="92"/>
      <c r="AS86" s="92"/>
      <c r="AU86" s="92"/>
      <c r="AV86" s="92"/>
      <c r="AW86" s="92"/>
      <c r="AX86" s="92"/>
      <c r="AY86" s="92"/>
      <c r="AZ86" s="92"/>
      <c r="BA86" s="92"/>
      <c r="BB86" s="92"/>
    </row>
    <row r="87" spans="1:61" s="78" customFormat="1" ht="22.5" customHeight="1" thickBot="1">
      <c r="A87" s="495"/>
      <c r="B87" s="558"/>
      <c r="C87" s="559"/>
      <c r="D87" s="560"/>
      <c r="E87" s="560"/>
      <c r="F87" s="560"/>
      <c r="G87" s="560"/>
      <c r="H87" s="560"/>
      <c r="I87" s="560" t="s">
        <v>1241</v>
      </c>
      <c r="J87" s="560" t="s">
        <v>1251</v>
      </c>
      <c r="K87" s="560" t="s">
        <v>1252</v>
      </c>
      <c r="L87" s="560" t="s">
        <v>1253</v>
      </c>
      <c r="M87" s="560" t="s">
        <v>1254</v>
      </c>
      <c r="N87" s="560" t="s">
        <v>1127</v>
      </c>
      <c r="O87" s="560"/>
      <c r="P87" s="567"/>
      <c r="Q87" s="495"/>
      <c r="R87" s="557"/>
      <c r="S87" s="531" t="s">
        <v>1250</v>
      </c>
      <c r="T87" s="526" t="s">
        <v>817</v>
      </c>
      <c r="U87" s="527" t="e">
        <f>U86-#REF!</f>
        <v>#REF!</v>
      </c>
      <c r="V87" s="532" t="s">
        <v>818</v>
      </c>
      <c r="W87" s="529" t="e">
        <f>(#REF!+BM87)/1000000</f>
        <v>#REF!</v>
      </c>
      <c r="X87" s="533"/>
      <c r="Y87" s="533"/>
      <c r="Z87" s="261"/>
      <c r="AA87" s="261"/>
      <c r="AB87" s="80" t="s">
        <v>817</v>
      </c>
      <c r="AC87" s="81" t="e">
        <f>AC86-#REF!</f>
        <v>#REF!</v>
      </c>
      <c r="AD87" s="82" t="s">
        <v>824</v>
      </c>
      <c r="AE87" s="83"/>
      <c r="AF87" s="77"/>
      <c r="AG87" s="77"/>
      <c r="AH87" s="77"/>
      <c r="AI87" s="77"/>
      <c r="AJ87" s="77"/>
      <c r="AK87" s="77"/>
      <c r="AL87" s="77"/>
      <c r="AM87" s="77"/>
      <c r="AN87" s="77"/>
      <c r="AO87" s="77"/>
      <c r="AP87" s="77"/>
      <c r="AQ87" s="77"/>
      <c r="AR87" s="77"/>
      <c r="AS87" s="77"/>
      <c r="AU87" s="77"/>
      <c r="AV87" s="77"/>
      <c r="AW87" s="77"/>
      <c r="AX87" s="77"/>
      <c r="AY87" s="77"/>
      <c r="AZ87" s="77"/>
      <c r="BA87" s="77"/>
      <c r="BB87" s="77"/>
    </row>
    <row r="88" spans="1:61" s="78" customFormat="1" ht="22.5" customHeight="1" thickBot="1">
      <c r="A88" s="247" t="s">
        <v>736</v>
      </c>
      <c r="B88" s="445">
        <v>0.95000000000000018</v>
      </c>
      <c r="C88" s="446">
        <f>B88+D88+E88+F88+G88+H88+I88+J88+K88+N88</f>
        <v>0.98600000000000021</v>
      </c>
      <c r="D88" s="297">
        <v>1E-3</v>
      </c>
      <c r="E88" s="297">
        <v>5.0000000000000001E-3</v>
      </c>
      <c r="F88" s="297">
        <v>5.0000000000000001E-3</v>
      </c>
      <c r="G88" s="297">
        <v>0.01</v>
      </c>
      <c r="H88" s="297">
        <v>0</v>
      </c>
      <c r="I88" s="297">
        <v>5.0000000000000001E-3</v>
      </c>
      <c r="J88" s="297">
        <v>0.01</v>
      </c>
      <c r="K88" s="297">
        <v>0</v>
      </c>
      <c r="L88" s="297">
        <v>0</v>
      </c>
      <c r="M88" s="297">
        <v>0</v>
      </c>
      <c r="N88" s="297">
        <v>0</v>
      </c>
      <c r="O88" s="297"/>
      <c r="P88" s="298" t="s">
        <v>791</v>
      </c>
      <c r="Q88" s="447" t="s">
        <v>792</v>
      </c>
      <c r="R88" s="444" t="s">
        <v>790</v>
      </c>
      <c r="S88" s="292" t="s">
        <v>465</v>
      </c>
      <c r="T88" s="293" t="s">
        <v>89</v>
      </c>
      <c r="U88" s="294">
        <f>AZ88/1100000</f>
        <v>0</v>
      </c>
      <c r="V88" s="295" t="s">
        <v>7</v>
      </c>
      <c r="W88" s="296" t="e">
        <f>U88*0.75-(#REF!+W89)</f>
        <v>#REF!</v>
      </c>
      <c r="X88" s="299" t="s">
        <v>90</v>
      </c>
      <c r="Y88" s="79" t="s">
        <v>34</v>
      </c>
      <c r="Z88" s="275"/>
      <c r="AA88" s="260" t="s">
        <v>194</v>
      </c>
      <c r="AB88" s="80" t="s">
        <v>89</v>
      </c>
      <c r="AC88" s="81">
        <v>1100000000</v>
      </c>
      <c r="AD88" s="82" t="s">
        <v>98</v>
      </c>
      <c r="AE88" s="83">
        <f>SUM(AF88:BB88)</f>
        <v>405000000</v>
      </c>
      <c r="AF88" s="300" t="s">
        <v>793</v>
      </c>
      <c r="AG88" s="301">
        <f>68604000</f>
        <v>68604000</v>
      </c>
      <c r="AH88" s="301" t="s">
        <v>794</v>
      </c>
      <c r="AI88" s="301">
        <f>106896000</f>
        <v>106896000</v>
      </c>
      <c r="AJ88" s="301" t="s">
        <v>795</v>
      </c>
      <c r="AK88" s="301">
        <f>14500000</f>
        <v>14500000</v>
      </c>
      <c r="AL88" s="301" t="s">
        <v>796</v>
      </c>
      <c r="AM88" s="301">
        <f>65000000</f>
        <v>65000000</v>
      </c>
      <c r="AN88" s="301" t="s">
        <v>797</v>
      </c>
      <c r="AO88" s="301">
        <f>150000000</f>
        <v>150000000</v>
      </c>
      <c r="AP88" s="301"/>
      <c r="AQ88" s="301"/>
      <c r="AR88" s="301"/>
      <c r="AS88" s="301"/>
      <c r="AT88" s="78" t="s">
        <v>1291</v>
      </c>
      <c r="AU88" s="301"/>
      <c r="AV88" s="301"/>
      <c r="AW88" s="301"/>
      <c r="AX88" s="301"/>
      <c r="AY88" s="301"/>
      <c r="AZ88" s="301"/>
      <c r="BA88" s="301"/>
      <c r="BB88" s="301"/>
    </row>
    <row r="89" spans="1:61" s="78" customFormat="1" ht="22.5" customHeight="1" thickBot="1">
      <c r="A89" s="248"/>
      <c r="B89" s="448"/>
      <c r="C89" s="449"/>
      <c r="D89" s="451" t="s">
        <v>802</v>
      </c>
      <c r="E89" s="451" t="s">
        <v>803</v>
      </c>
      <c r="F89" s="451" t="s">
        <v>804</v>
      </c>
      <c r="G89" s="451" t="s">
        <v>805</v>
      </c>
      <c r="H89" s="451" t="s">
        <v>806</v>
      </c>
      <c r="I89" s="451" t="s">
        <v>805</v>
      </c>
      <c r="J89" s="451" t="s">
        <v>805</v>
      </c>
      <c r="K89" s="451" t="s">
        <v>806</v>
      </c>
      <c r="L89" s="451" t="s">
        <v>806</v>
      </c>
      <c r="M89" s="451" t="s">
        <v>807</v>
      </c>
      <c r="N89" s="451" t="s">
        <v>806</v>
      </c>
      <c r="O89" s="451"/>
      <c r="P89" s="311"/>
      <c r="Q89" s="450"/>
      <c r="R89" s="433"/>
      <c r="S89" s="309" t="s">
        <v>67</v>
      </c>
      <c r="T89" s="303" t="s">
        <v>196</v>
      </c>
      <c r="U89" s="304" t="e">
        <f>U88-#REF!</f>
        <v>#REF!</v>
      </c>
      <c r="V89" s="310" t="s">
        <v>15</v>
      </c>
      <c r="W89" s="306" t="e">
        <f>(#REF!+BB89)/1100000</f>
        <v>#REF!</v>
      </c>
      <c r="X89" s="85"/>
      <c r="Y89" s="69"/>
      <c r="Z89" s="285"/>
      <c r="AA89" s="261"/>
      <c r="AB89" s="80" t="s">
        <v>196</v>
      </c>
      <c r="AC89" s="81">
        <v>300000000</v>
      </c>
      <c r="AD89" s="82" t="s">
        <v>100</v>
      </c>
      <c r="AE89" s="83"/>
      <c r="AF89" s="278"/>
      <c r="AG89" s="278"/>
      <c r="AH89" s="278"/>
      <c r="AI89" s="278"/>
      <c r="AJ89" s="278"/>
      <c r="AK89" s="278"/>
      <c r="AL89" s="278"/>
      <c r="AM89" s="278"/>
      <c r="AN89" s="278"/>
      <c r="AO89" s="278"/>
      <c r="AP89" s="278"/>
      <c r="AQ89" s="278"/>
      <c r="AR89" s="278"/>
      <c r="AS89" s="278"/>
      <c r="AT89" s="68"/>
      <c r="AU89" s="278"/>
      <c r="AV89" s="278"/>
      <c r="AW89" s="278"/>
      <c r="AX89" s="278"/>
      <c r="AY89" s="278"/>
      <c r="AZ89" s="278"/>
      <c r="BA89" s="278"/>
      <c r="BB89" s="278"/>
      <c r="BD89" s="68"/>
      <c r="BE89" s="68"/>
      <c r="BF89" s="68"/>
      <c r="BG89" s="68"/>
      <c r="BH89" s="68"/>
      <c r="BI89" s="68"/>
    </row>
    <row r="90" spans="1:61" s="78" customFormat="1" ht="22.5" customHeight="1" thickBot="1">
      <c r="A90" s="247" t="s">
        <v>808</v>
      </c>
      <c r="B90" s="445">
        <v>0.99200000000000033</v>
      </c>
      <c r="C90" s="446">
        <f>B90+D90+E90+F90+G90+H90+I90+J90+K90+N90</f>
        <v>0.99600000000000033</v>
      </c>
      <c r="D90" s="297">
        <v>1E-3</v>
      </c>
      <c r="E90" s="297">
        <v>1E-3</v>
      </c>
      <c r="F90" s="297">
        <v>1E-3</v>
      </c>
      <c r="G90" s="297">
        <v>1E-3</v>
      </c>
      <c r="H90" s="297">
        <v>0</v>
      </c>
      <c r="I90" s="297">
        <v>0</v>
      </c>
      <c r="J90" s="297">
        <v>0</v>
      </c>
      <c r="K90" s="297">
        <v>0</v>
      </c>
      <c r="L90" s="297">
        <v>0</v>
      </c>
      <c r="M90" s="297">
        <v>0</v>
      </c>
      <c r="N90" s="297">
        <v>0</v>
      </c>
      <c r="O90" s="297">
        <v>1E-3</v>
      </c>
      <c r="P90" s="319" t="s">
        <v>800</v>
      </c>
      <c r="Q90" s="447" t="s">
        <v>811</v>
      </c>
      <c r="R90" s="444" t="s">
        <v>809</v>
      </c>
      <c r="S90" s="292" t="s">
        <v>810</v>
      </c>
      <c r="T90" s="293" t="s">
        <v>89</v>
      </c>
      <c r="U90" s="294">
        <f>AZ90/1100000</f>
        <v>0</v>
      </c>
      <c r="V90" s="295" t="s">
        <v>7</v>
      </c>
      <c r="W90" s="296" t="e">
        <f>U90*0.75-(#REF!+W91)</f>
        <v>#REF!</v>
      </c>
      <c r="X90" s="299" t="s">
        <v>812</v>
      </c>
      <c r="Y90" s="53" t="s">
        <v>813</v>
      </c>
      <c r="Z90" s="275"/>
      <c r="AA90" s="260"/>
      <c r="AB90" s="80" t="s">
        <v>814</v>
      </c>
      <c r="AC90" s="81">
        <v>99000000</v>
      </c>
      <c r="AD90" s="82" t="s">
        <v>35</v>
      </c>
      <c r="AE90" s="83">
        <f>SUM(AF90:BB90)</f>
        <v>15000000</v>
      </c>
      <c r="AF90" s="300" t="s">
        <v>815</v>
      </c>
      <c r="AG90" s="301">
        <v>15000000</v>
      </c>
      <c r="AH90" s="301"/>
      <c r="AI90" s="301"/>
      <c r="AJ90" s="301"/>
      <c r="AK90" s="301"/>
      <c r="AL90" s="301"/>
      <c r="AM90" s="301"/>
      <c r="AN90" s="301"/>
      <c r="AO90" s="301"/>
      <c r="AP90" s="301"/>
      <c r="AQ90" s="301"/>
      <c r="AR90" s="301"/>
      <c r="AS90" s="301"/>
      <c r="AU90" s="301"/>
      <c r="AV90" s="301"/>
      <c r="AW90" s="301"/>
      <c r="AX90" s="301"/>
      <c r="AY90" s="301"/>
      <c r="AZ90" s="301"/>
      <c r="BA90" s="301"/>
      <c r="BB90" s="301"/>
    </row>
    <row r="91" spans="1:61" s="78" customFormat="1" ht="22.5" customHeight="1" thickBot="1">
      <c r="A91" s="248"/>
      <c r="B91" s="448"/>
      <c r="C91" s="449"/>
      <c r="D91" s="451" t="s">
        <v>820</v>
      </c>
      <c r="E91" s="451" t="s">
        <v>820</v>
      </c>
      <c r="F91" s="451" t="s">
        <v>820</v>
      </c>
      <c r="G91" s="451"/>
      <c r="H91" s="451" t="s">
        <v>821</v>
      </c>
      <c r="I91" s="451" t="s">
        <v>822</v>
      </c>
      <c r="J91" s="451" t="s">
        <v>823</v>
      </c>
      <c r="K91" s="451" t="s">
        <v>821</v>
      </c>
      <c r="L91" s="451" t="s">
        <v>821</v>
      </c>
      <c r="M91" s="451" t="s">
        <v>821</v>
      </c>
      <c r="N91" s="451" t="s">
        <v>821</v>
      </c>
      <c r="O91" s="451" t="s">
        <v>819</v>
      </c>
      <c r="P91" s="321"/>
      <c r="Q91" s="450"/>
      <c r="R91" s="433"/>
      <c r="S91" s="309" t="s">
        <v>816</v>
      </c>
      <c r="T91" s="303" t="s">
        <v>817</v>
      </c>
      <c r="U91" s="304" t="e">
        <f>U90-#REF!</f>
        <v>#REF!</v>
      </c>
      <c r="V91" s="310" t="s">
        <v>818</v>
      </c>
      <c r="W91" s="306" t="e">
        <f>(#REF!+BB91)/1100000</f>
        <v>#REF!</v>
      </c>
      <c r="X91" s="85"/>
      <c r="Y91" s="75"/>
      <c r="Z91" s="275"/>
      <c r="AA91" s="261"/>
      <c r="AB91" s="80" t="s">
        <v>817</v>
      </c>
      <c r="AC91" s="81">
        <v>27808000</v>
      </c>
      <c r="AD91" s="82" t="s">
        <v>824</v>
      </c>
      <c r="AE91" s="83"/>
      <c r="AF91" s="278"/>
      <c r="AG91" s="278"/>
      <c r="AH91" s="278"/>
      <c r="AI91" s="278"/>
      <c r="AJ91" s="278"/>
      <c r="AK91" s="278"/>
      <c r="AL91" s="278"/>
      <c r="AM91" s="278"/>
      <c r="AN91" s="278"/>
      <c r="AO91" s="278"/>
      <c r="AP91" s="278"/>
      <c r="AQ91" s="278"/>
      <c r="AR91" s="278"/>
      <c r="AS91" s="278"/>
      <c r="AT91" s="68"/>
      <c r="AU91" s="278"/>
      <c r="AV91" s="278"/>
      <c r="AW91" s="278"/>
      <c r="AX91" s="278"/>
      <c r="AY91" s="278"/>
      <c r="AZ91" s="278"/>
      <c r="BA91" s="278"/>
      <c r="BB91" s="278"/>
      <c r="BD91" s="68"/>
      <c r="BE91" s="68"/>
      <c r="BF91" s="68"/>
      <c r="BG91" s="68"/>
      <c r="BH91" s="68"/>
      <c r="BI91" s="68"/>
    </row>
    <row r="92" spans="1:61" s="329" customFormat="1" ht="22.5" customHeight="1" thickBot="1">
      <c r="A92" s="247" t="s">
        <v>829</v>
      </c>
      <c r="B92" s="445">
        <v>0.11000000000000001</v>
      </c>
      <c r="C92" s="446">
        <f>B92+D92+E92+F92+G92+H92+I92+J92+K92+N92</f>
        <v>0.24000000000000002</v>
      </c>
      <c r="D92" s="297">
        <v>0.02</v>
      </c>
      <c r="E92" s="297">
        <v>0.01</v>
      </c>
      <c r="F92" s="297">
        <v>0.01</v>
      </c>
      <c r="G92" s="297">
        <v>0.02</v>
      </c>
      <c r="H92" s="297">
        <v>0.02</v>
      </c>
      <c r="I92" s="297">
        <v>0.02</v>
      </c>
      <c r="J92" s="297">
        <v>0.01</v>
      </c>
      <c r="K92" s="297">
        <v>0.01</v>
      </c>
      <c r="L92" s="297">
        <v>0.01</v>
      </c>
      <c r="M92" s="297">
        <v>0.01</v>
      </c>
      <c r="N92" s="297">
        <v>0.01</v>
      </c>
      <c r="O92" s="297"/>
      <c r="P92" s="319" t="s">
        <v>833</v>
      </c>
      <c r="Q92" s="447" t="s">
        <v>834</v>
      </c>
      <c r="R92" s="444" t="s">
        <v>830</v>
      </c>
      <c r="S92" s="292" t="s">
        <v>831</v>
      </c>
      <c r="T92" s="293" t="s">
        <v>814</v>
      </c>
      <c r="U92" s="294">
        <f>AZ92/1100000</f>
        <v>0</v>
      </c>
      <c r="V92" s="295" t="s">
        <v>832</v>
      </c>
      <c r="W92" s="296" t="e">
        <f>U92*0.75-(#REF!+W93)</f>
        <v>#REF!</v>
      </c>
      <c r="X92" s="299" t="s">
        <v>812</v>
      </c>
      <c r="Y92" s="79" t="s">
        <v>813</v>
      </c>
      <c r="Z92" s="322"/>
      <c r="AA92" s="456"/>
      <c r="AB92" s="323" t="s">
        <v>814</v>
      </c>
      <c r="AC92" s="324">
        <v>1738000000</v>
      </c>
      <c r="AD92" s="325" t="s">
        <v>35</v>
      </c>
      <c r="AE92" s="326">
        <f>SUM(AF92:BB92)</f>
        <v>942800000</v>
      </c>
      <c r="AF92" s="327" t="s">
        <v>835</v>
      </c>
      <c r="AG92" s="328">
        <v>452800000</v>
      </c>
      <c r="AH92" s="328" t="s">
        <v>836</v>
      </c>
      <c r="AI92" s="328">
        <v>112000000</v>
      </c>
      <c r="AJ92" s="328" t="s">
        <v>837</v>
      </c>
      <c r="AK92" s="328">
        <v>44000000</v>
      </c>
      <c r="AL92" s="328" t="s">
        <v>838</v>
      </c>
      <c r="AM92" s="328">
        <v>76500000</v>
      </c>
      <c r="AN92" s="328" t="s">
        <v>839</v>
      </c>
      <c r="AO92" s="328">
        <v>88000000</v>
      </c>
      <c r="AP92" s="328" t="s">
        <v>840</v>
      </c>
      <c r="AQ92" s="328">
        <v>81000000</v>
      </c>
      <c r="AR92" s="328" t="s">
        <v>841</v>
      </c>
      <c r="AS92" s="328">
        <v>88500000</v>
      </c>
      <c r="AU92" s="328"/>
      <c r="AV92" s="328"/>
      <c r="AW92" s="328"/>
      <c r="AX92" s="328"/>
      <c r="AY92" s="328"/>
      <c r="AZ92" s="328"/>
      <c r="BA92" s="328"/>
      <c r="BB92" s="328"/>
    </row>
    <row r="93" spans="1:61" s="329" customFormat="1" ht="22.5" customHeight="1" thickBot="1">
      <c r="A93" s="248"/>
      <c r="B93" s="448"/>
      <c r="C93" s="449"/>
      <c r="D93" s="451" t="s">
        <v>843</v>
      </c>
      <c r="E93" s="451" t="s">
        <v>844</v>
      </c>
      <c r="F93" s="451" t="s">
        <v>821</v>
      </c>
      <c r="G93" s="451" t="s">
        <v>821</v>
      </c>
      <c r="H93" s="451" t="s">
        <v>845</v>
      </c>
      <c r="I93" s="451" t="s">
        <v>819</v>
      </c>
      <c r="J93" s="451" t="s">
        <v>846</v>
      </c>
      <c r="K93" s="451" t="s">
        <v>847</v>
      </c>
      <c r="L93" s="451" t="s">
        <v>847</v>
      </c>
      <c r="M93" s="451" t="s">
        <v>833</v>
      </c>
      <c r="N93" s="451" t="s">
        <v>833</v>
      </c>
      <c r="O93" s="451" t="s">
        <v>842</v>
      </c>
      <c r="P93" s="321"/>
      <c r="Q93" s="450"/>
      <c r="R93" s="433"/>
      <c r="S93" s="309" t="s">
        <v>816</v>
      </c>
      <c r="T93" s="303" t="s">
        <v>817</v>
      </c>
      <c r="U93" s="304" t="e">
        <f>U92-#REF!</f>
        <v>#REF!</v>
      </c>
      <c r="V93" s="310" t="s">
        <v>818</v>
      </c>
      <c r="W93" s="306" t="e">
        <f>(#REF!+BB93)/1100000</f>
        <v>#REF!</v>
      </c>
      <c r="X93" s="85"/>
      <c r="Y93" s="75"/>
      <c r="Z93" s="322"/>
      <c r="AA93" s="457"/>
      <c r="AB93" s="323" t="s">
        <v>817</v>
      </c>
      <c r="AC93" s="324">
        <v>1267200000</v>
      </c>
      <c r="AD93" s="325" t="s">
        <v>824</v>
      </c>
      <c r="AE93" s="326"/>
      <c r="AF93" s="331"/>
      <c r="AG93" s="331"/>
      <c r="AH93" s="331"/>
      <c r="AI93" s="331"/>
      <c r="AJ93" s="331"/>
      <c r="AK93" s="331"/>
      <c r="AL93" s="331"/>
      <c r="AM93" s="331"/>
      <c r="AN93" s="331"/>
      <c r="AO93" s="331"/>
      <c r="AP93" s="331"/>
      <c r="AQ93" s="331"/>
      <c r="AR93" s="331"/>
      <c r="AS93" s="331"/>
      <c r="AT93" s="330"/>
      <c r="AU93" s="331"/>
      <c r="AV93" s="331"/>
      <c r="AW93" s="331"/>
      <c r="AX93" s="331"/>
      <c r="AY93" s="331"/>
      <c r="AZ93" s="331"/>
      <c r="BA93" s="331"/>
      <c r="BB93" s="331"/>
      <c r="BD93" s="330"/>
      <c r="BE93" s="330"/>
      <c r="BF93" s="330"/>
      <c r="BG93" s="330"/>
      <c r="BH93" s="330"/>
      <c r="BI93" s="330"/>
    </row>
    <row r="94" spans="1:61" s="78" customFormat="1" ht="22.5" customHeight="1" thickBot="1">
      <c r="A94" s="247" t="s">
        <v>848</v>
      </c>
      <c r="B94" s="445">
        <v>1.0500000000000003</v>
      </c>
      <c r="C94" s="446">
        <f>B94+D94+E94+F94+G94+H94+I94+J94+K94+N94</f>
        <v>1.0650000000000002</v>
      </c>
      <c r="D94" s="297">
        <v>0.01</v>
      </c>
      <c r="E94" s="297">
        <v>5.0000000000000001E-3</v>
      </c>
      <c r="F94" s="297">
        <v>0</v>
      </c>
      <c r="G94" s="297">
        <v>0</v>
      </c>
      <c r="H94" s="297">
        <v>0</v>
      </c>
      <c r="I94" s="297">
        <v>0</v>
      </c>
      <c r="J94" s="297">
        <v>0</v>
      </c>
      <c r="K94" s="297">
        <v>0</v>
      </c>
      <c r="L94" s="297">
        <v>0</v>
      </c>
      <c r="M94" s="297">
        <v>0</v>
      </c>
      <c r="N94" s="297">
        <v>0</v>
      </c>
      <c r="O94" s="297">
        <v>0.02</v>
      </c>
      <c r="P94" s="319" t="s">
        <v>821</v>
      </c>
      <c r="Q94" s="447" t="s">
        <v>851</v>
      </c>
      <c r="R94" s="444" t="s">
        <v>849</v>
      </c>
      <c r="S94" s="292" t="s">
        <v>850</v>
      </c>
      <c r="T94" s="293" t="s">
        <v>814</v>
      </c>
      <c r="U94" s="294">
        <f>AZ94/1100000</f>
        <v>0</v>
      </c>
      <c r="V94" s="295" t="s">
        <v>832</v>
      </c>
      <c r="W94" s="296" t="e">
        <f>U94*0.75-(#REF!+W95)</f>
        <v>#REF!</v>
      </c>
      <c r="X94" s="299" t="s">
        <v>812</v>
      </c>
      <c r="Y94" s="79" t="s">
        <v>813</v>
      </c>
      <c r="Z94" s="275"/>
      <c r="AA94" s="260"/>
      <c r="AB94" s="80" t="s">
        <v>814</v>
      </c>
      <c r="AC94" s="81">
        <v>605000000</v>
      </c>
      <c r="AD94" s="82" t="s">
        <v>35</v>
      </c>
      <c r="AE94" s="83">
        <f>SUM(AF94:BB94)</f>
        <v>238700000</v>
      </c>
      <c r="AF94" s="300" t="s">
        <v>794</v>
      </c>
      <c r="AG94" s="301">
        <v>88550000</v>
      </c>
      <c r="AH94" s="301" t="s">
        <v>815</v>
      </c>
      <c r="AI94" s="301">
        <v>73150000</v>
      </c>
      <c r="AJ94" s="301" t="s">
        <v>853</v>
      </c>
      <c r="AK94" s="301">
        <v>19250000</v>
      </c>
      <c r="AL94" s="301" t="s">
        <v>796</v>
      </c>
      <c r="AM94" s="301">
        <v>57750000</v>
      </c>
      <c r="AN94" s="301"/>
      <c r="AO94" s="301"/>
      <c r="AP94" s="301"/>
      <c r="AQ94" s="301"/>
      <c r="AR94" s="301"/>
      <c r="AS94" s="301"/>
      <c r="AU94" s="301"/>
      <c r="AV94" s="301"/>
      <c r="AW94" s="301"/>
      <c r="AX94" s="301"/>
      <c r="AY94" s="301"/>
      <c r="AZ94" s="301"/>
      <c r="BA94" s="301"/>
      <c r="BB94" s="301"/>
    </row>
    <row r="95" spans="1:61" s="78" customFormat="1" ht="22.5" customHeight="1" thickBot="1">
      <c r="A95" s="248"/>
      <c r="B95" s="448"/>
      <c r="C95" s="449"/>
      <c r="D95" s="451" t="s">
        <v>858</v>
      </c>
      <c r="E95" s="451" t="s">
        <v>859</v>
      </c>
      <c r="F95" s="451" t="s">
        <v>860</v>
      </c>
      <c r="G95" s="451" t="s">
        <v>860</v>
      </c>
      <c r="H95" s="451" t="s">
        <v>861</v>
      </c>
      <c r="I95" s="451" t="s">
        <v>861</v>
      </c>
      <c r="J95" s="451" t="s">
        <v>862</v>
      </c>
      <c r="K95" s="451" t="s">
        <v>861</v>
      </c>
      <c r="L95" s="451" t="s">
        <v>861</v>
      </c>
      <c r="M95" s="451" t="s">
        <v>861</v>
      </c>
      <c r="N95" s="451" t="s">
        <v>861</v>
      </c>
      <c r="O95" s="451" t="s">
        <v>857</v>
      </c>
      <c r="P95" s="321"/>
      <c r="Q95" s="450"/>
      <c r="R95" s="433"/>
      <c r="S95" s="309" t="s">
        <v>854</v>
      </c>
      <c r="T95" s="303" t="s">
        <v>855</v>
      </c>
      <c r="U95" s="304" t="e">
        <f>U94-#REF!</f>
        <v>#REF!</v>
      </c>
      <c r="V95" s="310" t="s">
        <v>856</v>
      </c>
      <c r="W95" s="306" t="e">
        <f>(#REF!+BB95)/1100000</f>
        <v>#REF!</v>
      </c>
      <c r="X95" s="85"/>
      <c r="Y95" s="75"/>
      <c r="Z95" s="275"/>
      <c r="AA95" s="261"/>
      <c r="AB95" s="80" t="s">
        <v>855</v>
      </c>
      <c r="AC95" s="81">
        <v>44000000</v>
      </c>
      <c r="AD95" s="82" t="s">
        <v>863</v>
      </c>
      <c r="AE95" s="83"/>
      <c r="AF95" s="278"/>
      <c r="AG95" s="278"/>
      <c r="AH95" s="278"/>
      <c r="AI95" s="278"/>
      <c r="AJ95" s="278"/>
      <c r="AK95" s="278"/>
      <c r="AL95" s="278"/>
      <c r="AM95" s="278"/>
      <c r="AN95" s="278"/>
      <c r="AO95" s="278"/>
      <c r="AP95" s="278"/>
      <c r="AQ95" s="278"/>
      <c r="AR95" s="278"/>
      <c r="AS95" s="278"/>
      <c r="AT95" s="68"/>
      <c r="AU95" s="278"/>
      <c r="AV95" s="278"/>
      <c r="AW95" s="278"/>
      <c r="AX95" s="278"/>
      <c r="AY95" s="278"/>
      <c r="AZ95" s="278"/>
      <c r="BA95" s="278"/>
      <c r="BB95" s="278"/>
      <c r="BD95" s="68"/>
      <c r="BE95" s="68"/>
      <c r="BF95" s="68"/>
      <c r="BG95" s="68"/>
      <c r="BH95" s="68"/>
      <c r="BI95" s="68"/>
    </row>
    <row r="96" spans="1:61" s="78" customFormat="1" ht="22.5" customHeight="1" thickBot="1">
      <c r="A96" s="247" t="s">
        <v>864</v>
      </c>
      <c r="B96" s="445">
        <v>0.39000000000000007</v>
      </c>
      <c r="C96" s="446">
        <f>B96+D96+E96+F96+G96+H96+I96+J96+K96+N96</f>
        <v>0.54000000000000015</v>
      </c>
      <c r="D96" s="297">
        <v>0.01</v>
      </c>
      <c r="E96" s="297">
        <v>0.01</v>
      </c>
      <c r="F96" s="297">
        <v>0.01</v>
      </c>
      <c r="G96" s="297">
        <v>0.02</v>
      </c>
      <c r="H96" s="297">
        <v>0.02</v>
      </c>
      <c r="I96" s="297">
        <v>0.03</v>
      </c>
      <c r="J96" s="297">
        <v>0.03</v>
      </c>
      <c r="K96" s="297">
        <v>0.01</v>
      </c>
      <c r="L96" s="297">
        <v>0</v>
      </c>
      <c r="M96" s="297">
        <v>0.01</v>
      </c>
      <c r="N96" s="297">
        <v>0.01</v>
      </c>
      <c r="O96" s="297">
        <v>0.01</v>
      </c>
      <c r="P96" s="319" t="s">
        <v>869</v>
      </c>
      <c r="Q96" s="447" t="s">
        <v>870</v>
      </c>
      <c r="R96" s="444" t="s">
        <v>865</v>
      </c>
      <c r="S96" s="292" t="s">
        <v>866</v>
      </c>
      <c r="T96" s="293" t="s">
        <v>867</v>
      </c>
      <c r="U96" s="294">
        <f>AZ96/1100000</f>
        <v>0</v>
      </c>
      <c r="V96" s="295" t="s">
        <v>868</v>
      </c>
      <c r="W96" s="296" t="e">
        <f>U96*0.75-(#REF!+W97)</f>
        <v>#REF!</v>
      </c>
      <c r="X96" s="299" t="s">
        <v>871</v>
      </c>
      <c r="Y96" s="79" t="s">
        <v>872</v>
      </c>
      <c r="Z96" s="275"/>
      <c r="AA96" s="260"/>
      <c r="AB96" s="80" t="s">
        <v>867</v>
      </c>
      <c r="AC96" s="81">
        <v>2112000000</v>
      </c>
      <c r="AD96" s="82" t="s">
        <v>873</v>
      </c>
      <c r="AE96" s="83">
        <f>SUM(AF96:BB96)</f>
        <v>139000000</v>
      </c>
      <c r="AF96" s="300" t="s">
        <v>874</v>
      </c>
      <c r="AG96" s="301">
        <f>61000000</f>
        <v>61000000</v>
      </c>
      <c r="AH96" s="301" t="s">
        <v>875</v>
      </c>
      <c r="AI96" s="301">
        <f>78000000</f>
        <v>78000000</v>
      </c>
      <c r="AJ96" s="301"/>
      <c r="AK96" s="301"/>
      <c r="AL96" s="301"/>
      <c r="AM96" s="301"/>
      <c r="AN96" s="301"/>
      <c r="AO96" s="301"/>
      <c r="AP96" s="301"/>
      <c r="AQ96" s="301"/>
      <c r="AR96" s="301"/>
      <c r="AS96" s="301"/>
      <c r="AU96" s="301"/>
      <c r="AV96" s="301"/>
      <c r="AW96" s="301"/>
      <c r="AX96" s="301"/>
      <c r="AY96" s="301"/>
      <c r="AZ96" s="301"/>
      <c r="BA96" s="301"/>
      <c r="BB96" s="301"/>
    </row>
    <row r="97" spans="1:61" s="78" customFormat="1" ht="22.5" customHeight="1" thickBot="1">
      <c r="A97" s="248"/>
      <c r="B97" s="448"/>
      <c r="C97" s="449"/>
      <c r="D97" s="451" t="s">
        <v>878</v>
      </c>
      <c r="E97" s="451" t="s">
        <v>878</v>
      </c>
      <c r="F97" s="451" t="s">
        <v>879</v>
      </c>
      <c r="G97" s="451" t="s">
        <v>847</v>
      </c>
      <c r="H97" s="451" t="s">
        <v>880</v>
      </c>
      <c r="I97" s="451" t="s">
        <v>880</v>
      </c>
      <c r="J97" s="451" t="s">
        <v>881</v>
      </c>
      <c r="K97" s="451" t="s">
        <v>882</v>
      </c>
      <c r="L97" s="451" t="s">
        <v>821</v>
      </c>
      <c r="M97" s="451" t="s">
        <v>883</v>
      </c>
      <c r="N97" s="451" t="s">
        <v>881</v>
      </c>
      <c r="O97" s="451" t="s">
        <v>884</v>
      </c>
      <c r="P97" s="321"/>
      <c r="Q97" s="450"/>
      <c r="R97" s="433"/>
      <c r="S97" s="309" t="s">
        <v>816</v>
      </c>
      <c r="T97" s="303" t="s">
        <v>817</v>
      </c>
      <c r="U97" s="304" t="e">
        <f>U96-#REF!</f>
        <v>#REF!</v>
      </c>
      <c r="V97" s="310" t="s">
        <v>818</v>
      </c>
      <c r="W97" s="306" t="e">
        <f>(#REF!+BB97)/1100000</f>
        <v>#REF!</v>
      </c>
      <c r="X97" s="85"/>
      <c r="Y97" s="75"/>
      <c r="Z97" s="275"/>
      <c r="AA97" s="261"/>
      <c r="AB97" s="80" t="s">
        <v>817</v>
      </c>
      <c r="AC97" s="81" t="e">
        <f>AC96-#REF!</f>
        <v>#REF!</v>
      </c>
      <c r="AD97" s="82" t="s">
        <v>824</v>
      </c>
      <c r="AE97" s="83">
        <v>45000000</v>
      </c>
      <c r="AF97" s="278"/>
      <c r="AG97" s="278"/>
      <c r="AH97" s="278"/>
      <c r="AI97" s="278"/>
      <c r="AJ97" s="278"/>
      <c r="AK97" s="278"/>
      <c r="AL97" s="278"/>
      <c r="AM97" s="278"/>
      <c r="AN97" s="278"/>
      <c r="AO97" s="278"/>
      <c r="AP97" s="278"/>
      <c r="AQ97" s="278"/>
      <c r="AR97" s="278"/>
      <c r="AS97" s="278"/>
      <c r="AT97" s="68"/>
      <c r="AU97" s="278"/>
      <c r="AV97" s="278"/>
      <c r="AW97" s="278"/>
      <c r="AX97" s="278"/>
      <c r="AY97" s="278"/>
      <c r="AZ97" s="278"/>
      <c r="BA97" s="278"/>
      <c r="BB97" s="278"/>
      <c r="BD97" s="68"/>
      <c r="BE97" s="68"/>
      <c r="BF97" s="68"/>
      <c r="BG97" s="68"/>
      <c r="BH97" s="68"/>
      <c r="BI97" s="68"/>
    </row>
    <row r="98" spans="1:61" s="78" customFormat="1" ht="22.5" customHeight="1" thickBot="1">
      <c r="A98" s="247" t="s">
        <v>885</v>
      </c>
      <c r="B98" s="445">
        <v>0.27700000000000002</v>
      </c>
      <c r="C98" s="446">
        <f>B98+D98+E98+F98+G98+H98+I98+J98+K98+N98</f>
        <v>0.75700000000000012</v>
      </c>
      <c r="D98" s="297">
        <v>0.08</v>
      </c>
      <c r="E98" s="297">
        <v>0.08</v>
      </c>
      <c r="F98" s="297">
        <v>0.08</v>
      </c>
      <c r="G98" s="297">
        <v>0.08</v>
      </c>
      <c r="H98" s="297">
        <v>0.05</v>
      </c>
      <c r="I98" s="297">
        <v>0.05</v>
      </c>
      <c r="J98" s="297">
        <v>0.02</v>
      </c>
      <c r="K98" s="297">
        <v>0.02</v>
      </c>
      <c r="L98" s="297">
        <v>0.02</v>
      </c>
      <c r="M98" s="297">
        <v>0.02</v>
      </c>
      <c r="N98" s="297">
        <v>0.02</v>
      </c>
      <c r="O98" s="297">
        <v>0.08</v>
      </c>
      <c r="P98" s="319" t="s">
        <v>881</v>
      </c>
      <c r="Q98" s="447" t="s">
        <v>889</v>
      </c>
      <c r="R98" s="444" t="s">
        <v>886</v>
      </c>
      <c r="S98" s="292" t="s">
        <v>887</v>
      </c>
      <c r="T98" s="293" t="s">
        <v>814</v>
      </c>
      <c r="U98" s="294">
        <f>AZ98/1100000</f>
        <v>0</v>
      </c>
      <c r="V98" s="295" t="s">
        <v>832</v>
      </c>
      <c r="W98" s="296" t="e">
        <f>U98*0.75-(#REF!+W99)</f>
        <v>#REF!</v>
      </c>
      <c r="X98" s="299" t="s">
        <v>812</v>
      </c>
      <c r="Y98" s="79" t="s">
        <v>813</v>
      </c>
      <c r="Z98" s="275"/>
      <c r="AA98" s="260"/>
      <c r="AB98" s="80" t="s">
        <v>814</v>
      </c>
      <c r="AC98" s="81">
        <v>532238000</v>
      </c>
      <c r="AD98" s="82" t="s">
        <v>35</v>
      </c>
      <c r="AE98" s="83">
        <f>SUM(AF98:BB98)</f>
        <v>101387000</v>
      </c>
      <c r="AF98" s="300" t="s">
        <v>815</v>
      </c>
      <c r="AG98" s="301">
        <v>101387000</v>
      </c>
      <c r="AH98" s="301"/>
      <c r="AI98" s="301"/>
      <c r="AJ98" s="301"/>
      <c r="AK98" s="301"/>
      <c r="AL98" s="301"/>
      <c r="AM98" s="301"/>
      <c r="AN98" s="301"/>
      <c r="AO98" s="301"/>
      <c r="AP98" s="301"/>
      <c r="AQ98" s="301"/>
      <c r="AR98" s="301"/>
      <c r="AS98" s="301"/>
      <c r="AU98" s="301"/>
      <c r="AV98" s="301"/>
      <c r="AW98" s="301"/>
      <c r="AX98" s="301"/>
      <c r="AY98" s="301"/>
      <c r="AZ98" s="301"/>
      <c r="BA98" s="301"/>
      <c r="BB98" s="301"/>
    </row>
    <row r="99" spans="1:61" s="78" customFormat="1" ht="22.5" customHeight="1" thickBot="1">
      <c r="A99" s="248"/>
      <c r="B99" s="448"/>
      <c r="C99" s="449"/>
      <c r="D99" s="451" t="s">
        <v>892</v>
      </c>
      <c r="E99" s="451" t="s">
        <v>893</v>
      </c>
      <c r="F99" s="451" t="s">
        <v>893</v>
      </c>
      <c r="G99" s="451" t="s">
        <v>893</v>
      </c>
      <c r="H99" s="451" t="s">
        <v>894</v>
      </c>
      <c r="I99" s="451" t="s">
        <v>895</v>
      </c>
      <c r="J99" s="451" t="s">
        <v>897</v>
      </c>
      <c r="K99" s="451" t="s">
        <v>898</v>
      </c>
      <c r="L99" s="451" t="s">
        <v>899</v>
      </c>
      <c r="M99" s="451" t="s">
        <v>877</v>
      </c>
      <c r="N99" s="451" t="s">
        <v>881</v>
      </c>
      <c r="O99" s="451" t="s">
        <v>891</v>
      </c>
      <c r="P99" s="321"/>
      <c r="Q99" s="450"/>
      <c r="R99" s="433"/>
      <c r="S99" s="309" t="s">
        <v>816</v>
      </c>
      <c r="T99" s="303" t="s">
        <v>817</v>
      </c>
      <c r="U99" s="304" t="e">
        <f>U98-#REF!</f>
        <v>#REF!</v>
      </c>
      <c r="V99" s="310" t="s">
        <v>818</v>
      </c>
      <c r="W99" s="306" t="e">
        <f>(#REF!+BB99)/1100000</f>
        <v>#REF!</v>
      </c>
      <c r="X99" s="85"/>
      <c r="Y99" s="75"/>
      <c r="Z99" s="275"/>
      <c r="AA99" s="261"/>
      <c r="AB99" s="80" t="s">
        <v>817</v>
      </c>
      <c r="AC99" s="81">
        <f>425870000-120532000</f>
        <v>305338000</v>
      </c>
      <c r="AD99" s="82" t="s">
        <v>824</v>
      </c>
      <c r="AE99" s="83"/>
      <c r="AF99" s="278"/>
      <c r="AG99" s="278"/>
      <c r="AH99" s="278"/>
      <c r="AI99" s="278"/>
      <c r="AJ99" s="278"/>
      <c r="AK99" s="278"/>
      <c r="AL99" s="278"/>
      <c r="AM99" s="278"/>
      <c r="AN99" s="278"/>
      <c r="AO99" s="278"/>
      <c r="AP99" s="278"/>
      <c r="AQ99" s="278"/>
      <c r="AR99" s="278"/>
      <c r="AS99" s="278"/>
      <c r="AT99" s="68"/>
      <c r="AU99" s="278"/>
      <c r="AV99" s="278"/>
      <c r="AW99" s="278"/>
      <c r="AX99" s="278"/>
      <c r="AY99" s="278"/>
      <c r="AZ99" s="278"/>
      <c r="BA99" s="278"/>
      <c r="BB99" s="278"/>
      <c r="BD99" s="68"/>
      <c r="BE99" s="68"/>
      <c r="BF99" s="68"/>
      <c r="BG99" s="68"/>
      <c r="BH99" s="68"/>
      <c r="BI99" s="68"/>
    </row>
    <row r="100" spans="1:61" s="78" customFormat="1" ht="22.5" customHeight="1" thickBot="1">
      <c r="A100" s="247" t="s">
        <v>901</v>
      </c>
      <c r="B100" s="445">
        <v>0.90000000000000013</v>
      </c>
      <c r="C100" s="446">
        <f>B100+D100+E100+F100+G100+H100+I100+J100+K100+N100</f>
        <v>0.98500000000000021</v>
      </c>
      <c r="D100" s="297">
        <v>0.02</v>
      </c>
      <c r="E100" s="297">
        <v>0.02</v>
      </c>
      <c r="F100" s="297">
        <v>0.02</v>
      </c>
      <c r="G100" s="297">
        <v>0.02</v>
      </c>
      <c r="H100" s="297">
        <v>0</v>
      </c>
      <c r="I100" s="297">
        <v>0</v>
      </c>
      <c r="J100" s="297">
        <v>0</v>
      </c>
      <c r="K100" s="297">
        <v>5.0000000000000001E-3</v>
      </c>
      <c r="L100" s="297">
        <v>5.0000000000000001E-3</v>
      </c>
      <c r="M100" s="297">
        <v>5.0000000000000001E-3</v>
      </c>
      <c r="N100" s="297">
        <v>0</v>
      </c>
      <c r="O100" s="297">
        <v>0.02</v>
      </c>
      <c r="P100" s="319" t="s">
        <v>904</v>
      </c>
      <c r="Q100" s="447" t="s">
        <v>905</v>
      </c>
      <c r="R100" s="444" t="s">
        <v>902</v>
      </c>
      <c r="S100" s="332" t="s">
        <v>903</v>
      </c>
      <c r="T100" s="293" t="s">
        <v>814</v>
      </c>
      <c r="U100" s="294">
        <f>AZ100/1100000</f>
        <v>0</v>
      </c>
      <c r="V100" s="295" t="s">
        <v>832</v>
      </c>
      <c r="W100" s="296" t="e">
        <f>U100*0.75-(#REF!+W101)</f>
        <v>#REF!</v>
      </c>
      <c r="X100" s="299" t="s">
        <v>812</v>
      </c>
      <c r="Y100" s="79" t="s">
        <v>813</v>
      </c>
      <c r="Z100" s="275"/>
      <c r="AA100" s="260"/>
      <c r="AB100" s="80" t="s">
        <v>814</v>
      </c>
      <c r="AC100" s="81">
        <v>88000000</v>
      </c>
      <c r="AD100" s="325" t="s">
        <v>35</v>
      </c>
      <c r="AE100" s="326">
        <f>SUM(AF100:BB100)</f>
        <v>31000000</v>
      </c>
      <c r="AF100" s="327" t="s">
        <v>794</v>
      </c>
      <c r="AG100" s="328">
        <f>26000000</f>
        <v>26000000</v>
      </c>
      <c r="AH100" s="328" t="s">
        <v>815</v>
      </c>
      <c r="AI100" s="328">
        <f>5000000</f>
        <v>5000000</v>
      </c>
      <c r="AJ100" s="328" t="s">
        <v>853</v>
      </c>
      <c r="AK100" s="328"/>
      <c r="AL100" s="328"/>
      <c r="AM100" s="328"/>
      <c r="AN100" s="328"/>
      <c r="AO100" s="301"/>
      <c r="AP100" s="301"/>
      <c r="AQ100" s="301"/>
      <c r="AR100" s="301"/>
      <c r="AS100" s="301"/>
      <c r="AU100" s="301"/>
      <c r="AV100" s="301"/>
      <c r="AW100" s="301"/>
      <c r="AX100" s="301"/>
      <c r="AY100" s="301"/>
      <c r="AZ100" s="301"/>
      <c r="BA100" s="301"/>
      <c r="BB100" s="301"/>
    </row>
    <row r="101" spans="1:61" s="78" customFormat="1" ht="22.5" customHeight="1" thickBot="1">
      <c r="A101" s="248"/>
      <c r="B101" s="448"/>
      <c r="C101" s="449"/>
      <c r="D101" s="451" t="s">
        <v>907</v>
      </c>
      <c r="E101" s="451" t="s">
        <v>908</v>
      </c>
      <c r="F101" s="451" t="s">
        <v>909</v>
      </c>
      <c r="G101" s="451" t="s">
        <v>910</v>
      </c>
      <c r="H101" s="451" t="s">
        <v>821</v>
      </c>
      <c r="I101" s="451" t="s">
        <v>821</v>
      </c>
      <c r="J101" s="451" t="s">
        <v>821</v>
      </c>
      <c r="K101" s="451" t="s">
        <v>911</v>
      </c>
      <c r="L101" s="451" t="s">
        <v>912</v>
      </c>
      <c r="M101" s="451" t="s">
        <v>913</v>
      </c>
      <c r="N101" s="451" t="s">
        <v>914</v>
      </c>
      <c r="O101" s="451" t="s">
        <v>906</v>
      </c>
      <c r="P101" s="321"/>
      <c r="Q101" s="450"/>
      <c r="R101" s="433"/>
      <c r="S101" s="309" t="s">
        <v>816</v>
      </c>
      <c r="T101" s="303" t="s">
        <v>817</v>
      </c>
      <c r="U101" s="304" t="e">
        <f>U100-#REF!</f>
        <v>#REF!</v>
      </c>
      <c r="V101" s="310" t="s">
        <v>818</v>
      </c>
      <c r="W101" s="306" t="e">
        <f>(#REF!+BB101)/1100000</f>
        <v>#REF!</v>
      </c>
      <c r="X101" s="85"/>
      <c r="Y101" s="75"/>
      <c r="Z101" s="275"/>
      <c r="AA101" s="261"/>
      <c r="AB101" s="80" t="s">
        <v>817</v>
      </c>
      <c r="AC101" s="81">
        <v>48000000</v>
      </c>
      <c r="AD101" s="82" t="s">
        <v>824</v>
      </c>
      <c r="AE101" s="83"/>
      <c r="AF101" s="278"/>
      <c r="AG101" s="278"/>
      <c r="AH101" s="278"/>
      <c r="AI101" s="278"/>
      <c r="AJ101" s="278"/>
      <c r="AK101" s="278"/>
      <c r="AL101" s="278"/>
      <c r="AM101" s="278"/>
      <c r="AN101" s="278"/>
      <c r="AO101" s="278"/>
      <c r="AP101" s="278"/>
      <c r="AQ101" s="278"/>
      <c r="AR101" s="278"/>
      <c r="AS101" s="278"/>
      <c r="AT101" s="68"/>
      <c r="AU101" s="278"/>
      <c r="AV101" s="278"/>
      <c r="AW101" s="278"/>
      <c r="AX101" s="278"/>
      <c r="AY101" s="278"/>
      <c r="AZ101" s="278"/>
      <c r="BA101" s="278"/>
      <c r="BB101" s="278"/>
      <c r="BD101" s="68"/>
      <c r="BE101" s="68"/>
      <c r="BF101" s="68"/>
      <c r="BG101" s="68"/>
      <c r="BH101" s="68"/>
      <c r="BI101" s="68"/>
    </row>
    <row r="102" spans="1:61" s="78" customFormat="1" ht="22.5" customHeight="1" thickBot="1">
      <c r="A102" s="247" t="s">
        <v>915</v>
      </c>
      <c r="B102" s="445">
        <v>0.28499999999999998</v>
      </c>
      <c r="C102" s="446">
        <f>B102+D102+E102+F102+G102+H102+I102+J102+K102+N102</f>
        <v>0.71</v>
      </c>
      <c r="D102" s="297">
        <v>0.1</v>
      </c>
      <c r="E102" s="297">
        <v>0.1</v>
      </c>
      <c r="F102" s="297">
        <v>0.09</v>
      </c>
      <c r="G102" s="297">
        <v>5.0000000000000001E-3</v>
      </c>
      <c r="H102" s="297">
        <v>5.0000000000000001E-3</v>
      </c>
      <c r="I102" s="297">
        <v>5.0000000000000001E-3</v>
      </c>
      <c r="J102" s="297">
        <v>0.01</v>
      </c>
      <c r="K102" s="297">
        <v>0.01</v>
      </c>
      <c r="L102" s="297">
        <v>0.02</v>
      </c>
      <c r="M102" s="297">
        <v>0.1</v>
      </c>
      <c r="N102" s="297">
        <v>0.1</v>
      </c>
      <c r="O102" s="297">
        <v>0.05</v>
      </c>
      <c r="P102" s="319" t="s">
        <v>881</v>
      </c>
      <c r="Q102" s="447" t="s">
        <v>918</v>
      </c>
      <c r="R102" s="444" t="s">
        <v>916</v>
      </c>
      <c r="S102" s="292" t="s">
        <v>917</v>
      </c>
      <c r="T102" s="293" t="s">
        <v>814</v>
      </c>
      <c r="U102" s="294">
        <f>AZ102/1100000</f>
        <v>0</v>
      </c>
      <c r="V102" s="295" t="s">
        <v>832</v>
      </c>
      <c r="W102" s="296" t="e">
        <f>U102*0.75-(#REF!+W103)</f>
        <v>#REF!</v>
      </c>
      <c r="X102" s="299" t="s">
        <v>812</v>
      </c>
      <c r="Y102" s="79" t="s">
        <v>813</v>
      </c>
      <c r="Z102" s="275"/>
      <c r="AA102" s="260"/>
      <c r="AB102" s="80" t="s">
        <v>814</v>
      </c>
      <c r="AC102" s="81">
        <v>152321230</v>
      </c>
      <c r="AD102" s="325" t="s">
        <v>35</v>
      </c>
      <c r="AE102" s="326">
        <f>SUM(AF102:BB102)</f>
        <v>68068895</v>
      </c>
      <c r="AF102" s="327" t="s">
        <v>794</v>
      </c>
      <c r="AG102" s="328">
        <v>27412542</v>
      </c>
      <c r="AH102" s="328" t="s">
        <v>875</v>
      </c>
      <c r="AI102" s="328">
        <v>40656353</v>
      </c>
      <c r="AJ102" s="328"/>
      <c r="AK102" s="328"/>
      <c r="AL102" s="328"/>
      <c r="AM102" s="328"/>
      <c r="AN102" s="328"/>
      <c r="AO102" s="301"/>
      <c r="AP102" s="301"/>
      <c r="AQ102" s="301"/>
      <c r="AR102" s="301"/>
      <c r="AS102" s="301"/>
      <c r="AU102" s="301"/>
      <c r="AV102" s="301"/>
      <c r="AW102" s="301"/>
      <c r="AX102" s="301"/>
      <c r="AY102" s="301"/>
      <c r="AZ102" s="301"/>
      <c r="BA102" s="301"/>
      <c r="BB102" s="301"/>
    </row>
    <row r="103" spans="1:61" s="78" customFormat="1" ht="22.5" customHeight="1" thickBot="1">
      <c r="A103" s="248"/>
      <c r="B103" s="448"/>
      <c r="C103" s="449"/>
      <c r="D103" s="451" t="s">
        <v>919</v>
      </c>
      <c r="E103" s="451" t="s">
        <v>882</v>
      </c>
      <c r="F103" s="451"/>
      <c r="G103" s="451" t="s">
        <v>920</v>
      </c>
      <c r="H103" s="451" t="s">
        <v>894</v>
      </c>
      <c r="I103" s="451" t="s">
        <v>894</v>
      </c>
      <c r="J103" s="451" t="s">
        <v>893</v>
      </c>
      <c r="K103" s="451" t="s">
        <v>921</v>
      </c>
      <c r="L103" s="451" t="s">
        <v>922</v>
      </c>
      <c r="M103" s="451" t="s">
        <v>923</v>
      </c>
      <c r="N103" s="451" t="s">
        <v>923</v>
      </c>
      <c r="O103" s="451" t="s">
        <v>919</v>
      </c>
      <c r="P103" s="321"/>
      <c r="Q103" s="450"/>
      <c r="R103" s="433"/>
      <c r="S103" s="309" t="s">
        <v>816</v>
      </c>
      <c r="T103" s="303" t="s">
        <v>817</v>
      </c>
      <c r="U103" s="304" t="e">
        <f>U102-#REF!</f>
        <v>#REF!</v>
      </c>
      <c r="V103" s="310" t="s">
        <v>818</v>
      </c>
      <c r="W103" s="306" t="e">
        <f>(#REF!+BB103)/1100000</f>
        <v>#REF!</v>
      </c>
      <c r="X103" s="85"/>
      <c r="Y103" s="75"/>
      <c r="Z103" s="275"/>
      <c r="AA103" s="261"/>
      <c r="AB103" s="80" t="s">
        <v>817</v>
      </c>
      <c r="AC103" s="81">
        <v>42335000</v>
      </c>
      <c r="AD103" s="82" t="s">
        <v>824</v>
      </c>
      <c r="AE103" s="83"/>
      <c r="AF103" s="278"/>
      <c r="AG103" s="278"/>
      <c r="AH103" s="278"/>
      <c r="AI103" s="278"/>
      <c r="AJ103" s="278"/>
      <c r="AK103" s="278"/>
      <c r="AL103" s="278"/>
      <c r="AM103" s="278"/>
      <c r="AN103" s="278"/>
      <c r="AO103" s="278"/>
      <c r="AP103" s="278"/>
      <c r="AQ103" s="278"/>
      <c r="AR103" s="278"/>
      <c r="AS103" s="278"/>
      <c r="AT103" s="68"/>
      <c r="AU103" s="278"/>
      <c r="AV103" s="278"/>
      <c r="AW103" s="278"/>
      <c r="AX103" s="278"/>
      <c r="AY103" s="278"/>
      <c r="AZ103" s="278"/>
      <c r="BA103" s="278"/>
      <c r="BB103" s="278"/>
      <c r="BD103" s="68"/>
      <c r="BE103" s="68"/>
      <c r="BF103" s="68"/>
      <c r="BG103" s="68"/>
      <c r="BH103" s="68"/>
      <c r="BI103" s="68"/>
    </row>
    <row r="104" spans="1:61" s="78" customFormat="1" ht="22.5" customHeight="1" thickBot="1">
      <c r="A104" s="247" t="s">
        <v>924</v>
      </c>
      <c r="B104" s="445">
        <v>0.43500000000000005</v>
      </c>
      <c r="C104" s="446">
        <f>B104+D104+E104+F104+G104+H104+I104+J104+K104+N104</f>
        <v>0.91500000000000015</v>
      </c>
      <c r="D104" s="297">
        <v>0.1</v>
      </c>
      <c r="E104" s="297">
        <v>0.1</v>
      </c>
      <c r="F104" s="297">
        <v>0.1</v>
      </c>
      <c r="G104" s="297">
        <v>0.05</v>
      </c>
      <c r="H104" s="297">
        <v>0.05</v>
      </c>
      <c r="I104" s="297">
        <v>0.01</v>
      </c>
      <c r="J104" s="297">
        <v>0.01</v>
      </c>
      <c r="K104" s="297">
        <v>0.01</v>
      </c>
      <c r="L104" s="297">
        <v>0.01</v>
      </c>
      <c r="M104" s="297">
        <v>0.01</v>
      </c>
      <c r="N104" s="297">
        <v>0.05</v>
      </c>
      <c r="O104" s="297">
        <v>0.1</v>
      </c>
      <c r="P104" s="319" t="s">
        <v>927</v>
      </c>
      <c r="Q104" s="447" t="s">
        <v>928</v>
      </c>
      <c r="R104" s="444" t="s">
        <v>925</v>
      </c>
      <c r="S104" s="292" t="s">
        <v>926</v>
      </c>
      <c r="T104" s="293" t="s">
        <v>814</v>
      </c>
      <c r="U104" s="294">
        <f>AZ104/1100000</f>
        <v>0</v>
      </c>
      <c r="V104" s="295" t="s">
        <v>832</v>
      </c>
      <c r="W104" s="296" t="e">
        <f>U104*0.75-(#REF!+W105)</f>
        <v>#REF!</v>
      </c>
      <c r="X104" s="299" t="s">
        <v>812</v>
      </c>
      <c r="Y104" s="79" t="s">
        <v>813</v>
      </c>
      <c r="Z104" s="275"/>
      <c r="AA104" s="260"/>
      <c r="AB104" s="80" t="s">
        <v>814</v>
      </c>
      <c r="AC104" s="81">
        <v>173467000</v>
      </c>
      <c r="AD104" s="325" t="s">
        <v>35</v>
      </c>
      <c r="AE104" s="326">
        <f>SUM(AF104:BB104)</f>
        <v>16625800</v>
      </c>
      <c r="AF104" s="327" t="s">
        <v>794</v>
      </c>
      <c r="AG104" s="328">
        <v>12048969</v>
      </c>
      <c r="AH104" s="328" t="s">
        <v>815</v>
      </c>
      <c r="AI104" s="328">
        <v>4576831</v>
      </c>
      <c r="AJ104" s="328"/>
      <c r="AK104" s="328"/>
      <c r="AL104" s="328"/>
      <c r="AM104" s="328"/>
      <c r="AN104" s="328"/>
      <c r="AO104" s="301"/>
      <c r="AP104" s="301"/>
      <c r="AQ104" s="301"/>
      <c r="AR104" s="301"/>
      <c r="AS104" s="301"/>
      <c r="AU104" s="301"/>
      <c r="AV104" s="301"/>
      <c r="AW104" s="301"/>
      <c r="AX104" s="301"/>
      <c r="AY104" s="301"/>
      <c r="AZ104" s="301"/>
      <c r="BA104" s="301"/>
      <c r="BB104" s="301"/>
    </row>
    <row r="105" spans="1:61" s="78" customFormat="1" ht="22.5" customHeight="1" thickBot="1">
      <c r="A105" s="248"/>
      <c r="B105" s="448"/>
      <c r="C105" s="449"/>
      <c r="D105" s="451" t="s">
        <v>919</v>
      </c>
      <c r="E105" s="451" t="s">
        <v>882</v>
      </c>
      <c r="F105" s="451"/>
      <c r="G105" s="451" t="s">
        <v>930</v>
      </c>
      <c r="H105" s="451" t="s">
        <v>930</v>
      </c>
      <c r="I105" s="451" t="s">
        <v>881</v>
      </c>
      <c r="J105" s="451" t="s">
        <v>881</v>
      </c>
      <c r="K105" s="451" t="s">
        <v>931</v>
      </c>
      <c r="L105" s="451" t="s">
        <v>927</v>
      </c>
      <c r="M105" s="451" t="s">
        <v>894</v>
      </c>
      <c r="N105" s="451" t="s">
        <v>932</v>
      </c>
      <c r="O105" s="451" t="s">
        <v>894</v>
      </c>
      <c r="P105" s="321"/>
      <c r="Q105" s="450"/>
      <c r="R105" s="433"/>
      <c r="S105" s="309" t="s">
        <v>929</v>
      </c>
      <c r="T105" s="303" t="s">
        <v>817</v>
      </c>
      <c r="U105" s="304" t="e">
        <f>U104-#REF!</f>
        <v>#REF!</v>
      </c>
      <c r="V105" s="310" t="s">
        <v>818</v>
      </c>
      <c r="W105" s="306" t="e">
        <f>(#REF!+BB105)/1100000</f>
        <v>#REF!</v>
      </c>
      <c r="X105" s="85"/>
      <c r="Y105" s="75"/>
      <c r="Z105" s="275"/>
      <c r="AA105" s="261"/>
      <c r="AB105" s="80" t="s">
        <v>817</v>
      </c>
      <c r="AC105" s="81">
        <f>86734000-66000000</f>
        <v>20734000</v>
      </c>
      <c r="AD105" s="82" t="s">
        <v>824</v>
      </c>
      <c r="AE105" s="83"/>
      <c r="AF105" s="278"/>
      <c r="AG105" s="278"/>
      <c r="AH105" s="278"/>
      <c r="AI105" s="278"/>
      <c r="AJ105" s="278"/>
      <c r="AK105" s="278"/>
      <c r="AL105" s="278"/>
      <c r="AM105" s="278"/>
      <c r="AN105" s="278"/>
      <c r="AO105" s="278"/>
      <c r="AP105" s="278"/>
      <c r="AQ105" s="278"/>
      <c r="AR105" s="278"/>
      <c r="AS105" s="278"/>
      <c r="AT105" s="68"/>
      <c r="AU105" s="278"/>
      <c r="AV105" s="278"/>
      <c r="AW105" s="278"/>
      <c r="AX105" s="278"/>
      <c r="AY105" s="278"/>
      <c r="AZ105" s="278"/>
      <c r="BA105" s="278"/>
      <c r="BB105" s="278"/>
      <c r="BD105" s="68"/>
      <c r="BE105" s="68"/>
      <c r="BF105" s="68"/>
      <c r="BG105" s="68"/>
      <c r="BH105" s="68"/>
      <c r="BI105" s="68"/>
    </row>
    <row r="106" spans="1:61" s="986" customFormat="1" ht="22.5" customHeight="1" thickBot="1">
      <c r="A106" s="271" t="s">
        <v>933</v>
      </c>
      <c r="B106" s="987">
        <v>0.78</v>
      </c>
      <c r="C106" s="446">
        <f>B106+D106+E106+F106+G106+H106+I106+J106+K106+N106</f>
        <v>1</v>
      </c>
      <c r="D106" s="988">
        <v>0.2</v>
      </c>
      <c r="E106" s="988">
        <v>0.01</v>
      </c>
      <c r="F106" s="988">
        <v>5.0000000000000001E-3</v>
      </c>
      <c r="G106" s="988">
        <v>5.0000000000000001E-3</v>
      </c>
      <c r="H106" s="988">
        <v>0</v>
      </c>
      <c r="I106" s="988">
        <v>0</v>
      </c>
      <c r="J106" s="988">
        <v>0</v>
      </c>
      <c r="K106" s="988">
        <v>0</v>
      </c>
      <c r="L106" s="988"/>
      <c r="M106" s="988"/>
      <c r="N106" s="988"/>
      <c r="O106" s="988">
        <v>0.2</v>
      </c>
      <c r="P106" s="989" t="s">
        <v>936</v>
      </c>
      <c r="Q106" s="990" t="s">
        <v>937</v>
      </c>
      <c r="R106" s="991" t="s">
        <v>934</v>
      </c>
      <c r="S106" s="992" t="s">
        <v>935</v>
      </c>
      <c r="T106" s="993" t="s">
        <v>89</v>
      </c>
      <c r="U106" s="994">
        <f>AZ106/1100000</f>
        <v>0</v>
      </c>
      <c r="V106" s="995" t="s">
        <v>7</v>
      </c>
      <c r="W106" s="996" t="e">
        <f>U106*0.75-(#REF!+W107)</f>
        <v>#REF!</v>
      </c>
      <c r="X106" s="945" t="s">
        <v>90</v>
      </c>
      <c r="Y106" s="997" t="s">
        <v>34</v>
      </c>
      <c r="Z106" s="979"/>
      <c r="AA106" s="998"/>
      <c r="AB106" s="981" t="s">
        <v>89</v>
      </c>
      <c r="AC106" s="982">
        <v>242000000</v>
      </c>
      <c r="AD106" s="999" t="s">
        <v>98</v>
      </c>
      <c r="AE106" s="1000">
        <f>SUM(AF106:BB106)</f>
        <v>65000000</v>
      </c>
      <c r="AF106" s="1001" t="s">
        <v>56</v>
      </c>
      <c r="AG106" s="1002">
        <v>15000000</v>
      </c>
      <c r="AH106" s="1002" t="s">
        <v>57</v>
      </c>
      <c r="AI106" s="1002">
        <v>50000000</v>
      </c>
      <c r="AJ106" s="1002"/>
      <c r="AK106" s="1002"/>
      <c r="AL106" s="1002"/>
      <c r="AM106" s="1002"/>
      <c r="AN106" s="1002"/>
      <c r="AO106" s="1003"/>
      <c r="AP106" s="1003"/>
      <c r="AQ106" s="1003"/>
      <c r="AR106" s="1003"/>
      <c r="AS106" s="1003"/>
      <c r="AU106" s="1003"/>
      <c r="AV106" s="1003"/>
      <c r="AW106" s="1003"/>
      <c r="AX106" s="1003"/>
      <c r="AY106" s="1003"/>
      <c r="AZ106" s="1003"/>
      <c r="BA106" s="1003"/>
      <c r="BB106" s="1003"/>
    </row>
    <row r="107" spans="1:61" s="986" customFormat="1" ht="22.5" customHeight="1" thickBot="1">
      <c r="A107" s="237"/>
      <c r="B107" s="967"/>
      <c r="C107" s="449"/>
      <c r="D107" s="968" t="s">
        <v>939</v>
      </c>
      <c r="E107" s="968" t="s">
        <v>939</v>
      </c>
      <c r="F107" s="968"/>
      <c r="G107" s="968" t="s">
        <v>940</v>
      </c>
      <c r="H107" s="968" t="s">
        <v>941</v>
      </c>
      <c r="I107" s="968" t="s">
        <v>936</v>
      </c>
      <c r="J107" s="968"/>
      <c r="K107" s="968"/>
      <c r="L107" s="968"/>
      <c r="M107" s="968"/>
      <c r="N107" s="968"/>
      <c r="O107" s="968" t="s">
        <v>938</v>
      </c>
      <c r="P107" s="969"/>
      <c r="Q107" s="970"/>
      <c r="R107" s="971"/>
      <c r="S107" s="972" t="s">
        <v>67</v>
      </c>
      <c r="T107" s="973" t="s">
        <v>196</v>
      </c>
      <c r="U107" s="974" t="e">
        <f>U106-#REF!</f>
        <v>#REF!</v>
      </c>
      <c r="V107" s="975" t="s">
        <v>15</v>
      </c>
      <c r="W107" s="976" t="e">
        <f>(#REF!+BB107)/1100000</f>
        <v>#REF!</v>
      </c>
      <c r="X107" s="977"/>
      <c r="Y107" s="978"/>
      <c r="Z107" s="979"/>
      <c r="AA107" s="980"/>
      <c r="AB107" s="981" t="s">
        <v>196</v>
      </c>
      <c r="AC107" s="982">
        <v>0</v>
      </c>
      <c r="AD107" s="983" t="s">
        <v>100</v>
      </c>
      <c r="AE107" s="984"/>
      <c r="AF107" s="985"/>
      <c r="AG107" s="985"/>
      <c r="AH107" s="985"/>
      <c r="AI107" s="985"/>
      <c r="AJ107" s="985"/>
      <c r="AK107" s="985"/>
      <c r="AL107" s="985"/>
      <c r="AM107" s="985"/>
      <c r="AN107" s="985"/>
      <c r="AO107" s="985"/>
      <c r="AP107" s="985"/>
      <c r="AQ107" s="985"/>
      <c r="AR107" s="985"/>
      <c r="AS107" s="985"/>
      <c r="AU107" s="985"/>
      <c r="AV107" s="985"/>
      <c r="AW107" s="985"/>
      <c r="AX107" s="985"/>
      <c r="AY107" s="985"/>
      <c r="AZ107" s="985"/>
      <c r="BA107" s="985"/>
      <c r="BB107" s="985"/>
    </row>
    <row r="108" spans="1:61" s="78" customFormat="1" ht="22.5" customHeight="1" thickBot="1">
      <c r="A108" s="247" t="s">
        <v>942</v>
      </c>
      <c r="B108" s="445">
        <v>0.17</v>
      </c>
      <c r="C108" s="446">
        <f>B108+D108+E108+F108+G108+H108+I108+J108+K108+N108</f>
        <v>0.52000000000000013</v>
      </c>
      <c r="D108" s="297">
        <v>0.05</v>
      </c>
      <c r="E108" s="297">
        <v>0.05</v>
      </c>
      <c r="F108" s="297">
        <v>0.05</v>
      </c>
      <c r="G108" s="297">
        <v>0.03</v>
      </c>
      <c r="H108" s="297">
        <v>0.03</v>
      </c>
      <c r="I108" s="297">
        <v>0.03</v>
      </c>
      <c r="J108" s="297">
        <v>0.03</v>
      </c>
      <c r="K108" s="297">
        <v>0.03</v>
      </c>
      <c r="L108" s="297">
        <v>0.05</v>
      </c>
      <c r="M108" s="297">
        <v>0.05</v>
      </c>
      <c r="N108" s="297">
        <v>0.05</v>
      </c>
      <c r="O108" s="297">
        <v>0.05</v>
      </c>
      <c r="P108" s="319" t="s">
        <v>888</v>
      </c>
      <c r="Q108" s="447" t="s">
        <v>945</v>
      </c>
      <c r="R108" s="444" t="s">
        <v>943</v>
      </c>
      <c r="S108" s="292" t="s">
        <v>944</v>
      </c>
      <c r="T108" s="293" t="s">
        <v>89</v>
      </c>
      <c r="U108" s="294">
        <f>AZ108/1100000</f>
        <v>0</v>
      </c>
      <c r="V108" s="295" t="s">
        <v>7</v>
      </c>
      <c r="W108" s="296" t="e">
        <f>U108*0.75-(#REF!+W109)</f>
        <v>#REF!</v>
      </c>
      <c r="X108" s="299" t="s">
        <v>90</v>
      </c>
      <c r="Y108" s="79" t="s">
        <v>34</v>
      </c>
      <c r="Z108" s="275"/>
      <c r="AA108" s="260"/>
      <c r="AB108" s="80" t="s">
        <v>89</v>
      </c>
      <c r="AC108" s="81">
        <v>1320000000</v>
      </c>
      <c r="AD108" s="325" t="s">
        <v>98</v>
      </c>
      <c r="AE108" s="326">
        <f>SUM(AF108:BB108)</f>
        <v>340000000</v>
      </c>
      <c r="AF108" s="327" t="s">
        <v>852</v>
      </c>
      <c r="AG108" s="328">
        <v>150000000</v>
      </c>
      <c r="AH108" s="328" t="s">
        <v>56</v>
      </c>
      <c r="AI108" s="328">
        <v>80000000</v>
      </c>
      <c r="AJ108" s="328" t="s">
        <v>57</v>
      </c>
      <c r="AK108" s="328">
        <v>60000000</v>
      </c>
      <c r="AL108" s="328" t="s">
        <v>946</v>
      </c>
      <c r="AM108" s="328">
        <v>50000000</v>
      </c>
      <c r="AN108" s="328"/>
      <c r="AO108" s="301"/>
      <c r="AP108" s="301"/>
      <c r="AQ108" s="301"/>
      <c r="AR108" s="301"/>
      <c r="AS108" s="301"/>
      <c r="AU108" s="301"/>
      <c r="AV108" s="301"/>
      <c r="AW108" s="301"/>
      <c r="AX108" s="301"/>
      <c r="AY108" s="301"/>
      <c r="AZ108" s="301"/>
      <c r="BA108" s="301"/>
      <c r="BB108" s="301"/>
    </row>
    <row r="109" spans="1:61" s="78" customFormat="1" ht="22.5" customHeight="1" thickBot="1">
      <c r="A109" s="248"/>
      <c r="B109" s="448"/>
      <c r="C109" s="449"/>
      <c r="D109" s="451" t="s">
        <v>948</v>
      </c>
      <c r="E109" s="451" t="s">
        <v>949</v>
      </c>
      <c r="F109" s="451"/>
      <c r="G109" s="451" t="s">
        <v>950</v>
      </c>
      <c r="H109" s="451" t="s">
        <v>950</v>
      </c>
      <c r="I109" s="451" t="s">
        <v>888</v>
      </c>
      <c r="J109" s="451" t="s">
        <v>888</v>
      </c>
      <c r="K109" s="451" t="s">
        <v>888</v>
      </c>
      <c r="L109" s="451" t="s">
        <v>888</v>
      </c>
      <c r="M109" s="451" t="s">
        <v>951</v>
      </c>
      <c r="N109" s="451" t="s">
        <v>888</v>
      </c>
      <c r="O109" s="451" t="s">
        <v>900</v>
      </c>
      <c r="P109" s="321"/>
      <c r="Q109" s="450"/>
      <c r="R109" s="433"/>
      <c r="S109" s="309" t="s">
        <v>67</v>
      </c>
      <c r="T109" s="303" t="s">
        <v>196</v>
      </c>
      <c r="U109" s="304" t="e">
        <f>U108-#REF!</f>
        <v>#REF!</v>
      </c>
      <c r="V109" s="310" t="s">
        <v>15</v>
      </c>
      <c r="W109" s="306" t="e">
        <f>(#REF!+BB109)/1100000</f>
        <v>#REF!</v>
      </c>
      <c r="X109" s="85"/>
      <c r="Y109" s="75"/>
      <c r="Z109" s="275"/>
      <c r="AA109" s="261"/>
      <c r="AB109" s="80" t="s">
        <v>196</v>
      </c>
      <c r="AC109" s="81" t="e">
        <f>AC108-#REF!</f>
        <v>#REF!</v>
      </c>
      <c r="AD109" s="82" t="s">
        <v>100</v>
      </c>
      <c r="AE109" s="83"/>
      <c r="AF109" s="278"/>
      <c r="AG109" s="278"/>
      <c r="AH109" s="278"/>
      <c r="AI109" s="278"/>
      <c r="AJ109" s="278"/>
      <c r="AK109" s="278"/>
      <c r="AL109" s="278"/>
      <c r="AM109" s="278"/>
      <c r="AN109" s="278"/>
      <c r="AO109" s="278"/>
      <c r="AP109" s="278"/>
      <c r="AQ109" s="278"/>
      <c r="AR109" s="278"/>
      <c r="AS109" s="278"/>
      <c r="AT109" s="68"/>
      <c r="AU109" s="278"/>
      <c r="AV109" s="278"/>
      <c r="AW109" s="278"/>
      <c r="AX109" s="278"/>
      <c r="AY109" s="278"/>
      <c r="AZ109" s="278"/>
      <c r="BA109" s="278"/>
      <c r="BB109" s="278"/>
      <c r="BD109" s="68"/>
      <c r="BE109" s="68"/>
      <c r="BF109" s="68"/>
      <c r="BG109" s="68"/>
      <c r="BH109" s="68"/>
      <c r="BI109" s="68"/>
    </row>
    <row r="110" spans="1:61" s="78" customFormat="1" ht="22.5" customHeight="1" thickBot="1">
      <c r="A110" s="247" t="s">
        <v>952</v>
      </c>
      <c r="B110" s="445">
        <v>0.17</v>
      </c>
      <c r="C110" s="446">
        <f>B110+D110+E110+F110+G110+H110+I110+J110+K110+N110</f>
        <v>0.38</v>
      </c>
      <c r="D110" s="297">
        <v>0.02</v>
      </c>
      <c r="E110" s="297">
        <v>0.02</v>
      </c>
      <c r="F110" s="297">
        <v>0.02</v>
      </c>
      <c r="G110" s="297">
        <v>0.02</v>
      </c>
      <c r="H110" s="297">
        <v>0.02</v>
      </c>
      <c r="I110" s="297">
        <v>0.02</v>
      </c>
      <c r="J110" s="297">
        <v>0.02</v>
      </c>
      <c r="K110" s="297">
        <v>0.04</v>
      </c>
      <c r="L110" s="297">
        <v>0.04</v>
      </c>
      <c r="M110" s="297">
        <v>0.03</v>
      </c>
      <c r="N110" s="297">
        <v>0.03</v>
      </c>
      <c r="O110" s="297">
        <v>0.02</v>
      </c>
      <c r="P110" s="319" t="s">
        <v>941</v>
      </c>
      <c r="Q110" s="447" t="s">
        <v>953</v>
      </c>
      <c r="R110" s="444" t="s">
        <v>755</v>
      </c>
      <c r="S110" s="292" t="s">
        <v>944</v>
      </c>
      <c r="T110" s="293" t="s">
        <v>89</v>
      </c>
      <c r="U110" s="294">
        <f>AZ110/1100000</f>
        <v>0</v>
      </c>
      <c r="V110" s="295" t="s">
        <v>7</v>
      </c>
      <c r="W110" s="296" t="e">
        <f>U110*0.75-(#REF!+W111)</f>
        <v>#REF!</v>
      </c>
      <c r="X110" s="299" t="s">
        <v>90</v>
      </c>
      <c r="Y110" s="79" t="s">
        <v>34</v>
      </c>
      <c r="Z110" s="275"/>
      <c r="AA110" s="260"/>
      <c r="AB110" s="80" t="s">
        <v>89</v>
      </c>
      <c r="AC110" s="81">
        <v>1320000000</v>
      </c>
      <c r="AD110" s="325" t="s">
        <v>98</v>
      </c>
      <c r="AE110" s="326">
        <f>SUM(AF110:BB110)</f>
        <v>340000000</v>
      </c>
      <c r="AF110" s="327" t="s">
        <v>852</v>
      </c>
      <c r="AG110" s="328">
        <v>150000000</v>
      </c>
      <c r="AH110" s="328" t="s">
        <v>56</v>
      </c>
      <c r="AI110" s="328">
        <v>80000000</v>
      </c>
      <c r="AJ110" s="328" t="s">
        <v>57</v>
      </c>
      <c r="AK110" s="328">
        <v>60000000</v>
      </c>
      <c r="AL110" s="328" t="s">
        <v>946</v>
      </c>
      <c r="AM110" s="328">
        <v>50000000</v>
      </c>
      <c r="AN110" s="328"/>
      <c r="AO110" s="301"/>
      <c r="AP110" s="301"/>
      <c r="AQ110" s="301"/>
      <c r="AR110" s="301"/>
      <c r="AS110" s="301"/>
      <c r="AU110" s="301"/>
      <c r="AV110" s="301"/>
      <c r="AW110" s="301"/>
      <c r="AX110" s="301"/>
      <c r="AY110" s="301"/>
      <c r="AZ110" s="301"/>
      <c r="BA110" s="301"/>
      <c r="BB110" s="301"/>
    </row>
    <row r="111" spans="1:61" s="78" customFormat="1" ht="22.5" customHeight="1" thickBot="1">
      <c r="A111" s="248"/>
      <c r="B111" s="448"/>
      <c r="C111" s="449"/>
      <c r="D111" s="451" t="s">
        <v>951</v>
      </c>
      <c r="E111" s="451" t="s">
        <v>951</v>
      </c>
      <c r="F111" s="451"/>
      <c r="G111" s="451" t="s">
        <v>954</v>
      </c>
      <c r="H111" s="451" t="s">
        <v>955</v>
      </c>
      <c r="I111" s="451" t="s">
        <v>956</v>
      </c>
      <c r="J111" s="451" t="s">
        <v>957</v>
      </c>
      <c r="K111" s="451" t="s">
        <v>958</v>
      </c>
      <c r="L111" s="451" t="s">
        <v>957</v>
      </c>
      <c r="M111" s="451" t="s">
        <v>888</v>
      </c>
      <c r="N111" s="451" t="s">
        <v>888</v>
      </c>
      <c r="O111" s="451" t="s">
        <v>951</v>
      </c>
      <c r="P111" s="321"/>
      <c r="Q111" s="450"/>
      <c r="R111" s="433"/>
      <c r="S111" s="309" t="s">
        <v>67</v>
      </c>
      <c r="T111" s="303" t="s">
        <v>196</v>
      </c>
      <c r="U111" s="304" t="e">
        <f>U110-#REF!</f>
        <v>#REF!</v>
      </c>
      <c r="V111" s="310" t="s">
        <v>15</v>
      </c>
      <c r="W111" s="306" t="e">
        <f>(#REF!+BB111)/1100000</f>
        <v>#REF!</v>
      </c>
      <c r="X111" s="85"/>
      <c r="Y111" s="75"/>
      <c r="Z111" s="275"/>
      <c r="AA111" s="261"/>
      <c r="AB111" s="80" t="s">
        <v>196</v>
      </c>
      <c r="AC111" s="81" t="e">
        <f>AC110-#REF!</f>
        <v>#REF!</v>
      </c>
      <c r="AD111" s="82" t="s">
        <v>100</v>
      </c>
      <c r="AE111" s="83"/>
      <c r="AF111" s="278"/>
      <c r="AG111" s="278"/>
      <c r="AH111" s="278"/>
      <c r="AI111" s="278"/>
      <c r="AJ111" s="278"/>
      <c r="AK111" s="278"/>
      <c r="AL111" s="278"/>
      <c r="AM111" s="278"/>
      <c r="AN111" s="278"/>
      <c r="AO111" s="278"/>
      <c r="AP111" s="278"/>
      <c r="AQ111" s="278"/>
      <c r="AR111" s="278"/>
      <c r="AS111" s="278"/>
      <c r="AT111" s="68"/>
      <c r="AU111" s="278"/>
      <c r="AV111" s="278"/>
      <c r="AW111" s="278"/>
      <c r="AX111" s="278"/>
      <c r="AY111" s="278"/>
      <c r="AZ111" s="278"/>
      <c r="BA111" s="278"/>
      <c r="BB111" s="278"/>
      <c r="BD111" s="68"/>
      <c r="BE111" s="68"/>
      <c r="BF111" s="68"/>
      <c r="BG111" s="68"/>
      <c r="BH111" s="68"/>
      <c r="BI111" s="68"/>
    </row>
    <row r="112" spans="1:61" s="78" customFormat="1" ht="22.5" customHeight="1" thickBot="1">
      <c r="A112" s="247" t="s">
        <v>959</v>
      </c>
      <c r="B112" s="445">
        <v>0.01</v>
      </c>
      <c r="C112" s="446">
        <f>B112+D112+E112+F112+G112+H112+I112+J112+K112+N112</f>
        <v>0.36</v>
      </c>
      <c r="D112" s="297">
        <v>0.01</v>
      </c>
      <c r="E112" s="297">
        <v>0.03</v>
      </c>
      <c r="F112" s="297">
        <v>0.03</v>
      </c>
      <c r="G112" s="297">
        <v>0.03</v>
      </c>
      <c r="H112" s="297">
        <v>0.05</v>
      </c>
      <c r="I112" s="297">
        <v>0.05</v>
      </c>
      <c r="J112" s="297">
        <v>0.05</v>
      </c>
      <c r="K112" s="297">
        <v>0.05</v>
      </c>
      <c r="L112" s="297">
        <v>0.05</v>
      </c>
      <c r="M112" s="297">
        <v>0.05</v>
      </c>
      <c r="N112" s="297">
        <v>0.05</v>
      </c>
      <c r="O112" s="297">
        <v>0.01</v>
      </c>
      <c r="P112" s="319" t="s">
        <v>941</v>
      </c>
      <c r="Q112" s="447" t="s">
        <v>961</v>
      </c>
      <c r="R112" s="444" t="s">
        <v>960</v>
      </c>
      <c r="S112" s="292" t="s">
        <v>475</v>
      </c>
      <c r="T112" s="293" t="s">
        <v>89</v>
      </c>
      <c r="U112" s="294">
        <f>AZ112/1100000</f>
        <v>0</v>
      </c>
      <c r="V112" s="295" t="s">
        <v>7</v>
      </c>
      <c r="W112" s="296" t="e">
        <f>U112*0.75-(#REF!+W113)</f>
        <v>#REF!</v>
      </c>
      <c r="X112" s="299" t="s">
        <v>90</v>
      </c>
      <c r="Y112" s="79" t="s">
        <v>34</v>
      </c>
      <c r="Z112" s="275"/>
      <c r="AA112" s="260"/>
      <c r="AB112" s="80" t="s">
        <v>89</v>
      </c>
      <c r="AC112" s="81">
        <f>1375000000+463100000</f>
        <v>1838100000</v>
      </c>
      <c r="AD112" s="325" t="s">
        <v>98</v>
      </c>
      <c r="AE112" s="326">
        <f>SUM(AF112:BB112)</f>
        <v>340000000</v>
      </c>
      <c r="AF112" s="327" t="s">
        <v>852</v>
      </c>
      <c r="AG112" s="328">
        <v>150000000</v>
      </c>
      <c r="AH112" s="328" t="s">
        <v>56</v>
      </c>
      <c r="AI112" s="328">
        <v>80000000</v>
      </c>
      <c r="AJ112" s="328" t="s">
        <v>57</v>
      </c>
      <c r="AK112" s="328">
        <v>60000000</v>
      </c>
      <c r="AL112" s="328" t="s">
        <v>946</v>
      </c>
      <c r="AM112" s="328">
        <v>50000000</v>
      </c>
      <c r="AN112" s="328"/>
      <c r="AO112" s="301"/>
      <c r="AP112" s="301"/>
      <c r="AQ112" s="301"/>
      <c r="AR112" s="301"/>
      <c r="AS112" s="301"/>
      <c r="AU112" s="301"/>
      <c r="AV112" s="301"/>
      <c r="AW112" s="301"/>
      <c r="AX112" s="301"/>
      <c r="AY112" s="301"/>
      <c r="AZ112" s="301"/>
      <c r="BA112" s="301"/>
      <c r="BB112" s="301"/>
    </row>
    <row r="113" spans="1:61" s="78" customFormat="1" ht="22.5" customHeight="1" thickBot="1">
      <c r="A113" s="248"/>
      <c r="B113" s="448"/>
      <c r="C113" s="449"/>
      <c r="D113" s="451" t="s">
        <v>962</v>
      </c>
      <c r="E113" s="451" t="s">
        <v>962</v>
      </c>
      <c r="F113" s="451"/>
      <c r="G113" s="451" t="s">
        <v>963</v>
      </c>
      <c r="H113" s="451" t="s">
        <v>963</v>
      </c>
      <c r="I113" s="451" t="s">
        <v>964</v>
      </c>
      <c r="J113" s="451" t="s">
        <v>965</v>
      </c>
      <c r="K113" s="451" t="s">
        <v>965</v>
      </c>
      <c r="L113" s="451" t="s">
        <v>965</v>
      </c>
      <c r="M113" s="451" t="s">
        <v>965</v>
      </c>
      <c r="N113" s="451" t="s">
        <v>966</v>
      </c>
      <c r="O113" s="451" t="s">
        <v>888</v>
      </c>
      <c r="P113" s="321"/>
      <c r="Q113" s="450"/>
      <c r="R113" s="433"/>
      <c r="S113" s="309" t="s">
        <v>67</v>
      </c>
      <c r="T113" s="303" t="s">
        <v>196</v>
      </c>
      <c r="U113" s="304" t="e">
        <f>U112-#REF!</f>
        <v>#REF!</v>
      </c>
      <c r="V113" s="310" t="s">
        <v>15</v>
      </c>
      <c r="W113" s="306" t="e">
        <f>(#REF!+BB113)/1100000</f>
        <v>#REF!</v>
      </c>
      <c r="X113" s="85"/>
      <c r="Y113" s="75"/>
      <c r="Z113" s="275"/>
      <c r="AA113" s="261"/>
      <c r="AB113" s="80" t="s">
        <v>196</v>
      </c>
      <c r="AC113" s="81" t="e">
        <f>AC112-#REF!</f>
        <v>#REF!</v>
      </c>
      <c r="AD113" s="82" t="s">
        <v>100</v>
      </c>
      <c r="AE113" s="83"/>
      <c r="AF113" s="278"/>
      <c r="AG113" s="278"/>
      <c r="AH113" s="278"/>
      <c r="AI113" s="278"/>
      <c r="AJ113" s="278"/>
      <c r="AK113" s="278"/>
      <c r="AL113" s="278"/>
      <c r="AM113" s="278"/>
      <c r="AN113" s="278"/>
      <c r="AO113" s="278"/>
      <c r="AP113" s="278"/>
      <c r="AQ113" s="278"/>
      <c r="AR113" s="278"/>
      <c r="AS113" s="278"/>
      <c r="AT113" s="68"/>
      <c r="AU113" s="278"/>
      <c r="AV113" s="278"/>
      <c r="AW113" s="278"/>
      <c r="AX113" s="278"/>
      <c r="AY113" s="278"/>
      <c r="AZ113" s="278"/>
      <c r="BA113" s="278"/>
      <c r="BB113" s="278"/>
      <c r="BD113" s="68"/>
      <c r="BE113" s="68"/>
      <c r="BF113" s="68"/>
      <c r="BG113" s="68"/>
      <c r="BH113" s="68"/>
      <c r="BI113" s="68"/>
    </row>
    <row r="114" spans="1:61" s="78" customFormat="1" ht="22.5" customHeight="1" thickBot="1">
      <c r="A114" s="247" t="s">
        <v>967</v>
      </c>
      <c r="B114" s="445">
        <v>0.01</v>
      </c>
      <c r="C114" s="446">
        <f>B114+D114+E114+F114+G114+H114+I114+J114+K114+N114</f>
        <v>0.16999999999999998</v>
      </c>
      <c r="D114" s="297">
        <v>0.01</v>
      </c>
      <c r="E114" s="297">
        <v>0.03</v>
      </c>
      <c r="F114" s="297">
        <v>0.03</v>
      </c>
      <c r="G114" s="297">
        <v>0.02</v>
      </c>
      <c r="H114" s="297">
        <v>0.01</v>
      </c>
      <c r="I114" s="297">
        <v>0</v>
      </c>
      <c r="J114" s="297">
        <v>0.01</v>
      </c>
      <c r="K114" s="297">
        <v>0</v>
      </c>
      <c r="L114" s="297">
        <v>0.05</v>
      </c>
      <c r="M114" s="297">
        <v>0.05</v>
      </c>
      <c r="N114" s="297">
        <v>0.05</v>
      </c>
      <c r="O114" s="297">
        <v>0.01</v>
      </c>
      <c r="P114" s="319" t="s">
        <v>941</v>
      </c>
      <c r="Q114" s="447" t="s">
        <v>970</v>
      </c>
      <c r="R114" s="444" t="s">
        <v>968</v>
      </c>
      <c r="S114" s="292" t="s">
        <v>969</v>
      </c>
      <c r="T114" s="293" t="s">
        <v>89</v>
      </c>
      <c r="U114" s="294">
        <f>AZ114/1100000</f>
        <v>0</v>
      </c>
      <c r="V114" s="295" t="s">
        <v>7</v>
      </c>
      <c r="W114" s="296" t="e">
        <f>U114*0.75-(#REF!+W115)</f>
        <v>#REF!</v>
      </c>
      <c r="X114" s="299" t="s">
        <v>90</v>
      </c>
      <c r="Y114" s="79" t="s">
        <v>34</v>
      </c>
      <c r="Z114" s="275"/>
      <c r="AA114" s="260"/>
      <c r="AB114" s="80" t="s">
        <v>89</v>
      </c>
      <c r="AC114" s="81">
        <v>605000000</v>
      </c>
      <c r="AD114" s="325" t="s">
        <v>98</v>
      </c>
      <c r="AE114" s="326">
        <f>SUM(AF114:BB114)</f>
        <v>150000000</v>
      </c>
      <c r="AF114" s="327" t="s">
        <v>852</v>
      </c>
      <c r="AG114" s="328">
        <v>60000000</v>
      </c>
      <c r="AH114" s="328" t="s">
        <v>56</v>
      </c>
      <c r="AI114" s="328">
        <v>20000000</v>
      </c>
      <c r="AJ114" s="328" t="s">
        <v>57</v>
      </c>
      <c r="AK114" s="328">
        <v>20000000</v>
      </c>
      <c r="AL114" s="328" t="s">
        <v>946</v>
      </c>
      <c r="AM114" s="328">
        <v>50000000</v>
      </c>
      <c r="AN114" s="328"/>
      <c r="AO114" s="301"/>
      <c r="AP114" s="301"/>
      <c r="AQ114" s="301"/>
      <c r="AR114" s="301"/>
      <c r="AS114" s="301"/>
      <c r="AU114" s="301"/>
      <c r="AV114" s="301"/>
      <c r="AW114" s="301"/>
      <c r="AX114" s="301"/>
      <c r="AY114" s="301"/>
      <c r="AZ114" s="301"/>
      <c r="BA114" s="301"/>
      <c r="BB114" s="301"/>
    </row>
    <row r="115" spans="1:61" s="78" customFormat="1" ht="22.5" customHeight="1" thickBot="1">
      <c r="A115" s="248"/>
      <c r="B115" s="448"/>
      <c r="C115" s="449"/>
      <c r="D115" s="451" t="s">
        <v>971</v>
      </c>
      <c r="E115" s="451" t="s">
        <v>951</v>
      </c>
      <c r="F115" s="451"/>
      <c r="G115" s="451" t="s">
        <v>950</v>
      </c>
      <c r="H115" s="451" t="s">
        <v>972</v>
      </c>
      <c r="I115" s="451" t="s">
        <v>806</v>
      </c>
      <c r="J115" s="451" t="s">
        <v>973</v>
      </c>
      <c r="K115" s="451" t="s">
        <v>806</v>
      </c>
      <c r="L115" s="451" t="s">
        <v>951</v>
      </c>
      <c r="M115" s="451" t="s">
        <v>951</v>
      </c>
      <c r="N115" s="451" t="s">
        <v>951</v>
      </c>
      <c r="O115" s="451" t="s">
        <v>888</v>
      </c>
      <c r="P115" s="321"/>
      <c r="Q115" s="450"/>
      <c r="R115" s="433"/>
      <c r="S115" s="309" t="s">
        <v>67</v>
      </c>
      <c r="T115" s="303" t="s">
        <v>196</v>
      </c>
      <c r="U115" s="304" t="e">
        <f>U114-#REF!</f>
        <v>#REF!</v>
      </c>
      <c r="V115" s="310" t="s">
        <v>15</v>
      </c>
      <c r="W115" s="306" t="e">
        <f>(#REF!+BB115)/1100000</f>
        <v>#REF!</v>
      </c>
      <c r="X115" s="85"/>
      <c r="Y115" s="75"/>
      <c r="Z115" s="275"/>
      <c r="AA115" s="261"/>
      <c r="AB115" s="80" t="s">
        <v>196</v>
      </c>
      <c r="AC115" s="81" t="e">
        <f>AC114-#REF!</f>
        <v>#REF!</v>
      </c>
      <c r="AD115" s="82" t="s">
        <v>100</v>
      </c>
      <c r="AE115" s="83"/>
      <c r="AF115" s="278"/>
      <c r="AG115" s="278"/>
      <c r="AH115" s="278"/>
      <c r="AI115" s="278"/>
      <c r="AJ115" s="278"/>
      <c r="AK115" s="278"/>
      <c r="AL115" s="278"/>
      <c r="AM115" s="278"/>
      <c r="AN115" s="278"/>
      <c r="AO115" s="278"/>
      <c r="AP115" s="278"/>
      <c r="AQ115" s="278"/>
      <c r="AR115" s="278"/>
      <c r="AS115" s="278"/>
      <c r="AT115" s="68"/>
      <c r="AU115" s="278"/>
      <c r="AV115" s="278"/>
      <c r="AW115" s="278"/>
      <c r="AX115" s="278"/>
      <c r="AY115" s="278"/>
      <c r="AZ115" s="278"/>
      <c r="BA115" s="278"/>
      <c r="BB115" s="278"/>
      <c r="BD115" s="68"/>
      <c r="BE115" s="68"/>
      <c r="BF115" s="68"/>
      <c r="BG115" s="68"/>
      <c r="BH115" s="68"/>
      <c r="BI115" s="68"/>
    </row>
    <row r="116" spans="1:61" s="986" customFormat="1" ht="22.5" customHeight="1" thickBot="1">
      <c r="A116" s="271" t="s">
        <v>975</v>
      </c>
      <c r="B116" s="987">
        <v>0.01</v>
      </c>
      <c r="C116" s="446">
        <f>B116+D116+E116+F116+G116+H116+I116+J116+K116+N116</f>
        <v>0.97000000000000008</v>
      </c>
      <c r="D116" s="988"/>
      <c r="E116" s="988">
        <v>0.01</v>
      </c>
      <c r="F116" s="988">
        <v>0.1</v>
      </c>
      <c r="G116" s="988">
        <v>0.1</v>
      </c>
      <c r="H116" s="988">
        <v>0.1</v>
      </c>
      <c r="I116" s="988">
        <v>0.3</v>
      </c>
      <c r="J116" s="988">
        <v>0.2</v>
      </c>
      <c r="K116" s="988">
        <v>0.15</v>
      </c>
      <c r="L116" s="988">
        <v>0.03</v>
      </c>
      <c r="M116" s="988"/>
      <c r="N116" s="988"/>
      <c r="O116" s="988">
        <v>0.01</v>
      </c>
      <c r="P116" s="989" t="s">
        <v>978</v>
      </c>
      <c r="Q116" s="990" t="s">
        <v>979</v>
      </c>
      <c r="R116" s="991" t="s">
        <v>976</v>
      </c>
      <c r="S116" s="992" t="s">
        <v>977</v>
      </c>
      <c r="T116" s="993" t="s">
        <v>89</v>
      </c>
      <c r="U116" s="994">
        <f>AZ116/1100000</f>
        <v>0</v>
      </c>
      <c r="V116" s="995" t="s">
        <v>7</v>
      </c>
      <c r="W116" s="996" t="e">
        <f>U116*0.75-(#REF!+W117)</f>
        <v>#REF!</v>
      </c>
      <c r="X116" s="945" t="s">
        <v>90</v>
      </c>
      <c r="Y116" s="997" t="s">
        <v>34</v>
      </c>
      <c r="Z116" s="979"/>
      <c r="AA116" s="998"/>
      <c r="AB116" s="981" t="s">
        <v>89</v>
      </c>
      <c r="AC116" s="982">
        <v>22500000</v>
      </c>
      <c r="AD116" s="999" t="s">
        <v>98</v>
      </c>
      <c r="AE116" s="1000"/>
      <c r="AF116" s="1001"/>
      <c r="AG116" s="1002"/>
      <c r="AH116" s="1002" t="s">
        <v>56</v>
      </c>
      <c r="AI116" s="1002">
        <v>8000000</v>
      </c>
      <c r="AJ116" s="1002" t="s">
        <v>57</v>
      </c>
      <c r="AK116" s="1002"/>
      <c r="AL116" s="1002" t="s">
        <v>946</v>
      </c>
      <c r="AM116" s="1002"/>
      <c r="AN116" s="1002"/>
      <c r="AO116" s="1003"/>
      <c r="AP116" s="1003"/>
      <c r="AQ116" s="1003"/>
      <c r="AR116" s="1003"/>
      <c r="AS116" s="1003"/>
      <c r="AU116" s="1003"/>
      <c r="AV116" s="1003"/>
      <c r="AW116" s="1003"/>
      <c r="AX116" s="1003"/>
      <c r="AY116" s="1003"/>
      <c r="AZ116" s="1003"/>
      <c r="BA116" s="1003"/>
      <c r="BB116" s="1003"/>
    </row>
    <row r="117" spans="1:61" s="986" customFormat="1" ht="22.5" customHeight="1" thickBot="1">
      <c r="A117" s="237"/>
      <c r="B117" s="967"/>
      <c r="C117" s="449"/>
      <c r="D117" s="968"/>
      <c r="E117" s="968" t="s">
        <v>971</v>
      </c>
      <c r="F117" s="968"/>
      <c r="G117" s="968" t="s">
        <v>950</v>
      </c>
      <c r="H117" s="968" t="s">
        <v>954</v>
      </c>
      <c r="I117" s="968" t="s">
        <v>980</v>
      </c>
      <c r="J117" s="968" t="s">
        <v>978</v>
      </c>
      <c r="K117" s="968" t="s">
        <v>981</v>
      </c>
      <c r="L117" s="968" t="s">
        <v>982</v>
      </c>
      <c r="M117" s="968"/>
      <c r="N117" s="968"/>
      <c r="O117" s="968" t="s">
        <v>888</v>
      </c>
      <c r="P117" s="969"/>
      <c r="Q117" s="970"/>
      <c r="R117" s="971"/>
      <c r="S117" s="972" t="s">
        <v>67</v>
      </c>
      <c r="T117" s="973" t="s">
        <v>196</v>
      </c>
      <c r="U117" s="974" t="e">
        <f>U116-#REF!</f>
        <v>#REF!</v>
      </c>
      <c r="V117" s="975" t="s">
        <v>15</v>
      </c>
      <c r="W117" s="976" t="e">
        <f>(#REF!+BB117)/1100000</f>
        <v>#REF!</v>
      </c>
      <c r="X117" s="977"/>
      <c r="Y117" s="978"/>
      <c r="Z117" s="979"/>
      <c r="AA117" s="980"/>
      <c r="AB117" s="981" t="s">
        <v>196</v>
      </c>
      <c r="AC117" s="982">
        <v>30000000</v>
      </c>
      <c r="AD117" s="983" t="s">
        <v>100</v>
      </c>
      <c r="AE117" s="984"/>
      <c r="AF117" s="985"/>
      <c r="AG117" s="985"/>
      <c r="AH117" s="985"/>
      <c r="AI117" s="985"/>
      <c r="AJ117" s="985"/>
      <c r="AK117" s="985"/>
      <c r="AL117" s="985"/>
      <c r="AM117" s="985"/>
      <c r="AN117" s="985"/>
      <c r="AO117" s="985"/>
      <c r="AP117" s="985"/>
      <c r="AQ117" s="985"/>
      <c r="AR117" s="985"/>
      <c r="AS117" s="985"/>
      <c r="AU117" s="985"/>
      <c r="AV117" s="985"/>
      <c r="AW117" s="985"/>
      <c r="AX117" s="985"/>
      <c r="AY117" s="985"/>
      <c r="AZ117" s="985"/>
      <c r="BA117" s="985"/>
      <c r="BB117" s="985"/>
    </row>
    <row r="118" spans="1:61" s="78" customFormat="1" ht="22.5" customHeight="1" thickBot="1">
      <c r="A118" s="247" t="s">
        <v>983</v>
      </c>
      <c r="B118" s="445"/>
      <c r="C118" s="446">
        <f>B118+D118+E118+F118+G118+H118+I118+J118+K118+N118</f>
        <v>0.25</v>
      </c>
      <c r="D118" s="297"/>
      <c r="E118" s="297"/>
      <c r="F118" s="297"/>
      <c r="G118" s="297">
        <v>0.1</v>
      </c>
      <c r="H118" s="297">
        <v>0.1</v>
      </c>
      <c r="I118" s="297">
        <v>0.05</v>
      </c>
      <c r="J118" s="297">
        <v>0</v>
      </c>
      <c r="K118" s="297">
        <v>0</v>
      </c>
      <c r="L118" s="297">
        <v>0</v>
      </c>
      <c r="M118" s="297">
        <v>0</v>
      </c>
      <c r="N118" s="297">
        <v>0</v>
      </c>
      <c r="O118" s="297">
        <v>0.01</v>
      </c>
      <c r="P118" s="319" t="s">
        <v>986</v>
      </c>
      <c r="Q118" s="447" t="s">
        <v>987</v>
      </c>
      <c r="R118" s="444" t="s">
        <v>984</v>
      </c>
      <c r="S118" s="386" t="s">
        <v>985</v>
      </c>
      <c r="T118" s="293" t="s">
        <v>814</v>
      </c>
      <c r="U118" s="294">
        <f>AZ118/1100000</f>
        <v>0</v>
      </c>
      <c r="V118" s="295" t="s">
        <v>832</v>
      </c>
      <c r="W118" s="296" t="e">
        <f>U118*0.75-(#REF!+W119)</f>
        <v>#REF!</v>
      </c>
      <c r="X118" s="299" t="s">
        <v>812</v>
      </c>
      <c r="Y118" s="79" t="s">
        <v>813</v>
      </c>
      <c r="Z118" s="275"/>
      <c r="AA118" s="260"/>
      <c r="AB118" s="80" t="s">
        <v>814</v>
      </c>
      <c r="AC118" s="81">
        <v>19570000</v>
      </c>
      <c r="AD118" s="325" t="s">
        <v>35</v>
      </c>
      <c r="AE118" s="326"/>
      <c r="AF118" s="327"/>
      <c r="AG118" s="328"/>
      <c r="AH118" s="328" t="s">
        <v>815</v>
      </c>
      <c r="AI118" s="328">
        <v>8000000</v>
      </c>
      <c r="AJ118" s="328" t="s">
        <v>853</v>
      </c>
      <c r="AK118" s="328"/>
      <c r="AL118" s="328" t="s">
        <v>988</v>
      </c>
      <c r="AM118" s="328"/>
      <c r="AN118" s="328"/>
      <c r="AO118" s="301"/>
      <c r="AP118" s="301"/>
      <c r="AQ118" s="301"/>
      <c r="AR118" s="301"/>
      <c r="AS118" s="301"/>
      <c r="AU118" s="301"/>
      <c r="AV118" s="301"/>
      <c r="AW118" s="301"/>
      <c r="AX118" s="301"/>
      <c r="AY118" s="301"/>
      <c r="AZ118" s="301"/>
      <c r="BA118" s="301"/>
      <c r="BB118" s="301"/>
    </row>
    <row r="119" spans="1:61" s="78" customFormat="1" ht="22.5" customHeight="1" thickBot="1">
      <c r="A119" s="248"/>
      <c r="B119" s="448"/>
      <c r="C119" s="449"/>
      <c r="D119" s="451"/>
      <c r="E119" s="451" t="s">
        <v>989</v>
      </c>
      <c r="F119" s="451"/>
      <c r="G119" s="451" t="s">
        <v>894</v>
      </c>
      <c r="H119" s="451" t="s">
        <v>990</v>
      </c>
      <c r="I119" s="451" t="s">
        <v>986</v>
      </c>
      <c r="J119" s="451" t="s">
        <v>986</v>
      </c>
      <c r="K119" s="451" t="s">
        <v>821</v>
      </c>
      <c r="L119" s="451" t="s">
        <v>821</v>
      </c>
      <c r="M119" s="451" t="s">
        <v>821</v>
      </c>
      <c r="N119" s="451" t="s">
        <v>821</v>
      </c>
      <c r="O119" s="451" t="s">
        <v>881</v>
      </c>
      <c r="P119" s="321"/>
      <c r="Q119" s="450"/>
      <c r="R119" s="433"/>
      <c r="S119" s="309" t="s">
        <v>816</v>
      </c>
      <c r="T119" s="303" t="s">
        <v>817</v>
      </c>
      <c r="U119" s="304" t="e">
        <f>U118-#REF!</f>
        <v>#REF!</v>
      </c>
      <c r="V119" s="310" t="s">
        <v>818</v>
      </c>
      <c r="W119" s="306" t="e">
        <f>(#REF!+BB119)/1100000</f>
        <v>#REF!</v>
      </c>
      <c r="X119" s="85"/>
      <c r="Y119" s="75"/>
      <c r="Z119" s="275"/>
      <c r="AA119" s="261"/>
      <c r="AB119" s="80" t="s">
        <v>817</v>
      </c>
      <c r="AC119" s="81" t="e">
        <f>AC118-#REF!</f>
        <v>#REF!</v>
      </c>
      <c r="AD119" s="82" t="s">
        <v>824</v>
      </c>
      <c r="AE119" s="83"/>
      <c r="AF119" s="278"/>
      <c r="AG119" s="278"/>
      <c r="AH119" s="278"/>
      <c r="AI119" s="278"/>
      <c r="AJ119" s="278"/>
      <c r="AK119" s="278"/>
      <c r="AL119" s="278"/>
      <c r="AM119" s="278"/>
      <c r="AN119" s="278"/>
      <c r="AO119" s="278"/>
      <c r="AP119" s="278"/>
      <c r="AQ119" s="278"/>
      <c r="AR119" s="278"/>
      <c r="AS119" s="278"/>
      <c r="AT119" s="68"/>
      <c r="AU119" s="278"/>
      <c r="AV119" s="278"/>
      <c r="AW119" s="278"/>
      <c r="AX119" s="278"/>
      <c r="AY119" s="278"/>
      <c r="AZ119" s="278"/>
      <c r="BA119" s="278"/>
      <c r="BB119" s="278"/>
      <c r="BD119" s="68"/>
      <c r="BE119" s="68"/>
      <c r="BF119" s="68"/>
      <c r="BG119" s="68"/>
      <c r="BH119" s="68"/>
      <c r="BI119" s="68"/>
    </row>
    <row r="120" spans="1:61" s="78" customFormat="1" ht="22.5" customHeight="1" thickBot="1">
      <c r="A120" s="247" t="s">
        <v>992</v>
      </c>
      <c r="B120" s="445"/>
      <c r="C120" s="446">
        <f>B120+D120+E120+F120+G120+H120+I120+J120+K120+N120</f>
        <v>0.24</v>
      </c>
      <c r="D120" s="297"/>
      <c r="E120" s="297"/>
      <c r="F120" s="297"/>
      <c r="G120" s="297"/>
      <c r="H120" s="297"/>
      <c r="I120" s="297">
        <v>0.02</v>
      </c>
      <c r="J120" s="297">
        <v>0.02</v>
      </c>
      <c r="K120" s="297">
        <v>0.05</v>
      </c>
      <c r="L120" s="297">
        <v>0.05</v>
      </c>
      <c r="M120" s="297">
        <v>0.05</v>
      </c>
      <c r="N120" s="297">
        <v>0.15</v>
      </c>
      <c r="O120" s="297">
        <v>0.01</v>
      </c>
      <c r="P120" s="319" t="s">
        <v>881</v>
      </c>
      <c r="Q120" s="447" t="s">
        <v>995</v>
      </c>
      <c r="R120" s="444" t="s">
        <v>993</v>
      </c>
      <c r="S120" s="386" t="s">
        <v>994</v>
      </c>
      <c r="T120" s="293" t="s">
        <v>814</v>
      </c>
      <c r="U120" s="294">
        <f>AZ120/1100000</f>
        <v>0</v>
      </c>
      <c r="V120" s="295" t="s">
        <v>832</v>
      </c>
      <c r="W120" s="296" t="e">
        <f>U120*0.75-(#REF!+W121)</f>
        <v>#REF!</v>
      </c>
      <c r="X120" s="299" t="s">
        <v>812</v>
      </c>
      <c r="Y120" s="79" t="s">
        <v>813</v>
      </c>
      <c r="Z120" s="275"/>
      <c r="AA120" s="260"/>
      <c r="AB120" s="80" t="s">
        <v>814</v>
      </c>
      <c r="AC120" s="81">
        <v>92228000</v>
      </c>
      <c r="AD120" s="325" t="s">
        <v>35</v>
      </c>
      <c r="AE120" s="326"/>
      <c r="AF120" s="327"/>
      <c r="AG120" s="328"/>
      <c r="AH120" s="328" t="s">
        <v>815</v>
      </c>
      <c r="AI120" s="328">
        <v>8000000</v>
      </c>
      <c r="AJ120" s="328" t="s">
        <v>853</v>
      </c>
      <c r="AK120" s="328"/>
      <c r="AL120" s="328" t="s">
        <v>988</v>
      </c>
      <c r="AM120" s="328"/>
      <c r="AN120" s="328"/>
      <c r="AO120" s="301"/>
      <c r="AP120" s="301"/>
      <c r="AQ120" s="301"/>
      <c r="AR120" s="301"/>
      <c r="AS120" s="301"/>
      <c r="AU120" s="301"/>
      <c r="AV120" s="301"/>
      <c r="AW120" s="301"/>
      <c r="AX120" s="301"/>
      <c r="AY120" s="301"/>
      <c r="AZ120" s="301"/>
      <c r="BA120" s="301"/>
      <c r="BB120" s="301"/>
    </row>
    <row r="121" spans="1:61" s="78" customFormat="1" ht="22.5" customHeight="1" thickBot="1">
      <c r="A121" s="248"/>
      <c r="B121" s="448"/>
      <c r="C121" s="449"/>
      <c r="D121" s="451"/>
      <c r="E121" s="451" t="s">
        <v>989</v>
      </c>
      <c r="F121" s="451"/>
      <c r="G121" s="451"/>
      <c r="H121" s="451"/>
      <c r="I121" s="451" t="s">
        <v>996</v>
      </c>
      <c r="J121" s="451" t="s">
        <v>893</v>
      </c>
      <c r="K121" s="451" t="s">
        <v>997</v>
      </c>
      <c r="L121" s="451" t="s">
        <v>998</v>
      </c>
      <c r="M121" s="451" t="s">
        <v>892</v>
      </c>
      <c r="N121" s="451" t="s">
        <v>881</v>
      </c>
      <c r="O121" s="451" t="s">
        <v>881</v>
      </c>
      <c r="P121" s="321"/>
      <c r="Q121" s="450"/>
      <c r="R121" s="433"/>
      <c r="S121" s="309" t="s">
        <v>816</v>
      </c>
      <c r="T121" s="303" t="s">
        <v>817</v>
      </c>
      <c r="U121" s="304" t="e">
        <f>U120-#REF!</f>
        <v>#REF!</v>
      </c>
      <c r="V121" s="310" t="s">
        <v>818</v>
      </c>
      <c r="W121" s="306" t="e">
        <f>(#REF!+BB121)/1100000</f>
        <v>#REF!</v>
      </c>
      <c r="X121" s="85"/>
      <c r="Y121" s="75"/>
      <c r="Z121" s="275"/>
      <c r="AA121" s="261"/>
      <c r="AB121" s="80" t="s">
        <v>817</v>
      </c>
      <c r="AC121" s="81" t="e">
        <f>AC120-#REF!</f>
        <v>#REF!</v>
      </c>
      <c r="AD121" s="82" t="s">
        <v>824</v>
      </c>
      <c r="AE121" s="83"/>
      <c r="AF121" s="278"/>
      <c r="AG121" s="278"/>
      <c r="AH121" s="278"/>
      <c r="AI121" s="278"/>
      <c r="AJ121" s="278"/>
      <c r="AK121" s="278"/>
      <c r="AL121" s="278"/>
      <c r="AM121" s="278"/>
      <c r="AN121" s="278"/>
      <c r="AO121" s="278"/>
      <c r="AP121" s="278"/>
      <c r="AQ121" s="278"/>
      <c r="AR121" s="278"/>
      <c r="AS121" s="278"/>
      <c r="AT121" s="68"/>
      <c r="AU121" s="278"/>
      <c r="AV121" s="278"/>
      <c r="AW121" s="278"/>
      <c r="AX121" s="278"/>
      <c r="AY121" s="278"/>
      <c r="AZ121" s="278"/>
      <c r="BA121" s="278"/>
      <c r="BB121" s="278"/>
      <c r="BD121" s="68"/>
      <c r="BE121" s="68"/>
      <c r="BF121" s="68"/>
      <c r="BG121" s="68"/>
      <c r="BH121" s="68"/>
      <c r="BI121" s="68"/>
    </row>
    <row r="122" spans="1:61" s="78" customFormat="1" ht="22.5" customHeight="1" thickBot="1">
      <c r="A122" s="247" t="s">
        <v>999</v>
      </c>
      <c r="B122" s="445"/>
      <c r="C122" s="446">
        <f>B122+D122+E122+F122+G122+H122+I122+J122+K122+N122</f>
        <v>0.12000000000000001</v>
      </c>
      <c r="D122" s="297"/>
      <c r="E122" s="297"/>
      <c r="F122" s="297"/>
      <c r="G122" s="297"/>
      <c r="H122" s="297"/>
      <c r="I122" s="297">
        <v>0.02</v>
      </c>
      <c r="J122" s="297"/>
      <c r="K122" s="297">
        <v>0.1</v>
      </c>
      <c r="L122" s="297">
        <v>0.1</v>
      </c>
      <c r="M122" s="297">
        <v>0</v>
      </c>
      <c r="N122" s="297">
        <v>0</v>
      </c>
      <c r="O122" s="297">
        <v>0.01</v>
      </c>
      <c r="P122" s="319" t="s">
        <v>882</v>
      </c>
      <c r="Q122" s="447" t="s">
        <v>1001</v>
      </c>
      <c r="R122" s="444" t="s">
        <v>1000</v>
      </c>
      <c r="S122" s="386">
        <v>44426</v>
      </c>
      <c r="T122" s="293" t="s">
        <v>814</v>
      </c>
      <c r="U122" s="294">
        <f>AZ122/1100000</f>
        <v>0</v>
      </c>
      <c r="V122" s="295" t="s">
        <v>832</v>
      </c>
      <c r="W122" s="296" t="e">
        <f>U122*0.75-(#REF!+W123)</f>
        <v>#REF!</v>
      </c>
      <c r="X122" s="299" t="s">
        <v>812</v>
      </c>
      <c r="Y122" s="79" t="s">
        <v>813</v>
      </c>
      <c r="Z122" s="275"/>
      <c r="AA122" s="260"/>
      <c r="AB122" s="80" t="s">
        <v>814</v>
      </c>
      <c r="AC122" s="81">
        <v>9482000</v>
      </c>
      <c r="AD122" s="325" t="s">
        <v>35</v>
      </c>
      <c r="AE122" s="326"/>
      <c r="AF122" s="327"/>
      <c r="AG122" s="328"/>
      <c r="AH122" s="328" t="s">
        <v>815</v>
      </c>
      <c r="AI122" s="328">
        <v>8000000</v>
      </c>
      <c r="AJ122" s="328" t="s">
        <v>853</v>
      </c>
      <c r="AK122" s="328"/>
      <c r="AL122" s="328" t="s">
        <v>988</v>
      </c>
      <c r="AM122" s="328"/>
      <c r="AN122" s="328"/>
      <c r="AO122" s="301"/>
      <c r="AP122" s="301"/>
      <c r="AQ122" s="301"/>
      <c r="AR122" s="301"/>
      <c r="AS122" s="301"/>
      <c r="AU122" s="301"/>
      <c r="AV122" s="301"/>
      <c r="AW122" s="301"/>
      <c r="AX122" s="301"/>
      <c r="AY122" s="301"/>
      <c r="AZ122" s="301"/>
      <c r="BA122" s="301"/>
      <c r="BB122" s="301"/>
    </row>
    <row r="123" spans="1:61" s="78" customFormat="1" ht="22.5" customHeight="1" thickBot="1">
      <c r="A123" s="248"/>
      <c r="B123" s="448"/>
      <c r="C123" s="449"/>
      <c r="D123" s="451"/>
      <c r="E123" s="451" t="s">
        <v>989</v>
      </c>
      <c r="F123" s="451"/>
      <c r="G123" s="451"/>
      <c r="H123" s="451"/>
      <c r="I123" s="451" t="s">
        <v>996</v>
      </c>
      <c r="J123" s="451"/>
      <c r="K123" s="451" t="s">
        <v>997</v>
      </c>
      <c r="L123" s="451" t="s">
        <v>997</v>
      </c>
      <c r="M123" s="451" t="s">
        <v>986</v>
      </c>
      <c r="N123" s="451" t="s">
        <v>986</v>
      </c>
      <c r="O123" s="451" t="s">
        <v>881</v>
      </c>
      <c r="P123" s="321"/>
      <c r="Q123" s="450"/>
      <c r="R123" s="433"/>
      <c r="S123" s="309" t="s">
        <v>816</v>
      </c>
      <c r="T123" s="303" t="s">
        <v>817</v>
      </c>
      <c r="U123" s="304" t="e">
        <f>U122-#REF!</f>
        <v>#REF!</v>
      </c>
      <c r="V123" s="310" t="s">
        <v>818</v>
      </c>
      <c r="W123" s="306" t="e">
        <f>(#REF!+BB123)/1100000</f>
        <v>#REF!</v>
      </c>
      <c r="X123" s="85"/>
      <c r="Y123" s="75"/>
      <c r="Z123" s="275"/>
      <c r="AA123" s="261"/>
      <c r="AB123" s="80" t="s">
        <v>817</v>
      </c>
      <c r="AC123" s="81" t="e">
        <f>AC122-#REF!</f>
        <v>#REF!</v>
      </c>
      <c r="AD123" s="82" t="s">
        <v>824</v>
      </c>
      <c r="AE123" s="83"/>
      <c r="AF123" s="278"/>
      <c r="AG123" s="278"/>
      <c r="AH123" s="278"/>
      <c r="AI123" s="278"/>
      <c r="AJ123" s="278"/>
      <c r="AK123" s="278"/>
      <c r="AL123" s="278"/>
      <c r="AM123" s="278"/>
      <c r="AN123" s="278"/>
      <c r="AO123" s="278"/>
      <c r="AP123" s="278"/>
      <c r="AQ123" s="278"/>
      <c r="AR123" s="278"/>
      <c r="AS123" s="278"/>
      <c r="AT123" s="68"/>
      <c r="AU123" s="278"/>
      <c r="AV123" s="278"/>
      <c r="AW123" s="278"/>
      <c r="AX123" s="278"/>
      <c r="AY123" s="278"/>
      <c r="AZ123" s="278"/>
      <c r="BA123" s="278"/>
      <c r="BB123" s="278"/>
      <c r="BD123" s="68"/>
      <c r="BE123" s="68"/>
      <c r="BF123" s="68"/>
      <c r="BG123" s="68"/>
      <c r="BH123" s="68"/>
      <c r="BI123" s="68"/>
    </row>
    <row r="124" spans="1:61" s="78" customFormat="1" ht="22.5" customHeight="1" thickBot="1">
      <c r="A124" s="247" t="s">
        <v>1002</v>
      </c>
      <c r="B124" s="445"/>
      <c r="C124" s="446">
        <f>N124</f>
        <v>0</v>
      </c>
      <c r="D124" s="297"/>
      <c r="E124" s="297"/>
      <c r="F124" s="297"/>
      <c r="G124" s="297"/>
      <c r="H124" s="297"/>
      <c r="I124" s="297">
        <v>0.02</v>
      </c>
      <c r="J124" s="297"/>
      <c r="K124" s="297">
        <v>0.1</v>
      </c>
      <c r="L124" s="297">
        <v>0.1</v>
      </c>
      <c r="M124" s="297"/>
      <c r="N124" s="297">
        <v>0</v>
      </c>
      <c r="O124" s="297">
        <v>0.01</v>
      </c>
      <c r="P124" s="319" t="s">
        <v>957</v>
      </c>
      <c r="Q124" s="447" t="s">
        <v>1004</v>
      </c>
      <c r="R124" s="444" t="s">
        <v>1003</v>
      </c>
      <c r="S124" s="386">
        <v>44501</v>
      </c>
      <c r="T124" s="293" t="s">
        <v>814</v>
      </c>
      <c r="U124" s="294">
        <f>AZ124/1100000</f>
        <v>0</v>
      </c>
      <c r="V124" s="295" t="s">
        <v>832</v>
      </c>
      <c r="W124" s="296" t="e">
        <f>U124*0.75-(#REF!+W125)</f>
        <v>#REF!</v>
      </c>
      <c r="X124" s="299" t="s">
        <v>90</v>
      </c>
      <c r="Y124" s="79" t="s">
        <v>34</v>
      </c>
      <c r="Z124" s="275"/>
      <c r="AA124" s="260"/>
      <c r="AB124" s="80" t="s">
        <v>89</v>
      </c>
      <c r="AC124" s="81">
        <v>1100000000</v>
      </c>
      <c r="AD124" s="325" t="s">
        <v>98</v>
      </c>
      <c r="AE124" s="326"/>
      <c r="AF124" s="327"/>
      <c r="AG124" s="328"/>
      <c r="AH124" s="328" t="s">
        <v>56</v>
      </c>
      <c r="AI124" s="328">
        <v>8000000</v>
      </c>
      <c r="AJ124" s="328" t="s">
        <v>57</v>
      </c>
      <c r="AK124" s="328"/>
      <c r="AL124" s="328" t="s">
        <v>946</v>
      </c>
      <c r="AM124" s="328"/>
      <c r="AN124" s="328"/>
      <c r="AO124" s="301"/>
      <c r="AP124" s="301"/>
      <c r="AQ124" s="301"/>
      <c r="AR124" s="301"/>
      <c r="AS124" s="301"/>
      <c r="AU124" s="301"/>
      <c r="AV124" s="301"/>
      <c r="AW124" s="301"/>
      <c r="AX124" s="301"/>
      <c r="AY124" s="301"/>
      <c r="AZ124" s="301"/>
      <c r="BA124" s="301"/>
      <c r="BB124" s="301"/>
    </row>
    <row r="125" spans="1:61" s="78" customFormat="1" ht="22.5" customHeight="1" thickBot="1">
      <c r="A125" s="248"/>
      <c r="B125" s="448"/>
      <c r="C125" s="449"/>
      <c r="D125" s="451"/>
      <c r="E125" s="451" t="s">
        <v>971</v>
      </c>
      <c r="F125" s="451"/>
      <c r="G125" s="451"/>
      <c r="H125" s="451"/>
      <c r="I125" s="451" t="s">
        <v>78</v>
      </c>
      <c r="J125" s="451"/>
      <c r="K125" s="451" t="s">
        <v>958</v>
      </c>
      <c r="L125" s="451" t="s">
        <v>958</v>
      </c>
      <c r="M125" s="451"/>
      <c r="N125" s="451" t="s">
        <v>991</v>
      </c>
      <c r="O125" s="451" t="s">
        <v>888</v>
      </c>
      <c r="P125" s="321"/>
      <c r="Q125" s="450"/>
      <c r="R125" s="433"/>
      <c r="S125" s="309" t="s">
        <v>67</v>
      </c>
      <c r="T125" s="303" t="s">
        <v>196</v>
      </c>
      <c r="U125" s="304" t="e">
        <f>U124-#REF!</f>
        <v>#REF!</v>
      </c>
      <c r="V125" s="310" t="s">
        <v>15</v>
      </c>
      <c r="W125" s="306" t="e">
        <f>(#REF!+BB125)/1100000</f>
        <v>#REF!</v>
      </c>
      <c r="X125" s="85"/>
      <c r="Y125" s="75"/>
      <c r="Z125" s="275"/>
      <c r="AA125" s="261"/>
      <c r="AB125" s="80" t="s">
        <v>196</v>
      </c>
      <c r="AC125" s="81" t="e">
        <f>AC124-#REF!</f>
        <v>#REF!</v>
      </c>
      <c r="AD125" s="82" t="s">
        <v>100</v>
      </c>
      <c r="AE125" s="83"/>
      <c r="AF125" s="278"/>
      <c r="AG125" s="278"/>
      <c r="AH125" s="278"/>
      <c r="AI125" s="278"/>
      <c r="AJ125" s="278"/>
      <c r="AK125" s="278"/>
      <c r="AL125" s="278"/>
      <c r="AM125" s="278"/>
      <c r="AN125" s="278"/>
      <c r="AO125" s="278"/>
      <c r="AP125" s="278"/>
      <c r="AQ125" s="278"/>
      <c r="AR125" s="278"/>
      <c r="AS125" s="278"/>
      <c r="AT125" s="68"/>
      <c r="AU125" s="278"/>
      <c r="AV125" s="278"/>
      <c r="AW125" s="278"/>
      <c r="AX125" s="278"/>
      <c r="AY125" s="278"/>
      <c r="AZ125" s="278"/>
      <c r="BA125" s="278"/>
      <c r="BB125" s="278"/>
      <c r="BD125" s="68"/>
      <c r="BE125" s="68"/>
      <c r="BF125" s="68"/>
      <c r="BG125" s="68"/>
      <c r="BH125" s="68"/>
      <c r="BI125" s="68"/>
    </row>
    <row r="126" spans="1:61" s="78" customFormat="1" ht="22.5" customHeight="1" thickBot="1">
      <c r="A126" s="490" t="s">
        <v>1295</v>
      </c>
      <c r="B126" s="554">
        <v>0.05</v>
      </c>
      <c r="C126" s="1009">
        <f>B126+D126+E126+F126+G126+H126+I126+J126+K126+L126+M126+N126+O126</f>
        <v>0.60000000000000009</v>
      </c>
      <c r="D126" s="525"/>
      <c r="E126" s="525">
        <v>0.05</v>
      </c>
      <c r="F126" s="525"/>
      <c r="G126" s="525"/>
      <c r="H126" s="414">
        <v>0.1</v>
      </c>
      <c r="I126" s="414">
        <v>0.1</v>
      </c>
      <c r="J126" s="525"/>
      <c r="K126" s="525"/>
      <c r="L126" s="525">
        <v>0.05</v>
      </c>
      <c r="M126" s="525">
        <v>0.05</v>
      </c>
      <c r="N126" s="525">
        <v>0.2</v>
      </c>
      <c r="O126" s="525"/>
      <c r="P126" s="494" t="s">
        <v>1298</v>
      </c>
      <c r="Q126" s="494" t="s">
        <v>1299</v>
      </c>
      <c r="R126" s="491" t="s">
        <v>1296</v>
      </c>
      <c r="S126" s="520" t="s">
        <v>1297</v>
      </c>
      <c r="T126" s="521" t="s">
        <v>89</v>
      </c>
      <c r="U126" s="522">
        <f>BK126/1100000</f>
        <v>0</v>
      </c>
      <c r="V126" s="523" t="s">
        <v>7</v>
      </c>
      <c r="W126" s="524" t="e">
        <f>U126*0.75-(#REF!+W127)</f>
        <v>#REF!</v>
      </c>
      <c r="X126" s="299" t="s">
        <v>90</v>
      </c>
      <c r="Y126" s="79" t="s">
        <v>34</v>
      </c>
      <c r="Z126" s="596" t="s">
        <v>194</v>
      </c>
      <c r="AA126" s="596"/>
      <c r="AB126" s="80" t="s">
        <v>89</v>
      </c>
      <c r="AC126" s="81">
        <v>91000000</v>
      </c>
      <c r="AD126" s="82" t="s">
        <v>98</v>
      </c>
      <c r="AE126" s="83">
        <f>SUM(AF126:BB126)</f>
        <v>0</v>
      </c>
      <c r="AF126" s="91"/>
      <c r="AG126" s="92"/>
      <c r="AH126" s="92"/>
      <c r="AI126" s="92"/>
      <c r="AJ126" s="92"/>
      <c r="AK126" s="92"/>
      <c r="AL126" s="92"/>
      <c r="AM126" s="92"/>
      <c r="AN126" s="92"/>
      <c r="AO126" s="92"/>
      <c r="AP126" s="92"/>
      <c r="AQ126" s="92"/>
      <c r="AR126" s="92"/>
      <c r="AS126" s="92"/>
      <c r="AT126" s="78" t="s">
        <v>1391</v>
      </c>
      <c r="AU126" s="92"/>
      <c r="AV126" s="92"/>
      <c r="AW126" s="92"/>
      <c r="AX126" s="92"/>
      <c r="AY126" s="92"/>
      <c r="AZ126" s="92"/>
      <c r="BA126" s="92"/>
      <c r="BB126" s="92"/>
    </row>
    <row r="127" spans="1:61" s="78" customFormat="1" ht="22.5" customHeight="1" thickBot="1">
      <c r="A127" s="495"/>
      <c r="B127" s="558"/>
      <c r="C127" s="1010"/>
      <c r="D127" s="560"/>
      <c r="E127" s="560"/>
      <c r="F127" s="560"/>
      <c r="G127" s="560"/>
      <c r="H127" s="560"/>
      <c r="I127" s="560"/>
      <c r="J127" s="560"/>
      <c r="K127" s="560"/>
      <c r="L127" s="560"/>
      <c r="M127" s="560" t="s">
        <v>1301</v>
      </c>
      <c r="N127" s="560" t="s">
        <v>1301</v>
      </c>
      <c r="O127" s="560"/>
      <c r="P127" s="506"/>
      <c r="Q127" s="499"/>
      <c r="R127" s="496"/>
      <c r="S127" s="531" t="s">
        <v>1300</v>
      </c>
      <c r="T127" s="526" t="s">
        <v>196</v>
      </c>
      <c r="U127" s="527" t="e">
        <f>U126-#REF!</f>
        <v>#REF!</v>
      </c>
      <c r="V127" s="532" t="s">
        <v>15</v>
      </c>
      <c r="W127" s="529" t="e">
        <f>(#REF!+BM127)/1100000</f>
        <v>#REF!</v>
      </c>
      <c r="X127" s="85"/>
      <c r="Y127" s="69"/>
      <c r="Z127" s="597"/>
      <c r="AA127" s="597"/>
      <c r="AB127" s="80" t="s">
        <v>196</v>
      </c>
      <c r="AC127" s="81" t="e">
        <f>AC126-#REF!</f>
        <v>#REF!</v>
      </c>
      <c r="AD127" s="82" t="s">
        <v>100</v>
      </c>
      <c r="AE127" s="83"/>
      <c r="AF127" s="77"/>
      <c r="AG127" s="77"/>
      <c r="AH127" s="77"/>
      <c r="AI127" s="77"/>
      <c r="AJ127" s="77"/>
      <c r="AK127" s="77"/>
      <c r="AL127" s="77"/>
      <c r="AM127" s="77"/>
      <c r="AN127" s="77"/>
      <c r="AO127" s="77"/>
      <c r="AP127" s="77"/>
      <c r="AQ127" s="77"/>
      <c r="AR127" s="77"/>
      <c r="AS127" s="77"/>
      <c r="AT127" s="68"/>
      <c r="AU127" s="77"/>
      <c r="AV127" s="77"/>
      <c r="AW127" s="77"/>
      <c r="AX127" s="77"/>
      <c r="AY127" s="77"/>
      <c r="AZ127" s="77"/>
      <c r="BA127" s="77"/>
      <c r="BB127" s="77"/>
      <c r="BD127" s="68"/>
      <c r="BE127" s="68"/>
      <c r="BF127" s="68"/>
      <c r="BG127" s="68"/>
      <c r="BH127" s="68"/>
      <c r="BI127" s="68"/>
    </row>
    <row r="128" spans="1:61" s="78" customFormat="1" ht="22.5" customHeight="1" thickBot="1">
      <c r="A128" s="490" t="s">
        <v>1303</v>
      </c>
      <c r="B128" s="554">
        <v>0.2</v>
      </c>
      <c r="C128" s="555">
        <f>B128+D128+E128+F128+G128+H128+I128+J128+K128+L128+M128+N128+O128</f>
        <v>0.89999999999999991</v>
      </c>
      <c r="D128" s="525"/>
      <c r="E128" s="525"/>
      <c r="F128" s="525"/>
      <c r="G128" s="525"/>
      <c r="H128" s="525">
        <v>0.3</v>
      </c>
      <c r="I128" s="525">
        <v>0.2</v>
      </c>
      <c r="J128" s="525">
        <v>0.2</v>
      </c>
      <c r="K128" s="525"/>
      <c r="L128" s="525"/>
      <c r="M128" s="525"/>
      <c r="N128" s="525"/>
      <c r="O128" s="525"/>
      <c r="P128" s="494" t="s">
        <v>1306</v>
      </c>
      <c r="Q128" s="494" t="s">
        <v>1307</v>
      </c>
      <c r="R128" s="491" t="s">
        <v>1304</v>
      </c>
      <c r="S128" s="520" t="s">
        <v>1305</v>
      </c>
      <c r="T128" s="521" t="s">
        <v>89</v>
      </c>
      <c r="U128" s="522">
        <f>BK128/1100000</f>
        <v>0</v>
      </c>
      <c r="V128" s="523" t="s">
        <v>7</v>
      </c>
      <c r="W128" s="524" t="e">
        <f>U128*0.75-(#REF!+W129)</f>
        <v>#REF!</v>
      </c>
      <c r="X128" s="90" t="s">
        <v>90</v>
      </c>
      <c r="Y128" s="79" t="s">
        <v>34</v>
      </c>
      <c r="Z128" s="596"/>
      <c r="AA128" s="596"/>
      <c r="AB128" s="80" t="s">
        <v>89</v>
      </c>
      <c r="AC128" s="81">
        <v>21230000</v>
      </c>
      <c r="AD128" s="82" t="s">
        <v>98</v>
      </c>
      <c r="AE128" s="83">
        <f>SUM(AF128:BB128)</f>
        <v>0</v>
      </c>
      <c r="AF128" s="91" t="s">
        <v>108</v>
      </c>
      <c r="AG128" s="92"/>
      <c r="AH128" s="92"/>
      <c r="AI128" s="92"/>
      <c r="AJ128" s="92"/>
      <c r="AK128" s="92"/>
      <c r="AL128" s="92"/>
      <c r="AM128" s="92"/>
      <c r="AN128" s="92"/>
      <c r="AO128" s="92"/>
      <c r="AP128" s="92"/>
      <c r="AQ128" s="92"/>
      <c r="AR128" s="92"/>
      <c r="AS128" s="92"/>
      <c r="AU128" s="92"/>
      <c r="AV128" s="92"/>
      <c r="AW128" s="92"/>
      <c r="AX128" s="92"/>
      <c r="AY128" s="92"/>
      <c r="AZ128" s="92"/>
      <c r="BA128" s="92"/>
      <c r="BB128" s="92"/>
    </row>
    <row r="129" spans="1:61" s="78" customFormat="1" ht="22.5" customHeight="1" thickBot="1">
      <c r="A129" s="495"/>
      <c r="B129" s="558"/>
      <c r="C129" s="559"/>
      <c r="D129" s="560"/>
      <c r="E129" s="560"/>
      <c r="F129" s="560"/>
      <c r="G129" s="560"/>
      <c r="H129" s="560"/>
      <c r="I129" s="560"/>
      <c r="J129" s="560"/>
      <c r="K129" s="560"/>
      <c r="L129" s="560"/>
      <c r="M129" s="560"/>
      <c r="N129" s="560"/>
      <c r="O129" s="560"/>
      <c r="P129" s="506"/>
      <c r="Q129" s="499"/>
      <c r="R129" s="496"/>
      <c r="S129" s="593" t="s">
        <v>1308</v>
      </c>
      <c r="T129" s="526" t="s">
        <v>196</v>
      </c>
      <c r="U129" s="527" t="e">
        <f>U128-#REF!</f>
        <v>#REF!</v>
      </c>
      <c r="V129" s="532" t="s">
        <v>15</v>
      </c>
      <c r="W129" s="529" t="e">
        <f>(#REF!+BM129)/1100000</f>
        <v>#REF!</v>
      </c>
      <c r="X129" s="69"/>
      <c r="Y129" s="75"/>
      <c r="Z129" s="597"/>
      <c r="AA129" s="597"/>
      <c r="AB129" s="80" t="s">
        <v>196</v>
      </c>
      <c r="AC129" s="81" t="e">
        <f>AC128-#REF!</f>
        <v>#REF!</v>
      </c>
      <c r="AD129" s="82" t="s">
        <v>100</v>
      </c>
      <c r="AE129" s="83"/>
      <c r="AF129" s="77"/>
      <c r="AG129" s="77"/>
      <c r="AH129" s="77"/>
      <c r="AI129" s="77"/>
      <c r="AJ129" s="77"/>
      <c r="AK129" s="77"/>
      <c r="AL129" s="77"/>
      <c r="AM129" s="77"/>
      <c r="AN129" s="77"/>
      <c r="AO129" s="77"/>
      <c r="AP129" s="77"/>
      <c r="AQ129" s="77"/>
      <c r="AR129" s="77"/>
      <c r="AS129" s="77"/>
      <c r="AT129" s="68"/>
      <c r="AU129" s="77"/>
      <c r="AV129" s="77"/>
      <c r="AW129" s="77"/>
      <c r="AX129" s="77"/>
      <c r="AY129" s="77"/>
      <c r="AZ129" s="77"/>
      <c r="BA129" s="77"/>
      <c r="BB129" s="77"/>
      <c r="BD129" s="68"/>
      <c r="BE129" s="68"/>
      <c r="BF129" s="68"/>
      <c r="BG129" s="68"/>
      <c r="BH129" s="68"/>
      <c r="BI129" s="68"/>
    </row>
    <row r="130" spans="1:61" s="78" customFormat="1" ht="22.5" customHeight="1" thickBot="1">
      <c r="A130" s="490" t="s">
        <v>1309</v>
      </c>
      <c r="B130" s="554">
        <v>0.4</v>
      </c>
      <c r="C130" s="1009">
        <f>B130+D130+E130+F130+G130+H130+I130+J130+K130+L130+M130+N130+O130</f>
        <v>1</v>
      </c>
      <c r="D130" s="525">
        <v>0.2</v>
      </c>
      <c r="E130" s="525">
        <v>0.2</v>
      </c>
      <c r="F130" s="525">
        <v>0.1</v>
      </c>
      <c r="G130" s="525">
        <v>0.1</v>
      </c>
      <c r="H130" s="414"/>
      <c r="I130" s="414"/>
      <c r="J130" s="525"/>
      <c r="K130" s="525"/>
      <c r="L130" s="525"/>
      <c r="M130" s="525"/>
      <c r="N130" s="525"/>
      <c r="O130" s="525"/>
      <c r="P130" s="494"/>
      <c r="Q130" s="494" t="s">
        <v>1312</v>
      </c>
      <c r="R130" s="491" t="s">
        <v>1310</v>
      </c>
      <c r="S130" s="594" t="s">
        <v>1311</v>
      </c>
      <c r="T130" s="521" t="s">
        <v>89</v>
      </c>
      <c r="U130" s="522">
        <f>BK130/1100000</f>
        <v>0</v>
      </c>
      <c r="V130" s="523" t="s">
        <v>7</v>
      </c>
      <c r="W130" s="524" t="e">
        <f>U130*0.75-(#REF!+W131)</f>
        <v>#REF!</v>
      </c>
      <c r="X130" s="90" t="s">
        <v>90</v>
      </c>
      <c r="Y130" s="79" t="s">
        <v>34</v>
      </c>
      <c r="Z130" s="596"/>
      <c r="AA130" s="596"/>
      <c r="AB130" s="80" t="s">
        <v>89</v>
      </c>
      <c r="AC130" s="81">
        <v>34000000</v>
      </c>
      <c r="AD130" s="82" t="s">
        <v>98</v>
      </c>
      <c r="AE130" s="83">
        <f>SUM(AF130:BB130)</f>
        <v>0</v>
      </c>
      <c r="AF130" s="91"/>
      <c r="AG130" s="92"/>
      <c r="AH130" s="92"/>
      <c r="AI130" s="92"/>
      <c r="AJ130" s="92"/>
      <c r="AK130" s="92"/>
      <c r="AL130" s="92"/>
      <c r="AM130" s="92"/>
      <c r="AN130" s="92"/>
      <c r="AO130" s="92"/>
      <c r="AP130" s="92"/>
      <c r="AQ130" s="92"/>
      <c r="AR130" s="92"/>
      <c r="AS130" s="92"/>
      <c r="AU130" s="92"/>
      <c r="AV130" s="92"/>
      <c r="AW130" s="92"/>
      <c r="AX130" s="92"/>
      <c r="AY130" s="92"/>
      <c r="AZ130" s="92"/>
      <c r="BA130" s="92"/>
      <c r="BB130" s="92"/>
    </row>
    <row r="131" spans="1:61" s="78" customFormat="1" ht="22.5" customHeight="1" thickBot="1">
      <c r="A131" s="495"/>
      <c r="B131" s="558"/>
      <c r="C131" s="1010"/>
      <c r="D131" s="560"/>
      <c r="E131" s="560"/>
      <c r="F131" s="560"/>
      <c r="G131" s="560"/>
      <c r="H131" s="560"/>
      <c r="I131" s="560"/>
      <c r="J131" s="560"/>
      <c r="K131" s="560"/>
      <c r="L131" s="560"/>
      <c r="M131" s="560"/>
      <c r="N131" s="560"/>
      <c r="O131" s="560"/>
      <c r="P131" s="506"/>
      <c r="Q131" s="499"/>
      <c r="R131" s="496"/>
      <c r="S131" s="593" t="s">
        <v>72</v>
      </c>
      <c r="T131" s="526" t="s">
        <v>196</v>
      </c>
      <c r="U131" s="527" t="e">
        <f>U130-#REF!</f>
        <v>#REF!</v>
      </c>
      <c r="V131" s="532" t="s">
        <v>15</v>
      </c>
      <c r="W131" s="529" t="e">
        <f>(#REF!+BM131)/1100000</f>
        <v>#REF!</v>
      </c>
      <c r="X131" s="69"/>
      <c r="Y131" s="75"/>
      <c r="Z131" s="597"/>
      <c r="AA131" s="597"/>
      <c r="AB131" s="80" t="s">
        <v>196</v>
      </c>
      <c r="AC131" s="81" t="e">
        <f>AC130-#REF!</f>
        <v>#REF!</v>
      </c>
      <c r="AD131" s="82" t="s">
        <v>100</v>
      </c>
      <c r="AE131" s="83"/>
      <c r="AF131" s="77"/>
      <c r="AG131" s="77"/>
      <c r="AH131" s="77"/>
      <c r="AI131" s="77"/>
      <c r="AJ131" s="77"/>
      <c r="AK131" s="77"/>
      <c r="AL131" s="77"/>
      <c r="AM131" s="77"/>
      <c r="AN131" s="77"/>
      <c r="AO131" s="77"/>
      <c r="AP131" s="77"/>
      <c r="AQ131" s="77"/>
      <c r="AR131" s="77"/>
      <c r="AS131" s="77"/>
      <c r="AT131" s="68"/>
      <c r="AU131" s="77"/>
      <c r="AV131" s="77"/>
      <c r="AW131" s="77"/>
      <c r="AX131" s="77"/>
      <c r="AY131" s="77"/>
      <c r="AZ131" s="77"/>
      <c r="BA131" s="77"/>
      <c r="BB131" s="77"/>
      <c r="BD131" s="68"/>
      <c r="BE131" s="68"/>
      <c r="BF131" s="68"/>
      <c r="BG131" s="68"/>
      <c r="BH131" s="68"/>
      <c r="BI131" s="68"/>
    </row>
    <row r="132" spans="1:61" s="78" customFormat="1" ht="22.5" customHeight="1" thickBot="1">
      <c r="A132" s="490" t="s">
        <v>1313</v>
      </c>
      <c r="B132" s="554">
        <v>0.88</v>
      </c>
      <c r="C132" s="1009">
        <f>B132+D132+E132+F132+G132+H132+I132+J132+K132+L132+M132+N132+O132</f>
        <v>1</v>
      </c>
      <c r="D132" s="525"/>
      <c r="E132" s="525"/>
      <c r="F132" s="525"/>
      <c r="G132" s="525"/>
      <c r="H132" s="525"/>
      <c r="I132" s="525"/>
      <c r="J132" s="525">
        <v>0.12</v>
      </c>
      <c r="K132" s="525"/>
      <c r="L132" s="525"/>
      <c r="M132" s="525"/>
      <c r="N132" s="525"/>
      <c r="O132" s="525"/>
      <c r="P132" s="494" t="s">
        <v>1316</v>
      </c>
      <c r="Q132" s="494"/>
      <c r="R132" s="494" t="s">
        <v>1314</v>
      </c>
      <c r="S132" s="594" t="s">
        <v>1315</v>
      </c>
      <c r="T132" s="521" t="s">
        <v>89</v>
      </c>
      <c r="U132" s="522">
        <f>BK132/1100000</f>
        <v>0</v>
      </c>
      <c r="V132" s="523" t="s">
        <v>7</v>
      </c>
      <c r="W132" s="524" t="e">
        <f>U132*0.75-(#REF!+W133)</f>
        <v>#REF!</v>
      </c>
      <c r="X132" s="90" t="s">
        <v>90</v>
      </c>
      <c r="Y132" s="79" t="s">
        <v>34</v>
      </c>
      <c r="Z132" s="596"/>
      <c r="AA132" s="596"/>
      <c r="AB132" s="80" t="s">
        <v>89</v>
      </c>
      <c r="AC132" s="81">
        <v>121000000</v>
      </c>
      <c r="AD132" s="82" t="s">
        <v>98</v>
      </c>
      <c r="AE132" s="83">
        <f>SUM(AF132:BB132)</f>
        <v>0</v>
      </c>
      <c r="AF132" s="91"/>
      <c r="AG132" s="92"/>
      <c r="AH132" s="92"/>
      <c r="AI132" s="92"/>
      <c r="AJ132" s="92"/>
      <c r="AK132" s="92"/>
      <c r="AL132" s="92"/>
      <c r="AM132" s="92"/>
      <c r="AN132" s="92"/>
      <c r="AO132" s="92"/>
      <c r="AP132" s="92"/>
      <c r="AQ132" s="92"/>
      <c r="AR132" s="92"/>
      <c r="AS132" s="92"/>
      <c r="AU132" s="92"/>
      <c r="AV132" s="92"/>
      <c r="AW132" s="92"/>
      <c r="AX132" s="92"/>
      <c r="AY132" s="92"/>
      <c r="AZ132" s="92"/>
      <c r="BA132" s="92"/>
      <c r="BB132" s="92"/>
    </row>
    <row r="133" spans="1:61" s="78" customFormat="1" ht="22.5" customHeight="1" thickBot="1">
      <c r="A133" s="495"/>
      <c r="B133" s="558"/>
      <c r="C133" s="1010"/>
      <c r="D133" s="560"/>
      <c r="E133" s="560"/>
      <c r="F133" s="560"/>
      <c r="G133" s="560"/>
      <c r="H133" s="560"/>
      <c r="I133" s="560"/>
      <c r="J133" s="560"/>
      <c r="K133" s="560"/>
      <c r="L133" s="560"/>
      <c r="M133" s="560"/>
      <c r="N133" s="560"/>
      <c r="O133" s="560"/>
      <c r="P133" s="506"/>
      <c r="Q133" s="499"/>
      <c r="R133" s="600"/>
      <c r="S133" s="531" t="s">
        <v>67</v>
      </c>
      <c r="T133" s="526" t="s">
        <v>196</v>
      </c>
      <c r="U133" s="527" t="e">
        <f>U132-#REF!</f>
        <v>#REF!</v>
      </c>
      <c r="V133" s="532" t="s">
        <v>15</v>
      </c>
      <c r="W133" s="529" t="e">
        <f>(#REF!+BM133)/1100000</f>
        <v>#REF!</v>
      </c>
      <c r="X133" s="69"/>
      <c r="Y133" s="75"/>
      <c r="Z133" s="597"/>
      <c r="AA133" s="597"/>
      <c r="AB133" s="80" t="s">
        <v>196</v>
      </c>
      <c r="AC133" s="81" t="e">
        <f>AC132-#REF!</f>
        <v>#REF!</v>
      </c>
      <c r="AD133" s="82" t="s">
        <v>100</v>
      </c>
      <c r="AE133" s="83"/>
      <c r="AF133" s="77"/>
      <c r="AG133" s="77"/>
      <c r="AH133" s="77"/>
      <c r="AI133" s="77"/>
      <c r="AJ133" s="77"/>
      <c r="AK133" s="77"/>
      <c r="AL133" s="77"/>
      <c r="AM133" s="77"/>
      <c r="AN133" s="77"/>
      <c r="AO133" s="77"/>
      <c r="AP133" s="77"/>
      <c r="AQ133" s="77"/>
      <c r="AR133" s="77"/>
      <c r="AS133" s="77"/>
      <c r="AT133" s="68"/>
      <c r="AU133" s="77"/>
      <c r="AV133" s="77"/>
      <c r="AW133" s="77"/>
      <c r="AX133" s="77"/>
      <c r="AY133" s="77"/>
      <c r="AZ133" s="77"/>
      <c r="BA133" s="77"/>
      <c r="BB133" s="77"/>
      <c r="BD133" s="68"/>
      <c r="BE133" s="68"/>
      <c r="BF133" s="68"/>
      <c r="BG133" s="68"/>
      <c r="BH133" s="68"/>
      <c r="BI133" s="68"/>
    </row>
    <row r="134" spans="1:61" s="78" customFormat="1" ht="22.5" customHeight="1" thickBot="1">
      <c r="A134" s="563" t="s">
        <v>1318</v>
      </c>
      <c r="B134" s="554"/>
      <c r="C134" s="555">
        <f>B134+D134+E134+F134+G134+H134+I134+J134+K134+L134+M134+N134+O134</f>
        <v>0.39999999999999997</v>
      </c>
      <c r="D134" s="414"/>
      <c r="E134" s="414"/>
      <c r="F134" s="414"/>
      <c r="G134" s="414">
        <v>0.02</v>
      </c>
      <c r="H134" s="414">
        <v>0.03</v>
      </c>
      <c r="I134" s="414">
        <v>0.03</v>
      </c>
      <c r="J134" s="414">
        <v>0.05</v>
      </c>
      <c r="K134" s="525">
        <v>0.05</v>
      </c>
      <c r="L134" s="525">
        <v>0.05</v>
      </c>
      <c r="M134" s="525">
        <v>0.1</v>
      </c>
      <c r="N134" s="525">
        <v>7.0000000000000007E-2</v>
      </c>
      <c r="O134" s="525"/>
      <c r="P134" s="490" t="s">
        <v>1321</v>
      </c>
      <c r="Q134" s="494"/>
      <c r="R134" s="494" t="s">
        <v>1319</v>
      </c>
      <c r="S134" s="594" t="s">
        <v>1320</v>
      </c>
      <c r="T134" s="521" t="s">
        <v>814</v>
      </c>
      <c r="U134" s="522">
        <f>BK134/1100000</f>
        <v>0</v>
      </c>
      <c r="V134" s="523" t="s">
        <v>832</v>
      </c>
      <c r="W134" s="524" t="e">
        <f>U134*0.75-(#REF!+W135)</f>
        <v>#REF!</v>
      </c>
      <c r="X134" s="299" t="s">
        <v>812</v>
      </c>
      <c r="Y134" s="79" t="s">
        <v>813</v>
      </c>
      <c r="Z134" s="596" t="s">
        <v>1322</v>
      </c>
      <c r="AA134" s="596"/>
      <c r="AB134" s="80" t="s">
        <v>814</v>
      </c>
      <c r="AC134" s="81">
        <v>55000000</v>
      </c>
      <c r="AD134" s="82" t="s">
        <v>35</v>
      </c>
      <c r="AE134" s="83">
        <f>SUM(AF134:BB134)</f>
        <v>0</v>
      </c>
      <c r="AF134" s="91"/>
      <c r="AG134" s="92"/>
      <c r="AH134" s="92"/>
      <c r="AI134" s="92"/>
      <c r="AJ134" s="92"/>
      <c r="AK134" s="92"/>
      <c r="AL134" s="92"/>
      <c r="AM134" s="92"/>
      <c r="AN134" s="92"/>
      <c r="AO134" s="92"/>
      <c r="AP134" s="92"/>
      <c r="AQ134" s="92"/>
      <c r="AR134" s="92"/>
      <c r="AS134" s="92"/>
      <c r="AU134" s="92"/>
      <c r="AV134" s="92"/>
      <c r="AW134" s="92"/>
      <c r="AX134" s="92"/>
      <c r="AY134" s="92"/>
      <c r="AZ134" s="92"/>
      <c r="BA134" s="92"/>
      <c r="BB134" s="92"/>
    </row>
    <row r="135" spans="1:61" s="78" customFormat="1" ht="22.5" customHeight="1" thickBot="1">
      <c r="A135" s="564"/>
      <c r="B135" s="558"/>
      <c r="C135" s="559"/>
      <c r="D135" s="560"/>
      <c r="E135" s="560"/>
      <c r="F135" s="560"/>
      <c r="G135" s="560"/>
      <c r="H135" s="560"/>
      <c r="I135" s="560"/>
      <c r="J135" s="560"/>
      <c r="K135" s="560" t="s">
        <v>1323</v>
      </c>
      <c r="L135" s="560" t="s">
        <v>1323</v>
      </c>
      <c r="M135" s="560" t="s">
        <v>1324</v>
      </c>
      <c r="N135" s="560"/>
      <c r="O135" s="560"/>
      <c r="P135" s="502"/>
      <c r="Q135" s="499"/>
      <c r="R135" s="600"/>
      <c r="S135" s="593" t="s">
        <v>72</v>
      </c>
      <c r="T135" s="526" t="s">
        <v>196</v>
      </c>
      <c r="U135" s="527" t="e">
        <f>U134-#REF!</f>
        <v>#REF!</v>
      </c>
      <c r="V135" s="532" t="s">
        <v>15</v>
      </c>
      <c r="W135" s="529" t="e">
        <f>(#REF!+BM135)/1100000</f>
        <v>#REF!</v>
      </c>
      <c r="X135" s="85"/>
      <c r="Y135" s="69"/>
      <c r="Z135" s="597"/>
      <c r="AA135" s="597"/>
      <c r="AB135" s="80" t="s">
        <v>196</v>
      </c>
      <c r="AC135" s="81" t="e">
        <f>AC134-#REF!</f>
        <v>#REF!</v>
      </c>
      <c r="AD135" s="82" t="s">
        <v>100</v>
      </c>
      <c r="AE135" s="83"/>
      <c r="AF135" s="77"/>
      <c r="AG135" s="77"/>
      <c r="AH135" s="77"/>
      <c r="AI135" s="77"/>
      <c r="AJ135" s="77"/>
      <c r="AK135" s="77"/>
      <c r="AL135" s="77"/>
      <c r="AM135" s="77"/>
      <c r="AN135" s="77"/>
      <c r="AO135" s="77"/>
      <c r="AP135" s="77"/>
      <c r="AQ135" s="77"/>
      <c r="AR135" s="77"/>
      <c r="AS135" s="77"/>
      <c r="AT135" s="68"/>
      <c r="AU135" s="77"/>
      <c r="AV135" s="77"/>
      <c r="AW135" s="77"/>
      <c r="AX135" s="77"/>
      <c r="AY135" s="77"/>
      <c r="AZ135" s="77"/>
      <c r="BA135" s="77"/>
      <c r="BB135" s="77"/>
      <c r="BD135" s="68"/>
      <c r="BE135" s="68"/>
      <c r="BF135" s="68"/>
      <c r="BG135" s="68"/>
      <c r="BH135" s="68"/>
      <c r="BI135" s="68"/>
    </row>
    <row r="136" spans="1:61" s="78" customFormat="1" ht="22.5" customHeight="1" thickBot="1">
      <c r="A136" s="490" t="s">
        <v>1331</v>
      </c>
      <c r="B136" s="554">
        <v>0</v>
      </c>
      <c r="C136" s="555">
        <f>B136+D136+E136+F136+G136+H136+I136+J136+K136+L136+M136+N136+O136</f>
        <v>0.05</v>
      </c>
      <c r="D136" s="525"/>
      <c r="E136" s="525"/>
      <c r="F136" s="525"/>
      <c r="G136" s="525"/>
      <c r="H136" s="525"/>
      <c r="I136" s="525"/>
      <c r="J136" s="525"/>
      <c r="K136" s="525">
        <v>0.01</v>
      </c>
      <c r="L136" s="525">
        <v>0.01</v>
      </c>
      <c r="M136" s="525">
        <v>0.01</v>
      </c>
      <c r="N136" s="525">
        <v>0.02</v>
      </c>
      <c r="O136" s="525"/>
      <c r="P136" s="566" t="s">
        <v>1333</v>
      </c>
      <c r="Q136" s="494"/>
      <c r="R136" s="491" t="s">
        <v>1332</v>
      </c>
      <c r="S136" s="594"/>
      <c r="T136" s="521" t="s">
        <v>89</v>
      </c>
      <c r="U136" s="522">
        <f>BK136/1100000</f>
        <v>0</v>
      </c>
      <c r="V136" s="523" t="s">
        <v>7</v>
      </c>
      <c r="W136" s="524" t="e">
        <f>U136*0.75-(#REF!+W137)</f>
        <v>#REF!</v>
      </c>
      <c r="X136" s="90" t="s">
        <v>90</v>
      </c>
      <c r="Y136" s="79" t="s">
        <v>34</v>
      </c>
      <c r="Z136" s="596"/>
      <c r="AA136" s="596"/>
      <c r="AB136" s="80" t="s">
        <v>89</v>
      </c>
      <c r="AC136" s="81">
        <v>35788000</v>
      </c>
      <c r="AD136" s="82" t="s">
        <v>98</v>
      </c>
      <c r="AE136" s="83">
        <f>SUM(AF136:BB136)</f>
        <v>0</v>
      </c>
      <c r="AF136" s="91"/>
      <c r="AG136" s="92"/>
      <c r="AH136" s="92"/>
      <c r="AI136" s="92"/>
      <c r="AJ136" s="92"/>
      <c r="AK136" s="92"/>
      <c r="AL136" s="92"/>
      <c r="AM136" s="92"/>
      <c r="AN136" s="92"/>
      <c r="AO136" s="92"/>
      <c r="AP136" s="92"/>
      <c r="AQ136" s="92"/>
      <c r="AR136" s="92"/>
      <c r="AS136" s="92"/>
      <c r="AU136" s="92"/>
      <c r="AV136" s="92"/>
      <c r="AW136" s="92"/>
      <c r="AX136" s="92"/>
      <c r="AY136" s="92"/>
      <c r="AZ136" s="92"/>
      <c r="BA136" s="92"/>
      <c r="BB136" s="92"/>
    </row>
    <row r="137" spans="1:61" s="78" customFormat="1" ht="22.5" customHeight="1" thickBot="1">
      <c r="A137" s="495"/>
      <c r="B137" s="558"/>
      <c r="C137" s="559"/>
      <c r="D137" s="560"/>
      <c r="E137" s="560"/>
      <c r="F137" s="560"/>
      <c r="G137" s="560"/>
      <c r="H137" s="560"/>
      <c r="I137" s="560"/>
      <c r="J137" s="560"/>
      <c r="K137" s="560" t="s">
        <v>989</v>
      </c>
      <c r="L137" s="560" t="s">
        <v>1334</v>
      </c>
      <c r="M137" s="560" t="s">
        <v>1334</v>
      </c>
      <c r="N137" s="560"/>
      <c r="O137" s="560"/>
      <c r="P137" s="602"/>
      <c r="Q137" s="499"/>
      <c r="R137" s="496"/>
      <c r="S137" s="531"/>
      <c r="T137" s="526" t="s">
        <v>817</v>
      </c>
      <c r="U137" s="527" t="e">
        <f>U136-#REF!</f>
        <v>#REF!</v>
      </c>
      <c r="V137" s="532" t="s">
        <v>818</v>
      </c>
      <c r="W137" s="529" t="e">
        <f>(#REF!+BM137)/1100000</f>
        <v>#REF!</v>
      </c>
      <c r="X137" s="69"/>
      <c r="Y137" s="75"/>
      <c r="Z137" s="597"/>
      <c r="AA137" s="597"/>
      <c r="AB137" s="80" t="s">
        <v>817</v>
      </c>
      <c r="AC137" s="81" t="e">
        <f>AC136-#REF!</f>
        <v>#REF!</v>
      </c>
      <c r="AD137" s="82" t="s">
        <v>824</v>
      </c>
      <c r="AE137" s="83"/>
      <c r="AF137" s="77"/>
      <c r="AG137" s="77"/>
      <c r="AH137" s="77"/>
      <c r="AI137" s="77"/>
      <c r="AJ137" s="77"/>
      <c r="AK137" s="77"/>
      <c r="AL137" s="77"/>
      <c r="AM137" s="77"/>
      <c r="AN137" s="77"/>
      <c r="AO137" s="77"/>
      <c r="AP137" s="77"/>
      <c r="AQ137" s="77"/>
      <c r="AR137" s="77"/>
      <c r="AS137" s="77"/>
      <c r="AT137" s="68"/>
      <c r="AU137" s="77"/>
      <c r="AV137" s="77"/>
      <c r="AW137" s="77"/>
      <c r="AX137" s="77"/>
      <c r="AY137" s="77"/>
      <c r="AZ137" s="77"/>
      <c r="BA137" s="77"/>
      <c r="BB137" s="77"/>
      <c r="BD137" s="68"/>
      <c r="BE137" s="68"/>
      <c r="BF137" s="68"/>
      <c r="BG137" s="68"/>
      <c r="BH137" s="68"/>
      <c r="BI137" s="68"/>
    </row>
    <row r="138" spans="1:61" s="78" customFormat="1" ht="22.7" customHeight="1" thickBot="1">
      <c r="A138" s="563" t="s">
        <v>1394</v>
      </c>
      <c r="B138" s="681">
        <v>0.35</v>
      </c>
      <c r="C138" s="555">
        <f>B138+D138+E138+F138+G138+H138+J138+K138+I138+L138+M138+N138+O138</f>
        <v>0.85000000000000009</v>
      </c>
      <c r="D138" s="636">
        <v>0.45</v>
      </c>
      <c r="E138" s="636">
        <v>0.05</v>
      </c>
      <c r="F138" s="636">
        <v>0</v>
      </c>
      <c r="G138" s="636">
        <v>0</v>
      </c>
      <c r="H138" s="636">
        <v>0</v>
      </c>
      <c r="I138" s="636">
        <v>0</v>
      </c>
      <c r="J138" s="636">
        <v>0</v>
      </c>
      <c r="K138" s="636">
        <v>0</v>
      </c>
      <c r="L138" s="636">
        <v>0</v>
      </c>
      <c r="M138" s="636">
        <v>0</v>
      </c>
      <c r="N138" s="636">
        <v>0</v>
      </c>
      <c r="O138" s="636">
        <v>0</v>
      </c>
      <c r="P138" s="682" t="s">
        <v>1398</v>
      </c>
      <c r="Q138" s="683" t="s">
        <v>1399</v>
      </c>
      <c r="R138" s="680" t="s">
        <v>1396</v>
      </c>
      <c r="S138" s="631" t="s">
        <v>1397</v>
      </c>
      <c r="T138" s="632" t="s">
        <v>814</v>
      </c>
      <c r="U138" s="633">
        <f>BJ138/1100000</f>
        <v>0</v>
      </c>
      <c r="V138" s="634" t="s">
        <v>832</v>
      </c>
      <c r="W138" s="635" t="e">
        <f>U138*0.75-(#REF!+W139)</f>
        <v>#REF!</v>
      </c>
      <c r="X138" s="299" t="s">
        <v>812</v>
      </c>
      <c r="Y138" s="79" t="s">
        <v>813</v>
      </c>
      <c r="Z138" s="260" t="s">
        <v>1147</v>
      </c>
      <c r="AB138" s="80" t="s">
        <v>814</v>
      </c>
      <c r="AC138" s="81">
        <v>19250000</v>
      </c>
      <c r="AD138" s="82" t="s">
        <v>35</v>
      </c>
      <c r="AE138" s="83">
        <f>SUM(AF138:BA138)</f>
        <v>0</v>
      </c>
      <c r="AF138" s="91" t="s">
        <v>1104</v>
      </c>
      <c r="AG138" s="92"/>
      <c r="AH138" s="92" t="s">
        <v>1105</v>
      </c>
      <c r="AI138" s="92"/>
      <c r="AJ138" s="92" t="s">
        <v>207</v>
      </c>
      <c r="AK138" s="92"/>
      <c r="AL138" s="92" t="s">
        <v>207</v>
      </c>
      <c r="AM138" s="92"/>
      <c r="AN138" s="92" t="s">
        <v>207</v>
      </c>
      <c r="AO138" s="92"/>
      <c r="AP138" s="92"/>
      <c r="AQ138" s="92"/>
      <c r="AR138" s="92"/>
      <c r="AS138" s="92"/>
      <c r="AT138" s="78" t="s">
        <v>1671</v>
      </c>
      <c r="AU138" s="92"/>
      <c r="AV138" s="92"/>
      <c r="AW138" s="92"/>
      <c r="AX138" s="92"/>
      <c r="AY138" s="92"/>
      <c r="AZ138" s="92"/>
      <c r="BA138" s="92"/>
    </row>
    <row r="139" spans="1:61" s="78" customFormat="1" ht="22.7" customHeight="1" thickBot="1">
      <c r="A139" s="564"/>
      <c r="B139" s="685"/>
      <c r="C139" s="559"/>
      <c r="D139" s="687" t="s">
        <v>1400</v>
      </c>
      <c r="E139" s="687" t="s">
        <v>1401</v>
      </c>
      <c r="F139" s="687" t="s">
        <v>806</v>
      </c>
      <c r="G139" s="687" t="s">
        <v>806</v>
      </c>
      <c r="H139" s="687" t="s">
        <v>806</v>
      </c>
      <c r="I139" s="687" t="s">
        <v>806</v>
      </c>
      <c r="J139" s="687" t="s">
        <v>806</v>
      </c>
      <c r="K139" s="687" t="s">
        <v>806</v>
      </c>
      <c r="L139" s="687" t="s">
        <v>806</v>
      </c>
      <c r="M139" s="687" t="s">
        <v>806</v>
      </c>
      <c r="N139" s="687" t="s">
        <v>806</v>
      </c>
      <c r="O139" s="687"/>
      <c r="P139" s="686"/>
      <c r="Q139" s="640"/>
      <c r="R139" s="684"/>
      <c r="S139" s="640" t="s">
        <v>67</v>
      </c>
      <c r="T139" s="637" t="s">
        <v>196</v>
      </c>
      <c r="U139" s="638" t="e">
        <f>U138-#REF!</f>
        <v>#REF!</v>
      </c>
      <c r="V139" s="641" t="s">
        <v>15</v>
      </c>
      <c r="W139" s="639" t="e">
        <f>(#REF!+BL139)/1100000</f>
        <v>#REF!</v>
      </c>
      <c r="X139" s="85"/>
      <c r="Y139" s="69"/>
      <c r="Z139" s="261"/>
      <c r="AB139" s="80" t="s">
        <v>196</v>
      </c>
      <c r="AC139" s="81" t="e">
        <f>AC138-#REF!</f>
        <v>#REF!</v>
      </c>
      <c r="AD139" s="82" t="s">
        <v>100</v>
      </c>
      <c r="AE139" s="83"/>
      <c r="AF139" s="77"/>
      <c r="AG139" s="77"/>
      <c r="AH139" s="77"/>
      <c r="AI139" s="77"/>
      <c r="AJ139" s="77"/>
      <c r="AK139" s="77"/>
      <c r="AL139" s="77"/>
      <c r="AM139" s="77"/>
      <c r="AN139" s="77"/>
      <c r="AO139" s="77"/>
      <c r="AP139" s="77"/>
      <c r="AQ139" s="77"/>
      <c r="AR139" s="77"/>
      <c r="AS139" s="77"/>
      <c r="AT139" s="68"/>
      <c r="AU139" s="77"/>
      <c r="AV139" s="77"/>
      <c r="AW139" s="77"/>
      <c r="AX139" s="77"/>
      <c r="AY139" s="77"/>
      <c r="AZ139" s="77"/>
      <c r="BA139" s="77"/>
      <c r="BB139" s="68"/>
      <c r="BD139" s="68"/>
      <c r="BE139" s="68"/>
      <c r="BF139" s="68"/>
      <c r="BG139" s="68"/>
      <c r="BH139" s="68"/>
    </row>
    <row r="140" spans="1:61" s="78" customFormat="1" ht="22.7" customHeight="1" thickBot="1">
      <c r="A140" s="563" t="s">
        <v>1402</v>
      </c>
      <c r="B140" s="681">
        <v>0</v>
      </c>
      <c r="C140" s="555">
        <f>B140+D140+E140+F140+G140+H140+J140+K140+I140+L140+M140+N140+O140</f>
        <v>1</v>
      </c>
      <c r="D140" s="636">
        <v>0.8</v>
      </c>
      <c r="E140" s="636">
        <v>0.2</v>
      </c>
      <c r="F140" s="636">
        <v>0</v>
      </c>
      <c r="G140" s="636">
        <v>0</v>
      </c>
      <c r="H140" s="636">
        <v>0</v>
      </c>
      <c r="I140" s="636">
        <v>0</v>
      </c>
      <c r="J140" s="636">
        <v>0</v>
      </c>
      <c r="K140" s="636">
        <v>0</v>
      </c>
      <c r="L140" s="636">
        <v>0</v>
      </c>
      <c r="M140" s="636">
        <v>0</v>
      </c>
      <c r="N140" s="636">
        <v>0</v>
      </c>
      <c r="O140" s="636">
        <v>0</v>
      </c>
      <c r="P140" s="689" t="s">
        <v>1404</v>
      </c>
      <c r="Q140" s="683" t="s">
        <v>1405</v>
      </c>
      <c r="R140" s="680" t="s">
        <v>1395</v>
      </c>
      <c r="S140" s="631" t="s">
        <v>1403</v>
      </c>
      <c r="T140" s="632" t="s">
        <v>89</v>
      </c>
      <c r="U140" s="633">
        <f>BJ140/1100000</f>
        <v>0</v>
      </c>
      <c r="V140" s="634" t="s">
        <v>7</v>
      </c>
      <c r="W140" s="635" t="e">
        <f>U140*0.75-(#REF!+W141)</f>
        <v>#REF!</v>
      </c>
      <c r="X140" s="299" t="s">
        <v>90</v>
      </c>
      <c r="Y140" s="79" t="s">
        <v>34</v>
      </c>
      <c r="Z140" s="260" t="s">
        <v>65</v>
      </c>
      <c r="AB140" s="80" t="s">
        <v>89</v>
      </c>
      <c r="AC140" s="81">
        <v>8250000</v>
      </c>
      <c r="AD140" s="82" t="s">
        <v>98</v>
      </c>
      <c r="AE140" s="83">
        <f>SUM(AF140:BA140)</f>
        <v>0</v>
      </c>
      <c r="AF140" s="91" t="s">
        <v>1104</v>
      </c>
      <c r="AG140" s="92"/>
      <c r="AH140" s="92" t="s">
        <v>1105</v>
      </c>
      <c r="AI140" s="92"/>
      <c r="AJ140" s="92" t="s">
        <v>207</v>
      </c>
      <c r="AK140" s="92"/>
      <c r="AL140" s="92" t="s">
        <v>207</v>
      </c>
      <c r="AM140" s="92"/>
      <c r="AN140" s="92" t="s">
        <v>207</v>
      </c>
      <c r="AO140" s="92"/>
      <c r="AP140" s="92"/>
      <c r="AQ140" s="92"/>
      <c r="AR140" s="92"/>
      <c r="AS140" s="92"/>
      <c r="AU140" s="92"/>
      <c r="AV140" s="92"/>
      <c r="AW140" s="92"/>
      <c r="AX140" s="92"/>
      <c r="AY140" s="92"/>
      <c r="AZ140" s="92"/>
      <c r="BA140" s="92"/>
    </row>
    <row r="141" spans="1:61" s="78" customFormat="1" ht="22.7" customHeight="1" thickBot="1">
      <c r="A141" s="564"/>
      <c r="B141" s="685"/>
      <c r="C141" s="559"/>
      <c r="D141" s="687" t="s">
        <v>1406</v>
      </c>
      <c r="E141" s="687" t="s">
        <v>1407</v>
      </c>
      <c r="F141" s="687" t="s">
        <v>996</v>
      </c>
      <c r="G141" s="687" t="s">
        <v>996</v>
      </c>
      <c r="H141" s="687" t="s">
        <v>996</v>
      </c>
      <c r="I141" s="687" t="s">
        <v>996</v>
      </c>
      <c r="J141" s="687" t="s">
        <v>996</v>
      </c>
      <c r="K141" s="687" t="s">
        <v>996</v>
      </c>
      <c r="L141" s="687" t="s">
        <v>996</v>
      </c>
      <c r="M141" s="687" t="s">
        <v>996</v>
      </c>
      <c r="N141" s="687" t="s">
        <v>996</v>
      </c>
      <c r="O141" s="687" t="s">
        <v>996</v>
      </c>
      <c r="P141" s="690"/>
      <c r="Q141" s="640"/>
      <c r="R141" s="684"/>
      <c r="S141" s="640" t="s">
        <v>816</v>
      </c>
      <c r="T141" s="637" t="s">
        <v>817</v>
      </c>
      <c r="U141" s="638" t="e">
        <f>U140-#REF!</f>
        <v>#REF!</v>
      </c>
      <c r="V141" s="641" t="s">
        <v>818</v>
      </c>
      <c r="W141" s="639" t="e">
        <f>(#REF!+BL141)/1100000</f>
        <v>#REF!</v>
      </c>
      <c r="X141" s="85"/>
      <c r="Y141" s="69"/>
      <c r="Z141" s="261"/>
      <c r="AB141" s="80" t="s">
        <v>817</v>
      </c>
      <c r="AC141" s="81" t="e">
        <f>AC140-#REF!</f>
        <v>#REF!</v>
      </c>
      <c r="AD141" s="82" t="s">
        <v>824</v>
      </c>
      <c r="AE141" s="83"/>
      <c r="AF141" s="77"/>
      <c r="AG141" s="77"/>
      <c r="AH141" s="77"/>
      <c r="AI141" s="77"/>
      <c r="AJ141" s="77"/>
      <c r="AK141" s="77"/>
      <c r="AL141" s="77"/>
      <c r="AM141" s="77"/>
      <c r="AN141" s="77"/>
      <c r="AO141" s="77"/>
      <c r="AP141" s="77"/>
      <c r="AQ141" s="77"/>
      <c r="AR141" s="77"/>
      <c r="AS141" s="77"/>
      <c r="AT141" s="68"/>
      <c r="AU141" s="77"/>
      <c r="AV141" s="77"/>
      <c r="AW141" s="77"/>
      <c r="AX141" s="77"/>
      <c r="AY141" s="77"/>
      <c r="AZ141" s="77"/>
      <c r="BA141" s="77"/>
      <c r="BB141" s="68"/>
      <c r="BD141" s="68"/>
      <c r="BE141" s="68"/>
      <c r="BF141" s="68"/>
      <c r="BG141" s="68"/>
      <c r="BH141" s="68"/>
    </row>
    <row r="142" spans="1:61" s="78" customFormat="1" ht="22.7" customHeight="1" thickBot="1">
      <c r="A142" s="563" t="s">
        <v>1416</v>
      </c>
      <c r="B142" s="681">
        <v>0.81</v>
      </c>
      <c r="C142" s="555">
        <f>B142+D142+E142+F142+G142+H142+J142+K142+I142+L142+M142+N142+O142</f>
        <v>1.0010000000000001</v>
      </c>
      <c r="D142" s="636">
        <v>2.5999999999999999E-2</v>
      </c>
      <c r="E142" s="636">
        <v>2.5999999999999999E-2</v>
      </c>
      <c r="F142" s="636">
        <v>2.7E-2</v>
      </c>
      <c r="G142" s="636">
        <v>2.5999999999999999E-2</v>
      </c>
      <c r="H142" s="636">
        <v>2.5999999999999999E-2</v>
      </c>
      <c r="I142" s="636">
        <v>0.03</v>
      </c>
      <c r="J142" s="636">
        <v>0.02</v>
      </c>
      <c r="K142" s="636">
        <v>0.01</v>
      </c>
      <c r="L142" s="636">
        <v>0</v>
      </c>
      <c r="M142" s="636">
        <v>0</v>
      </c>
      <c r="N142" s="636">
        <v>0</v>
      </c>
      <c r="O142" s="636">
        <v>0</v>
      </c>
      <c r="P142" s="689" t="s">
        <v>1419</v>
      </c>
      <c r="Q142" s="683" t="s">
        <v>1420</v>
      </c>
      <c r="R142" s="680" t="s">
        <v>1417</v>
      </c>
      <c r="S142" s="631" t="s">
        <v>1418</v>
      </c>
      <c r="T142" s="632" t="s">
        <v>814</v>
      </c>
      <c r="U142" s="633">
        <f>BJ142/1100000</f>
        <v>0</v>
      </c>
      <c r="V142" s="634" t="s">
        <v>832</v>
      </c>
      <c r="W142" s="635" t="e">
        <f>U142*0.75-(#REF!+W143)</f>
        <v>#REF!</v>
      </c>
      <c r="X142" s="299" t="s">
        <v>812</v>
      </c>
      <c r="Y142" s="79" t="s">
        <v>813</v>
      </c>
      <c r="Z142" s="260" t="s">
        <v>1421</v>
      </c>
      <c r="AB142" s="80" t="s">
        <v>814</v>
      </c>
      <c r="AC142" s="81">
        <v>174091500</v>
      </c>
      <c r="AD142" s="82" t="s">
        <v>35</v>
      </c>
      <c r="AE142" s="83">
        <f>SUM(AF142:BA142)</f>
        <v>0</v>
      </c>
      <c r="AF142" s="91" t="s">
        <v>1078</v>
      </c>
      <c r="AG142" s="92"/>
      <c r="AH142" s="92" t="s">
        <v>1079</v>
      </c>
      <c r="AI142" s="92"/>
      <c r="AJ142" s="92" t="s">
        <v>1080</v>
      </c>
      <c r="AK142" s="92"/>
      <c r="AL142" s="92" t="s">
        <v>1080</v>
      </c>
      <c r="AM142" s="92"/>
      <c r="AN142" s="92" t="s">
        <v>1080</v>
      </c>
      <c r="AO142" s="92"/>
      <c r="AP142" s="92"/>
      <c r="AQ142" s="92"/>
      <c r="AR142" s="92"/>
      <c r="AS142" s="92"/>
      <c r="AU142" s="92"/>
      <c r="AV142" s="92"/>
      <c r="AW142" s="92"/>
      <c r="AX142" s="92"/>
      <c r="AY142" s="92"/>
      <c r="AZ142" s="92"/>
      <c r="BA142" s="92"/>
    </row>
    <row r="143" spans="1:61" s="78" customFormat="1" ht="22.7" customHeight="1" thickBot="1">
      <c r="A143" s="564"/>
      <c r="B143" s="685"/>
      <c r="C143" s="559"/>
      <c r="D143" s="693" t="s">
        <v>1425</v>
      </c>
      <c r="E143" s="687" t="s">
        <v>1426</v>
      </c>
      <c r="F143" s="687" t="s">
        <v>1427</v>
      </c>
      <c r="G143" s="687" t="s">
        <v>1428</v>
      </c>
      <c r="H143" s="687" t="s">
        <v>1429</v>
      </c>
      <c r="I143" s="693" t="s">
        <v>1430</v>
      </c>
      <c r="J143" s="693" t="s">
        <v>1431</v>
      </c>
      <c r="K143" s="687" t="s">
        <v>1432</v>
      </c>
      <c r="L143" s="687" t="s">
        <v>1433</v>
      </c>
      <c r="M143" s="687" t="s">
        <v>1433</v>
      </c>
      <c r="N143" s="687" t="s">
        <v>1433</v>
      </c>
      <c r="O143" s="687" t="s">
        <v>1433</v>
      </c>
      <c r="P143" s="690"/>
      <c r="Q143" s="640"/>
      <c r="R143" s="684"/>
      <c r="S143" s="640" t="s">
        <v>1422</v>
      </c>
      <c r="T143" s="637" t="s">
        <v>1423</v>
      </c>
      <c r="U143" s="638" t="e">
        <f>U142-#REF!</f>
        <v>#REF!</v>
      </c>
      <c r="V143" s="641" t="s">
        <v>1424</v>
      </c>
      <c r="W143" s="639" t="e">
        <f>(#REF!+BL143)/1100000</f>
        <v>#REF!</v>
      </c>
      <c r="X143" s="85"/>
      <c r="Y143" s="69"/>
      <c r="Z143" s="261"/>
      <c r="AB143" s="80" t="s">
        <v>1423</v>
      </c>
      <c r="AC143" s="81" t="e">
        <f>AC142-#REF!</f>
        <v>#REF!</v>
      </c>
      <c r="AD143" s="82" t="s">
        <v>1434</v>
      </c>
      <c r="AE143" s="83"/>
      <c r="AF143" s="77" t="s">
        <v>1435</v>
      </c>
      <c r="AG143" s="77"/>
      <c r="AH143" s="77"/>
      <c r="AI143" s="77"/>
      <c r="AJ143" s="77"/>
      <c r="AK143" s="77"/>
      <c r="AL143" s="77"/>
      <c r="AM143" s="77"/>
      <c r="AN143" s="77"/>
      <c r="AO143" s="77"/>
      <c r="AP143" s="77"/>
      <c r="AQ143" s="77"/>
      <c r="AR143" s="77"/>
      <c r="AS143" s="77"/>
      <c r="AT143" s="68"/>
      <c r="AU143" s="77"/>
      <c r="AV143" s="77"/>
      <c r="AW143" s="77"/>
      <c r="AX143" s="77"/>
      <c r="AY143" s="77"/>
      <c r="AZ143" s="77"/>
      <c r="BA143" s="77"/>
      <c r="BB143" s="68"/>
      <c r="BD143" s="68"/>
      <c r="BE143" s="68"/>
      <c r="BF143" s="68"/>
      <c r="BG143" s="68"/>
      <c r="BH143" s="68"/>
    </row>
    <row r="144" spans="1:61" s="78" customFormat="1" ht="22.9" customHeight="1" thickBot="1">
      <c r="A144" s="563" t="s">
        <v>1436</v>
      </c>
      <c r="B144" s="694">
        <v>0.25</v>
      </c>
      <c r="C144" s="555">
        <f>B144+D144+E144+F144+G144+H144+J144+K144+I144+L144+M144+N144+O144</f>
        <v>0.26</v>
      </c>
      <c r="D144" s="636">
        <v>0.01</v>
      </c>
      <c r="E144" s="636">
        <v>0</v>
      </c>
      <c r="F144" s="636">
        <v>0</v>
      </c>
      <c r="G144" s="636">
        <v>0</v>
      </c>
      <c r="H144" s="636">
        <v>0</v>
      </c>
      <c r="I144" s="636">
        <v>0</v>
      </c>
      <c r="J144" s="636">
        <v>0</v>
      </c>
      <c r="K144" s="636">
        <v>0</v>
      </c>
      <c r="L144" s="636">
        <v>0</v>
      </c>
      <c r="M144" s="636">
        <v>0</v>
      </c>
      <c r="N144" s="636">
        <v>0</v>
      </c>
      <c r="O144" s="636">
        <v>0</v>
      </c>
      <c r="P144" s="695" t="s">
        <v>1441</v>
      </c>
      <c r="Q144" s="683" t="s">
        <v>1442</v>
      </c>
      <c r="R144" s="232" t="s">
        <v>1437</v>
      </c>
      <c r="S144" s="643" t="s">
        <v>1438</v>
      </c>
      <c r="T144" s="632" t="s">
        <v>1439</v>
      </c>
      <c r="U144" s="633">
        <f>BJ144/1100000</f>
        <v>0</v>
      </c>
      <c r="V144" s="634" t="s">
        <v>1440</v>
      </c>
      <c r="W144" s="635" t="e">
        <f>U144*0.75-(#REF!+W145)</f>
        <v>#REF!</v>
      </c>
      <c r="X144" s="299" t="s">
        <v>1443</v>
      </c>
      <c r="Y144" s="79" t="s">
        <v>1444</v>
      </c>
      <c r="Z144" s="260" t="s">
        <v>1445</v>
      </c>
      <c r="AB144" s="80" t="s">
        <v>1439</v>
      </c>
      <c r="AC144" s="81">
        <v>99000000</v>
      </c>
      <c r="AD144" s="82" t="s">
        <v>1446</v>
      </c>
      <c r="AE144" s="83">
        <f>SUM(AF144:BA144)</f>
        <v>0</v>
      </c>
      <c r="AF144" s="91" t="s">
        <v>1447</v>
      </c>
      <c r="AG144" s="92"/>
      <c r="AH144" s="92" t="s">
        <v>1448</v>
      </c>
      <c r="AI144" s="92"/>
      <c r="AJ144" s="92" t="s">
        <v>1449</v>
      </c>
      <c r="AK144" s="92"/>
      <c r="AL144" s="92" t="s">
        <v>1449</v>
      </c>
      <c r="AM144" s="92"/>
      <c r="AN144" s="92" t="s">
        <v>1449</v>
      </c>
      <c r="AO144" s="92"/>
      <c r="AP144" s="92"/>
      <c r="AQ144" s="92"/>
      <c r="AR144" s="92"/>
      <c r="AS144" s="92"/>
      <c r="AU144" s="92"/>
      <c r="AV144" s="92"/>
      <c r="AW144" s="92"/>
      <c r="AX144" s="92"/>
      <c r="AY144" s="92"/>
      <c r="AZ144" s="92"/>
      <c r="BA144" s="92"/>
    </row>
    <row r="145" spans="1:60" s="78" customFormat="1" ht="22.9" customHeight="1" thickBot="1">
      <c r="A145" s="564"/>
      <c r="B145" s="696"/>
      <c r="C145" s="559"/>
      <c r="D145" s="687" t="s">
        <v>1450</v>
      </c>
      <c r="E145" s="687" t="s">
        <v>1451</v>
      </c>
      <c r="F145" s="687" t="s">
        <v>1451</v>
      </c>
      <c r="G145" s="687" t="s">
        <v>1451</v>
      </c>
      <c r="H145" s="687" t="s">
        <v>1451</v>
      </c>
      <c r="I145" s="687" t="s">
        <v>1451</v>
      </c>
      <c r="J145" s="687" t="s">
        <v>1451</v>
      </c>
      <c r="K145" s="687" t="s">
        <v>1451</v>
      </c>
      <c r="L145" s="687" t="s">
        <v>1451</v>
      </c>
      <c r="M145" s="687" t="s">
        <v>1451</v>
      </c>
      <c r="N145" s="687" t="s">
        <v>1451</v>
      </c>
      <c r="O145" s="687"/>
      <c r="P145" s="697"/>
      <c r="Q145" s="640"/>
      <c r="R145" s="233"/>
      <c r="S145" s="229" t="s">
        <v>1422</v>
      </c>
      <c r="T145" s="637" t="s">
        <v>1423</v>
      </c>
      <c r="U145" s="638" t="e">
        <f>U144-#REF!</f>
        <v>#REF!</v>
      </c>
      <c r="V145" s="641" t="s">
        <v>1424</v>
      </c>
      <c r="W145" s="639" t="e">
        <f>(#REF!+BL145)/1100000</f>
        <v>#REF!</v>
      </c>
      <c r="X145" s="85"/>
      <c r="Y145" s="69"/>
      <c r="Z145" s="261"/>
      <c r="AB145" s="80" t="s">
        <v>1423</v>
      </c>
      <c r="AC145" s="81" t="e">
        <f>AC144-#REF!</f>
        <v>#REF!</v>
      </c>
      <c r="AD145" s="82" t="s">
        <v>1434</v>
      </c>
      <c r="AE145" s="83"/>
      <c r="AF145" s="77"/>
      <c r="AG145" s="77"/>
      <c r="AH145" s="77"/>
      <c r="AI145" s="77"/>
      <c r="AJ145" s="77"/>
      <c r="AK145" s="77"/>
      <c r="AL145" s="77"/>
      <c r="AM145" s="77"/>
      <c r="AN145" s="77"/>
      <c r="AO145" s="77"/>
      <c r="AP145" s="77"/>
      <c r="AQ145" s="77"/>
      <c r="AR145" s="77"/>
      <c r="AS145" s="77"/>
      <c r="AT145" s="68"/>
      <c r="AU145" s="77"/>
      <c r="AV145" s="77"/>
      <c r="AW145" s="77"/>
      <c r="AX145" s="77"/>
      <c r="AY145" s="77"/>
      <c r="AZ145" s="77"/>
      <c r="BA145" s="77"/>
      <c r="BB145" s="68"/>
      <c r="BD145" s="68"/>
      <c r="BE145" s="68"/>
      <c r="BF145" s="68"/>
      <c r="BG145" s="68"/>
      <c r="BH145" s="68"/>
    </row>
    <row r="146" spans="1:60" s="78" customFormat="1" ht="24" customHeight="1" thickBot="1">
      <c r="A146" s="257" t="s">
        <v>1452</v>
      </c>
      <c r="B146" s="698">
        <v>0.85</v>
      </c>
      <c r="C146" s="555">
        <f>B146+D146+E146+F146+G146+H146+J146+K146+I146+L146+M146+N146+O146</f>
        <v>1</v>
      </c>
      <c r="D146" s="636">
        <v>0.05</v>
      </c>
      <c r="E146" s="636">
        <v>0.1</v>
      </c>
      <c r="F146" s="636">
        <v>0</v>
      </c>
      <c r="G146" s="636">
        <v>0</v>
      </c>
      <c r="H146" s="636">
        <v>0</v>
      </c>
      <c r="I146" s="636">
        <v>0</v>
      </c>
      <c r="J146" s="636">
        <v>0</v>
      </c>
      <c r="K146" s="636">
        <v>0</v>
      </c>
      <c r="L146" s="636">
        <v>0</v>
      </c>
      <c r="M146" s="636">
        <v>0</v>
      </c>
      <c r="N146" s="636">
        <v>0</v>
      </c>
      <c r="O146" s="636">
        <v>0</v>
      </c>
      <c r="P146" s="689" t="s">
        <v>1455</v>
      </c>
      <c r="Q146" s="239" t="s">
        <v>1456</v>
      </c>
      <c r="R146" s="254" t="s">
        <v>1453</v>
      </c>
      <c r="S146" s="645" t="s">
        <v>1454</v>
      </c>
      <c r="T146" s="646" t="s">
        <v>1439</v>
      </c>
      <c r="U146" s="633">
        <f>BJ146/1100000</f>
        <v>0</v>
      </c>
      <c r="V146" s="634" t="s">
        <v>1440</v>
      </c>
      <c r="W146" s="635" t="e">
        <f>U146*0.75-(#REF!+W147)</f>
        <v>#REF!</v>
      </c>
      <c r="X146" s="299" t="s">
        <v>1443</v>
      </c>
      <c r="Y146" s="79" t="s">
        <v>1444</v>
      </c>
      <c r="Z146" s="260" t="s">
        <v>1458</v>
      </c>
      <c r="AB146" s="80" t="s">
        <v>1439</v>
      </c>
      <c r="AC146" s="81">
        <v>72110000</v>
      </c>
      <c r="AD146" s="82" t="s">
        <v>1446</v>
      </c>
      <c r="AE146" s="83">
        <f>SUM(AF146:BA146)</f>
        <v>0</v>
      </c>
      <c r="AF146" s="91" t="s">
        <v>1447</v>
      </c>
      <c r="AG146" s="92"/>
      <c r="AH146" s="92" t="s">
        <v>1448</v>
      </c>
      <c r="AI146" s="92"/>
      <c r="AJ146" s="92" t="s">
        <v>1449</v>
      </c>
      <c r="AK146" s="92"/>
      <c r="AL146" s="92" t="s">
        <v>1449</v>
      </c>
      <c r="AM146" s="92"/>
      <c r="AN146" s="92" t="s">
        <v>1449</v>
      </c>
      <c r="AO146" s="92"/>
      <c r="AP146" s="92"/>
      <c r="AQ146" s="92"/>
      <c r="AR146" s="92"/>
      <c r="AS146" s="92"/>
      <c r="AU146" s="92"/>
      <c r="AV146" s="92"/>
      <c r="AW146" s="92"/>
      <c r="AX146" s="92"/>
      <c r="AY146" s="92"/>
      <c r="AZ146" s="92"/>
      <c r="BA146" s="92"/>
    </row>
    <row r="147" spans="1:60" s="78" customFormat="1" ht="24" customHeight="1" thickBot="1">
      <c r="A147" s="258"/>
      <c r="B147" s="699"/>
      <c r="C147" s="559"/>
      <c r="D147" s="256" t="s">
        <v>1459</v>
      </c>
      <c r="E147" s="256" t="s">
        <v>1460</v>
      </c>
      <c r="F147" s="256" t="s">
        <v>1433</v>
      </c>
      <c r="G147" s="256" t="s">
        <v>1433</v>
      </c>
      <c r="H147" s="256" t="s">
        <v>1433</v>
      </c>
      <c r="I147" s="256" t="s">
        <v>1433</v>
      </c>
      <c r="J147" s="256" t="s">
        <v>1433</v>
      </c>
      <c r="K147" s="256" t="s">
        <v>1433</v>
      </c>
      <c r="L147" s="256" t="s">
        <v>1433</v>
      </c>
      <c r="M147" s="256" t="s">
        <v>1433</v>
      </c>
      <c r="N147" s="256" t="s">
        <v>1433</v>
      </c>
      <c r="O147" s="256" t="s">
        <v>1433</v>
      </c>
      <c r="P147" s="690"/>
      <c r="Q147" s="240"/>
      <c r="R147" s="255"/>
      <c r="S147" s="240" t="s">
        <v>1422</v>
      </c>
      <c r="T147" s="647" t="s">
        <v>1423</v>
      </c>
      <c r="U147" s="638" t="e">
        <f>U146-#REF!</f>
        <v>#REF!</v>
      </c>
      <c r="V147" s="641" t="s">
        <v>1424</v>
      </c>
      <c r="W147" s="639" t="e">
        <f>(#REF!+BL147)/1100000</f>
        <v>#REF!</v>
      </c>
      <c r="X147" s="85"/>
      <c r="Y147" s="69"/>
      <c r="Z147" s="261"/>
      <c r="AB147" s="80" t="s">
        <v>1423</v>
      </c>
      <c r="AC147" s="81" t="e">
        <f>AC146-#REF!</f>
        <v>#REF!</v>
      </c>
      <c r="AD147" s="82" t="s">
        <v>1434</v>
      </c>
      <c r="AE147" s="83"/>
      <c r="AF147" s="77"/>
      <c r="AG147" s="77"/>
      <c r="AH147" s="77"/>
      <c r="AI147" s="77"/>
      <c r="AJ147" s="77"/>
      <c r="AK147" s="77"/>
      <c r="AL147" s="77"/>
      <c r="AM147" s="77"/>
      <c r="AN147" s="77"/>
      <c r="AO147" s="77"/>
      <c r="AP147" s="77"/>
      <c r="AQ147" s="77"/>
      <c r="AR147" s="77"/>
      <c r="AS147" s="77"/>
      <c r="AT147" s="68"/>
      <c r="AU147" s="77"/>
      <c r="AV147" s="77"/>
      <c r="AW147" s="77"/>
      <c r="AX147" s="77"/>
      <c r="AY147" s="77"/>
      <c r="AZ147" s="77"/>
      <c r="BA147" s="77"/>
      <c r="BB147" s="68"/>
      <c r="BD147" s="68"/>
      <c r="BE147" s="68"/>
      <c r="BF147" s="68"/>
      <c r="BG147" s="68"/>
      <c r="BH147" s="68"/>
    </row>
    <row r="148" spans="1:60" s="78" customFormat="1" ht="24" customHeight="1" thickBot="1">
      <c r="A148" s="257" t="s">
        <v>1461</v>
      </c>
      <c r="B148" s="698">
        <v>0.9</v>
      </c>
      <c r="C148" s="555">
        <f>B148+D148+E148+F148+G148+H148+J148+K148+I148+L148+M148+N148+O148</f>
        <v>1</v>
      </c>
      <c r="D148" s="636">
        <v>0.05</v>
      </c>
      <c r="E148" s="636">
        <v>0.05</v>
      </c>
      <c r="F148" s="636">
        <v>0</v>
      </c>
      <c r="G148" s="636">
        <v>0</v>
      </c>
      <c r="H148" s="636">
        <v>0</v>
      </c>
      <c r="I148" s="636">
        <v>0</v>
      </c>
      <c r="J148" s="636">
        <v>0</v>
      </c>
      <c r="K148" s="636">
        <v>0</v>
      </c>
      <c r="L148" s="636">
        <v>0</v>
      </c>
      <c r="M148" s="636">
        <v>0</v>
      </c>
      <c r="N148" s="636">
        <v>0</v>
      </c>
      <c r="O148" s="636">
        <v>0</v>
      </c>
      <c r="P148" s="689" t="s">
        <v>1464</v>
      </c>
      <c r="Q148" s="239" t="s">
        <v>1465</v>
      </c>
      <c r="R148" s="254" t="s">
        <v>1462</v>
      </c>
      <c r="S148" s="645" t="s">
        <v>1463</v>
      </c>
      <c r="T148" s="646" t="s">
        <v>1439</v>
      </c>
      <c r="U148" s="633">
        <f>BJ148/1100000</f>
        <v>0</v>
      </c>
      <c r="V148" s="634" t="s">
        <v>1440</v>
      </c>
      <c r="W148" s="635" t="e">
        <f>U148*0.75-(#REF!+W149)</f>
        <v>#REF!</v>
      </c>
      <c r="X148" s="299" t="s">
        <v>1443</v>
      </c>
      <c r="Y148" s="79" t="s">
        <v>1444</v>
      </c>
      <c r="Z148" s="260" t="s">
        <v>1458</v>
      </c>
      <c r="AB148" s="80" t="s">
        <v>1439</v>
      </c>
      <c r="AC148" s="81">
        <v>19277100</v>
      </c>
      <c r="AD148" s="82" t="s">
        <v>1446</v>
      </c>
      <c r="AE148" s="83">
        <f>SUM(AF148:BA148)</f>
        <v>0</v>
      </c>
      <c r="AF148" s="91" t="s">
        <v>1447</v>
      </c>
      <c r="AG148" s="92"/>
      <c r="AH148" s="92" t="s">
        <v>1448</v>
      </c>
      <c r="AI148" s="92"/>
      <c r="AJ148" s="92" t="s">
        <v>1449</v>
      </c>
      <c r="AK148" s="92"/>
      <c r="AL148" s="92" t="s">
        <v>1449</v>
      </c>
      <c r="AM148" s="92"/>
      <c r="AN148" s="92" t="s">
        <v>1449</v>
      </c>
      <c r="AO148" s="92"/>
      <c r="AP148" s="92"/>
      <c r="AQ148" s="92"/>
      <c r="AR148" s="92"/>
      <c r="AS148" s="92"/>
      <c r="AU148" s="92"/>
      <c r="AV148" s="92"/>
      <c r="AW148" s="92"/>
      <c r="AX148" s="92"/>
      <c r="AY148" s="92"/>
      <c r="AZ148" s="92"/>
      <c r="BA148" s="92"/>
    </row>
    <row r="149" spans="1:60" s="78" customFormat="1" ht="24" customHeight="1" thickBot="1">
      <c r="A149" s="258"/>
      <c r="B149" s="699"/>
      <c r="C149" s="559"/>
      <c r="D149" s="256" t="s">
        <v>1466</v>
      </c>
      <c r="E149" s="256" t="s">
        <v>1467</v>
      </c>
      <c r="F149" s="256" t="s">
        <v>1433</v>
      </c>
      <c r="G149" s="256" t="s">
        <v>1433</v>
      </c>
      <c r="H149" s="256" t="s">
        <v>1433</v>
      </c>
      <c r="I149" s="256" t="s">
        <v>1433</v>
      </c>
      <c r="J149" s="256" t="s">
        <v>1433</v>
      </c>
      <c r="K149" s="256" t="s">
        <v>1433</v>
      </c>
      <c r="L149" s="256" t="s">
        <v>1433</v>
      </c>
      <c r="M149" s="256" t="s">
        <v>1433</v>
      </c>
      <c r="N149" s="256" t="s">
        <v>1433</v>
      </c>
      <c r="O149" s="256" t="s">
        <v>1433</v>
      </c>
      <c r="P149" s="690"/>
      <c r="Q149" s="240"/>
      <c r="R149" s="255"/>
      <c r="S149" s="215" t="s">
        <v>1422</v>
      </c>
      <c r="T149" s="647" t="s">
        <v>1423</v>
      </c>
      <c r="U149" s="638" t="e">
        <f>U148-#REF!</f>
        <v>#REF!</v>
      </c>
      <c r="V149" s="641" t="s">
        <v>1424</v>
      </c>
      <c r="W149" s="639" t="e">
        <f>(#REF!+BL149)/1100000</f>
        <v>#REF!</v>
      </c>
      <c r="X149" s="85"/>
      <c r="Y149" s="69"/>
      <c r="Z149" s="261"/>
      <c r="AB149" s="80" t="s">
        <v>1423</v>
      </c>
      <c r="AC149" s="81" t="e">
        <f>AC148-#REF!</f>
        <v>#REF!</v>
      </c>
      <c r="AD149" s="82" t="s">
        <v>1434</v>
      </c>
      <c r="AE149" s="83"/>
      <c r="AF149" s="77"/>
      <c r="AG149" s="77"/>
      <c r="AH149" s="77"/>
      <c r="AI149" s="77"/>
      <c r="AJ149" s="77"/>
      <c r="AK149" s="77"/>
      <c r="AL149" s="77"/>
      <c r="AM149" s="77"/>
      <c r="AN149" s="77"/>
      <c r="AO149" s="77"/>
      <c r="AP149" s="77"/>
      <c r="AQ149" s="77"/>
      <c r="AR149" s="77"/>
      <c r="AS149" s="77"/>
      <c r="AT149" s="68"/>
      <c r="AU149" s="77"/>
      <c r="AV149" s="77"/>
      <c r="AW149" s="77"/>
      <c r="AX149" s="77"/>
      <c r="AY149" s="77"/>
      <c r="AZ149" s="77"/>
      <c r="BA149" s="77"/>
      <c r="BB149" s="68"/>
      <c r="BD149" s="68"/>
      <c r="BE149" s="68"/>
      <c r="BF149" s="68"/>
      <c r="BG149" s="68"/>
      <c r="BH149" s="68"/>
    </row>
    <row r="150" spans="1:60" s="78" customFormat="1" ht="24" customHeight="1" thickBot="1">
      <c r="A150" s="257" t="s">
        <v>1468</v>
      </c>
      <c r="B150" s="698">
        <v>0.9</v>
      </c>
      <c r="C150" s="555">
        <f>B150+D150+E150+F150+G150+H150+J150+K150+I150+L150+M150+N150+O150</f>
        <v>1</v>
      </c>
      <c r="D150" s="636">
        <v>0.01</v>
      </c>
      <c r="E150" s="636">
        <v>0.01</v>
      </c>
      <c r="F150" s="636">
        <v>0.01</v>
      </c>
      <c r="G150" s="636">
        <v>0.01</v>
      </c>
      <c r="H150" s="636">
        <v>0.01</v>
      </c>
      <c r="I150" s="636">
        <v>0.05</v>
      </c>
      <c r="J150" s="636">
        <v>0</v>
      </c>
      <c r="K150" s="636">
        <v>0</v>
      </c>
      <c r="L150" s="636">
        <v>0</v>
      </c>
      <c r="M150" s="636">
        <v>0</v>
      </c>
      <c r="N150" s="636">
        <v>0</v>
      </c>
      <c r="O150" s="636">
        <v>0</v>
      </c>
      <c r="P150" s="689" t="s">
        <v>1471</v>
      </c>
      <c r="Q150" s="239" t="s">
        <v>1472</v>
      </c>
      <c r="R150" s="254" t="s">
        <v>1469</v>
      </c>
      <c r="S150" s="645" t="s">
        <v>1470</v>
      </c>
      <c r="T150" s="646" t="s">
        <v>1439</v>
      </c>
      <c r="U150" s="633">
        <f>BJ150/1100000</f>
        <v>0</v>
      </c>
      <c r="V150" s="634" t="s">
        <v>1440</v>
      </c>
      <c r="W150" s="635" t="e">
        <f>U150*0.75-(#REF!+W151)</f>
        <v>#REF!</v>
      </c>
      <c r="X150" s="299" t="s">
        <v>1443</v>
      </c>
      <c r="Y150" s="79" t="s">
        <v>1444</v>
      </c>
      <c r="Z150" s="260" t="s">
        <v>1458</v>
      </c>
      <c r="AB150" s="80" t="s">
        <v>1439</v>
      </c>
      <c r="AC150" s="81">
        <v>171177000</v>
      </c>
      <c r="AD150" s="82" t="s">
        <v>1446</v>
      </c>
      <c r="AE150" s="83">
        <f>SUM(AF150:BA150)</f>
        <v>0</v>
      </c>
      <c r="AF150" s="91" t="s">
        <v>1447</v>
      </c>
      <c r="AG150" s="92"/>
      <c r="AH150" s="92" t="s">
        <v>1448</v>
      </c>
      <c r="AI150" s="92"/>
      <c r="AJ150" s="92" t="s">
        <v>1449</v>
      </c>
      <c r="AK150" s="92"/>
      <c r="AL150" s="92" t="s">
        <v>1449</v>
      </c>
      <c r="AM150" s="92"/>
      <c r="AN150" s="92" t="s">
        <v>1449</v>
      </c>
      <c r="AO150" s="92"/>
      <c r="AP150" s="92"/>
      <c r="AQ150" s="92"/>
      <c r="AR150" s="92"/>
      <c r="AS150" s="92"/>
      <c r="AU150" s="92"/>
      <c r="AV150" s="92"/>
      <c r="AW150" s="92"/>
      <c r="AX150" s="92"/>
      <c r="AY150" s="92"/>
      <c r="AZ150" s="92"/>
      <c r="BA150" s="92"/>
    </row>
    <row r="151" spans="1:60" s="78" customFormat="1" ht="24" customHeight="1" thickBot="1">
      <c r="A151" s="258"/>
      <c r="B151" s="699"/>
      <c r="C151" s="559"/>
      <c r="D151" s="256" t="s">
        <v>1474</v>
      </c>
      <c r="E151" s="256" t="s">
        <v>1475</v>
      </c>
      <c r="F151" s="256" t="s">
        <v>1475</v>
      </c>
      <c r="G151" s="687" t="s">
        <v>1476</v>
      </c>
      <c r="H151" s="687" t="s">
        <v>1477</v>
      </c>
      <c r="I151" s="687" t="s">
        <v>1478</v>
      </c>
      <c r="J151" s="256" t="s">
        <v>1433</v>
      </c>
      <c r="K151" s="256" t="s">
        <v>1433</v>
      </c>
      <c r="L151" s="256" t="s">
        <v>1433</v>
      </c>
      <c r="M151" s="256" t="s">
        <v>1433</v>
      </c>
      <c r="N151" s="256" t="s">
        <v>1433</v>
      </c>
      <c r="O151" s="256" t="s">
        <v>1433</v>
      </c>
      <c r="P151" s="690"/>
      <c r="Q151" s="240"/>
      <c r="R151" s="255"/>
      <c r="S151" s="215" t="s">
        <v>1473</v>
      </c>
      <c r="T151" s="647" t="s">
        <v>1423</v>
      </c>
      <c r="U151" s="638" t="e">
        <f>U150-#REF!</f>
        <v>#REF!</v>
      </c>
      <c r="V151" s="641" t="s">
        <v>1424</v>
      </c>
      <c r="W151" s="639" t="e">
        <f>(#REF!+BL151)/1100000</f>
        <v>#REF!</v>
      </c>
      <c r="X151" s="85"/>
      <c r="Y151" s="69"/>
      <c r="Z151" s="261"/>
      <c r="AB151" s="80" t="s">
        <v>1423</v>
      </c>
      <c r="AC151" s="81" t="e">
        <f>AC150-#REF!</f>
        <v>#REF!</v>
      </c>
      <c r="AD151" s="82" t="s">
        <v>1434</v>
      </c>
      <c r="AE151" s="83"/>
      <c r="AF151" s="77"/>
      <c r="AG151" s="77"/>
      <c r="AH151" s="77"/>
      <c r="AI151" s="77"/>
      <c r="AJ151" s="77"/>
      <c r="AK151" s="77"/>
      <c r="AL151" s="77"/>
      <c r="AM151" s="77"/>
      <c r="AN151" s="77"/>
      <c r="AO151" s="77"/>
      <c r="AP151" s="77"/>
      <c r="AQ151" s="77"/>
      <c r="AR151" s="77"/>
      <c r="AS151" s="77"/>
      <c r="AT151" s="68"/>
      <c r="AU151" s="77"/>
      <c r="AV151" s="77"/>
      <c r="AW151" s="77"/>
      <c r="AX151" s="77"/>
      <c r="AY151" s="77"/>
      <c r="AZ151" s="77"/>
      <c r="BA151" s="77"/>
      <c r="BB151" s="68"/>
      <c r="BD151" s="68"/>
      <c r="BE151" s="68"/>
      <c r="BF151" s="68"/>
      <c r="BG151" s="68"/>
      <c r="BH151" s="68"/>
    </row>
    <row r="152" spans="1:60" s="78" customFormat="1" ht="24" customHeight="1" thickBot="1">
      <c r="A152" s="257" t="s">
        <v>1479</v>
      </c>
      <c r="B152" s="698">
        <v>0.85</v>
      </c>
      <c r="C152" s="555">
        <f>B152+D152+E152+F152+G152+H152+J152+K152+I152+L152+M152+N152+O152</f>
        <v>1</v>
      </c>
      <c r="D152" s="636">
        <v>0</v>
      </c>
      <c r="E152" s="636">
        <v>0.05</v>
      </c>
      <c r="F152" s="636">
        <v>0.05</v>
      </c>
      <c r="G152" s="636">
        <v>0.02</v>
      </c>
      <c r="H152" s="636">
        <v>0.01</v>
      </c>
      <c r="I152" s="636">
        <v>0.02</v>
      </c>
      <c r="J152" s="636">
        <v>0</v>
      </c>
      <c r="K152" s="636">
        <v>0</v>
      </c>
      <c r="L152" s="636">
        <v>0</v>
      </c>
      <c r="M152" s="636">
        <v>0</v>
      </c>
      <c r="N152" s="636">
        <v>0</v>
      </c>
      <c r="O152" s="636">
        <v>0</v>
      </c>
      <c r="P152" s="689" t="s">
        <v>1482</v>
      </c>
      <c r="Q152" s="239" t="s">
        <v>1483</v>
      </c>
      <c r="R152" s="254" t="s">
        <v>1480</v>
      </c>
      <c r="S152" s="645" t="s">
        <v>1481</v>
      </c>
      <c r="T152" s="646" t="s">
        <v>1439</v>
      </c>
      <c r="U152" s="633">
        <f>BJ152/1100000</f>
        <v>0</v>
      </c>
      <c r="V152" s="634" t="s">
        <v>1440</v>
      </c>
      <c r="W152" s="635" t="e">
        <f>U152*0.75-(#REF!+W153)</f>
        <v>#REF!</v>
      </c>
      <c r="X152" s="299" t="s">
        <v>1443</v>
      </c>
      <c r="Y152" s="79" t="s">
        <v>1444</v>
      </c>
      <c r="Z152" s="260" t="s">
        <v>1458</v>
      </c>
      <c r="AB152" s="80" t="s">
        <v>1439</v>
      </c>
      <c r="AC152" s="81">
        <v>51000000</v>
      </c>
      <c r="AD152" s="82" t="s">
        <v>1446</v>
      </c>
      <c r="AE152" s="83">
        <f>SUM(AF152:BA152)</f>
        <v>0</v>
      </c>
      <c r="AF152" s="91" t="s">
        <v>1447</v>
      </c>
      <c r="AG152" s="92"/>
      <c r="AH152" s="92" t="s">
        <v>1448</v>
      </c>
      <c r="AI152" s="92"/>
      <c r="AJ152" s="92" t="s">
        <v>1449</v>
      </c>
      <c r="AK152" s="92"/>
      <c r="AL152" s="92" t="s">
        <v>1449</v>
      </c>
      <c r="AM152" s="92"/>
      <c r="AN152" s="92" t="s">
        <v>1449</v>
      </c>
      <c r="AO152" s="92"/>
      <c r="AP152" s="92"/>
      <c r="AQ152" s="92"/>
      <c r="AR152" s="92"/>
      <c r="AS152" s="92"/>
      <c r="AU152" s="92"/>
      <c r="AV152" s="92"/>
      <c r="AW152" s="92"/>
      <c r="AX152" s="92"/>
      <c r="AY152" s="92"/>
      <c r="AZ152" s="92"/>
      <c r="BA152" s="92"/>
    </row>
    <row r="153" spans="1:60" s="78" customFormat="1" ht="24" customHeight="1" thickBot="1">
      <c r="A153" s="258"/>
      <c r="B153" s="699"/>
      <c r="C153" s="559"/>
      <c r="D153" s="256" t="s">
        <v>1484</v>
      </c>
      <c r="E153" s="256" t="s">
        <v>1475</v>
      </c>
      <c r="F153" s="256" t="s">
        <v>1485</v>
      </c>
      <c r="G153" s="256" t="s">
        <v>1486</v>
      </c>
      <c r="H153" s="256" t="s">
        <v>1487</v>
      </c>
      <c r="I153" s="687" t="s">
        <v>1488</v>
      </c>
      <c r="J153" s="256" t="s">
        <v>1433</v>
      </c>
      <c r="K153" s="256" t="s">
        <v>1433</v>
      </c>
      <c r="L153" s="256" t="s">
        <v>1433</v>
      </c>
      <c r="M153" s="256" t="s">
        <v>1433</v>
      </c>
      <c r="N153" s="256" t="s">
        <v>1433</v>
      </c>
      <c r="O153" s="256" t="s">
        <v>1433</v>
      </c>
      <c r="P153" s="690"/>
      <c r="Q153" s="240"/>
      <c r="R153" s="255"/>
      <c r="S153" s="240" t="s">
        <v>1422</v>
      </c>
      <c r="T153" s="647" t="s">
        <v>1423</v>
      </c>
      <c r="U153" s="638" t="e">
        <f>U152-#REF!</f>
        <v>#REF!</v>
      </c>
      <c r="V153" s="641" t="s">
        <v>1424</v>
      </c>
      <c r="W153" s="639" t="e">
        <f>(#REF!+BL153)/1100000</f>
        <v>#REF!</v>
      </c>
      <c r="X153" s="85"/>
      <c r="Y153" s="69"/>
      <c r="Z153" s="261"/>
      <c r="AB153" s="80" t="s">
        <v>1423</v>
      </c>
      <c r="AC153" s="81" t="e">
        <f>AC152-#REF!</f>
        <v>#REF!</v>
      </c>
      <c r="AD153" s="82" t="s">
        <v>1434</v>
      </c>
      <c r="AE153" s="83"/>
      <c r="AF153" s="77"/>
      <c r="AG153" s="77"/>
      <c r="AH153" s="77"/>
      <c r="AI153" s="77"/>
      <c r="AJ153" s="77"/>
      <c r="AK153" s="77"/>
      <c r="AL153" s="77"/>
      <c r="AM153" s="77"/>
      <c r="AN153" s="77"/>
      <c r="AO153" s="77"/>
      <c r="AP153" s="77"/>
      <c r="AQ153" s="77"/>
      <c r="AR153" s="77"/>
      <c r="AS153" s="77"/>
      <c r="AT153" s="68"/>
      <c r="AU153" s="77"/>
      <c r="AV153" s="77"/>
      <c r="AW153" s="77"/>
      <c r="AX153" s="77"/>
      <c r="AY153" s="77"/>
      <c r="AZ153" s="77"/>
      <c r="BA153" s="77"/>
      <c r="BB153" s="68"/>
      <c r="BD153" s="68"/>
      <c r="BE153" s="68"/>
      <c r="BF153" s="68"/>
      <c r="BG153" s="68"/>
      <c r="BH153" s="68"/>
    </row>
    <row r="154" spans="1:60" s="78" customFormat="1" ht="24" customHeight="1" thickBot="1">
      <c r="A154" s="257" t="s">
        <v>1489</v>
      </c>
      <c r="B154" s="698">
        <v>0.8</v>
      </c>
      <c r="C154" s="555">
        <f>B154+D154+E154+F154+G154+H154+J154+K154+I154+L154+M154+N154+O154</f>
        <v>0.92000000000000015</v>
      </c>
      <c r="D154" s="636">
        <v>0.05</v>
      </c>
      <c r="E154" s="636">
        <v>0.01</v>
      </c>
      <c r="F154" s="636">
        <v>0.04</v>
      </c>
      <c r="G154" s="636">
        <v>0</v>
      </c>
      <c r="H154" s="636">
        <v>0</v>
      </c>
      <c r="I154" s="636">
        <v>0</v>
      </c>
      <c r="J154" s="636">
        <v>0</v>
      </c>
      <c r="K154" s="636">
        <v>0.01</v>
      </c>
      <c r="L154" s="636">
        <v>0.01</v>
      </c>
      <c r="M154" s="636">
        <v>0</v>
      </c>
      <c r="N154" s="636">
        <v>0</v>
      </c>
      <c r="O154" s="636">
        <v>0</v>
      </c>
      <c r="P154" s="689" t="s">
        <v>1492</v>
      </c>
      <c r="Q154" s="239" t="s">
        <v>1493</v>
      </c>
      <c r="R154" s="254" t="s">
        <v>1490</v>
      </c>
      <c r="S154" s="645" t="s">
        <v>1491</v>
      </c>
      <c r="T154" s="646" t="s">
        <v>1439</v>
      </c>
      <c r="U154" s="633">
        <f>BJ154/1100000</f>
        <v>0</v>
      </c>
      <c r="V154" s="634" t="s">
        <v>1440</v>
      </c>
      <c r="W154" s="635" t="e">
        <f>U154*0.75-(#REF!+W155)</f>
        <v>#REF!</v>
      </c>
      <c r="X154" s="299" t="s">
        <v>1443</v>
      </c>
      <c r="Y154" s="79" t="s">
        <v>1444</v>
      </c>
      <c r="Z154" s="260" t="s">
        <v>1458</v>
      </c>
      <c r="AB154" s="80" t="s">
        <v>1439</v>
      </c>
      <c r="AC154" s="81">
        <v>39600000</v>
      </c>
      <c r="AD154" s="82" t="s">
        <v>1446</v>
      </c>
      <c r="AE154" s="83">
        <f>SUM(AF154:BA154)</f>
        <v>0</v>
      </c>
      <c r="AF154" s="91" t="s">
        <v>1447</v>
      </c>
      <c r="AG154" s="92"/>
      <c r="AH154" s="92" t="s">
        <v>1448</v>
      </c>
      <c r="AI154" s="92"/>
      <c r="AJ154" s="92" t="s">
        <v>1449</v>
      </c>
      <c r="AK154" s="92"/>
      <c r="AL154" s="92" t="s">
        <v>1449</v>
      </c>
      <c r="AM154" s="92"/>
      <c r="AN154" s="92" t="s">
        <v>1449</v>
      </c>
      <c r="AO154" s="92"/>
      <c r="AP154" s="92"/>
      <c r="AQ154" s="92"/>
      <c r="AR154" s="92"/>
      <c r="AS154" s="92"/>
      <c r="AU154" s="92"/>
      <c r="AV154" s="92"/>
      <c r="AW154" s="92"/>
      <c r="AX154" s="92"/>
      <c r="AY154" s="92"/>
      <c r="AZ154" s="92"/>
      <c r="BA154" s="92"/>
    </row>
    <row r="155" spans="1:60" s="78" customFormat="1" ht="24" customHeight="1" thickBot="1">
      <c r="A155" s="258"/>
      <c r="B155" s="699"/>
      <c r="C155" s="559"/>
      <c r="D155" s="256" t="s">
        <v>1494</v>
      </c>
      <c r="E155" s="256" t="s">
        <v>1495</v>
      </c>
      <c r="F155" s="256" t="s">
        <v>1494</v>
      </c>
      <c r="G155" s="256" t="s">
        <v>1451</v>
      </c>
      <c r="H155" s="256" t="s">
        <v>1451</v>
      </c>
      <c r="I155" s="256" t="s">
        <v>1451</v>
      </c>
      <c r="J155" s="256" t="s">
        <v>1451</v>
      </c>
      <c r="K155" s="687" t="s">
        <v>1496</v>
      </c>
      <c r="L155" s="687" t="s">
        <v>1496</v>
      </c>
      <c r="M155" s="687" t="s">
        <v>1451</v>
      </c>
      <c r="N155" s="687" t="s">
        <v>1451</v>
      </c>
      <c r="O155" s="256"/>
      <c r="P155" s="690"/>
      <c r="Q155" s="240"/>
      <c r="R155" s="255"/>
      <c r="S155" s="240" t="s">
        <v>1422</v>
      </c>
      <c r="T155" s="647" t="s">
        <v>1423</v>
      </c>
      <c r="U155" s="638" t="e">
        <f>U154-#REF!</f>
        <v>#REF!</v>
      </c>
      <c r="V155" s="641" t="s">
        <v>1424</v>
      </c>
      <c r="W155" s="639" t="e">
        <f>(#REF!+BL155)/1100000</f>
        <v>#REF!</v>
      </c>
      <c r="X155" s="85"/>
      <c r="Y155" s="69"/>
      <c r="Z155" s="261"/>
      <c r="AB155" s="80" t="s">
        <v>1423</v>
      </c>
      <c r="AC155" s="81" t="e">
        <f>AC154-#REF!</f>
        <v>#REF!</v>
      </c>
      <c r="AD155" s="82" t="s">
        <v>1434</v>
      </c>
      <c r="AE155" s="83"/>
      <c r="AF155" s="77"/>
      <c r="AG155" s="77"/>
      <c r="AH155" s="77"/>
      <c r="AI155" s="77"/>
      <c r="AJ155" s="77"/>
      <c r="AK155" s="77"/>
      <c r="AL155" s="77"/>
      <c r="AM155" s="77"/>
      <c r="AN155" s="77"/>
      <c r="AO155" s="77"/>
      <c r="AP155" s="77"/>
      <c r="AQ155" s="77"/>
      <c r="AR155" s="77"/>
      <c r="AS155" s="77"/>
      <c r="AT155" s="68"/>
      <c r="AU155" s="77"/>
      <c r="AV155" s="77"/>
      <c r="AW155" s="77"/>
      <c r="AX155" s="77"/>
      <c r="AY155" s="77"/>
      <c r="AZ155" s="77"/>
      <c r="BA155" s="77"/>
      <c r="BB155" s="68"/>
      <c r="BD155" s="68"/>
      <c r="BE155" s="68"/>
      <c r="BF155" s="68"/>
      <c r="BG155" s="68"/>
      <c r="BH155" s="68"/>
    </row>
    <row r="156" spans="1:60" s="78" customFormat="1" ht="24" customHeight="1" thickBot="1">
      <c r="A156" s="257" t="s">
        <v>1497</v>
      </c>
      <c r="B156" s="698">
        <v>0</v>
      </c>
      <c r="C156" s="555">
        <f>B156+D156+E156+F156+G156+H156+J156+K156+I156+L156+M156+N156+O156</f>
        <v>0.55000000000000004</v>
      </c>
      <c r="D156" s="636">
        <v>0.15</v>
      </c>
      <c r="E156" s="636">
        <v>0.1</v>
      </c>
      <c r="F156" s="636">
        <v>0.05</v>
      </c>
      <c r="G156" s="636">
        <v>0.05</v>
      </c>
      <c r="H156" s="636">
        <v>0.05</v>
      </c>
      <c r="I156" s="636">
        <v>0</v>
      </c>
      <c r="J156" s="636">
        <v>0.05</v>
      </c>
      <c r="K156" s="636">
        <v>0.02</v>
      </c>
      <c r="L156" s="636">
        <v>0.02</v>
      </c>
      <c r="M156" s="636">
        <v>0.01</v>
      </c>
      <c r="N156" s="636">
        <v>0.05</v>
      </c>
      <c r="O156" s="636">
        <v>0</v>
      </c>
      <c r="P156" s="689" t="s">
        <v>1500</v>
      </c>
      <c r="Q156" s="239" t="s">
        <v>1501</v>
      </c>
      <c r="R156" s="254" t="s">
        <v>1498</v>
      </c>
      <c r="S156" s="645" t="s">
        <v>1499</v>
      </c>
      <c r="T156" s="646" t="s">
        <v>1439</v>
      </c>
      <c r="U156" s="633">
        <f>BJ156/1100000</f>
        <v>0</v>
      </c>
      <c r="V156" s="634" t="s">
        <v>1440</v>
      </c>
      <c r="W156" s="635" t="e">
        <f>U156*0.75-(#REF!+W157)</f>
        <v>#REF!</v>
      </c>
      <c r="X156" s="299" t="s">
        <v>1443</v>
      </c>
      <c r="Y156" s="79" t="s">
        <v>1444</v>
      </c>
      <c r="Z156" s="260" t="s">
        <v>1502</v>
      </c>
      <c r="AB156" s="80" t="s">
        <v>1439</v>
      </c>
      <c r="AC156" s="81">
        <v>122751000</v>
      </c>
      <c r="AD156" s="82" t="s">
        <v>1446</v>
      </c>
      <c r="AE156" s="83">
        <f>SUM(AF156:BA156)</f>
        <v>0</v>
      </c>
      <c r="AF156" s="91" t="s">
        <v>1447</v>
      </c>
      <c r="AG156" s="92"/>
      <c r="AH156" s="92" t="s">
        <v>1448</v>
      </c>
      <c r="AI156" s="92"/>
      <c r="AJ156" s="92" t="s">
        <v>1449</v>
      </c>
      <c r="AK156" s="92"/>
      <c r="AL156" s="92" t="s">
        <v>1449</v>
      </c>
      <c r="AM156" s="92"/>
      <c r="AN156" s="92" t="s">
        <v>1449</v>
      </c>
      <c r="AO156" s="92"/>
      <c r="AP156" s="92"/>
      <c r="AQ156" s="92"/>
      <c r="AR156" s="92"/>
      <c r="AS156" s="92"/>
      <c r="AU156" s="92"/>
      <c r="AV156" s="92"/>
      <c r="AW156" s="92"/>
      <c r="AX156" s="92"/>
      <c r="AY156" s="92"/>
      <c r="AZ156" s="92"/>
      <c r="BA156" s="92"/>
    </row>
    <row r="157" spans="1:60" s="78" customFormat="1" ht="24" customHeight="1" thickBot="1">
      <c r="A157" s="258"/>
      <c r="B157" s="699"/>
      <c r="C157" s="559"/>
      <c r="D157" s="256" t="s">
        <v>1503</v>
      </c>
      <c r="E157" s="256" t="s">
        <v>1504</v>
      </c>
      <c r="F157" s="256" t="s">
        <v>1505</v>
      </c>
      <c r="G157" s="256" t="s">
        <v>1506</v>
      </c>
      <c r="H157" s="256" t="s">
        <v>1507</v>
      </c>
      <c r="I157" s="256" t="s">
        <v>1508</v>
      </c>
      <c r="J157" s="687" t="s">
        <v>1509</v>
      </c>
      <c r="K157" s="687" t="s">
        <v>1510</v>
      </c>
      <c r="L157" s="687" t="s">
        <v>1510</v>
      </c>
      <c r="M157" s="687" t="s">
        <v>1511</v>
      </c>
      <c r="N157" s="687" t="s">
        <v>1512</v>
      </c>
      <c r="O157" s="256"/>
      <c r="P157" s="690"/>
      <c r="Q157" s="240"/>
      <c r="R157" s="255"/>
      <c r="S157" s="240" t="s">
        <v>1422</v>
      </c>
      <c r="T157" s="647" t="s">
        <v>1423</v>
      </c>
      <c r="U157" s="638" t="e">
        <f>U156-#REF!</f>
        <v>#REF!</v>
      </c>
      <c r="V157" s="641" t="s">
        <v>1424</v>
      </c>
      <c r="W157" s="639" t="e">
        <f>(#REF!+BL157)/1100000</f>
        <v>#REF!</v>
      </c>
      <c r="X157" s="85"/>
      <c r="Y157" s="69"/>
      <c r="Z157" s="261"/>
      <c r="AB157" s="80" t="s">
        <v>1423</v>
      </c>
      <c r="AC157" s="81" t="e">
        <f>AC156-#REF!</f>
        <v>#REF!</v>
      </c>
      <c r="AD157" s="82" t="s">
        <v>1434</v>
      </c>
      <c r="AE157" s="83"/>
      <c r="AF157" s="77"/>
      <c r="AG157" s="77"/>
      <c r="AH157" s="77"/>
      <c r="AI157" s="77"/>
      <c r="AJ157" s="77"/>
      <c r="AK157" s="77"/>
      <c r="AL157" s="77"/>
      <c r="AM157" s="77"/>
      <c r="AN157" s="77"/>
      <c r="AO157" s="77"/>
      <c r="AP157" s="77"/>
      <c r="AQ157" s="77"/>
      <c r="AR157" s="77"/>
      <c r="AS157" s="77"/>
      <c r="AT157" s="68"/>
      <c r="AU157" s="77"/>
      <c r="AV157" s="77"/>
      <c r="AW157" s="77"/>
      <c r="AX157" s="77"/>
      <c r="AY157" s="77"/>
      <c r="AZ157" s="77"/>
      <c r="BA157" s="77"/>
      <c r="BB157" s="68"/>
      <c r="BD157" s="68"/>
      <c r="BE157" s="68"/>
      <c r="BF157" s="68"/>
      <c r="BG157" s="68"/>
      <c r="BH157" s="68"/>
    </row>
    <row r="158" spans="1:60" s="78" customFormat="1" ht="24" customHeight="1" thickBot="1">
      <c r="A158" s="257" t="s">
        <v>1513</v>
      </c>
      <c r="B158" s="698">
        <v>0</v>
      </c>
      <c r="C158" s="555">
        <f>B158+D158+E158+F158+G158+H158+J158+K158+I158+L158+M158+N158+O158</f>
        <v>0.95</v>
      </c>
      <c r="D158" s="636">
        <v>0</v>
      </c>
      <c r="E158" s="636">
        <v>0</v>
      </c>
      <c r="F158" s="636">
        <v>0.3</v>
      </c>
      <c r="G158" s="636">
        <v>0.2</v>
      </c>
      <c r="H158" s="636">
        <v>0.2</v>
      </c>
      <c r="I158" s="636">
        <v>0.2</v>
      </c>
      <c r="J158" s="636">
        <v>0.02</v>
      </c>
      <c r="K158" s="636">
        <v>0.01</v>
      </c>
      <c r="L158" s="636">
        <v>0.01</v>
      </c>
      <c r="M158" s="636">
        <v>0.01</v>
      </c>
      <c r="N158" s="636">
        <v>0</v>
      </c>
      <c r="O158" s="636">
        <v>0</v>
      </c>
      <c r="P158" s="689" t="s">
        <v>1500</v>
      </c>
      <c r="Q158" s="239" t="s">
        <v>1516</v>
      </c>
      <c r="R158" s="254" t="s">
        <v>1514</v>
      </c>
      <c r="S158" s="645" t="s">
        <v>1515</v>
      </c>
      <c r="T158" s="646" t="s">
        <v>1439</v>
      </c>
      <c r="U158" s="633">
        <f>BJ158/1100000</f>
        <v>0</v>
      </c>
      <c r="V158" s="634" t="s">
        <v>1440</v>
      </c>
      <c r="W158" s="635" t="e">
        <f>U158*0.75-(#REF!+W159)</f>
        <v>#REF!</v>
      </c>
      <c r="X158" s="299" t="s">
        <v>1443</v>
      </c>
      <c r="Y158" s="79" t="s">
        <v>1444</v>
      </c>
      <c r="Z158" s="260" t="s">
        <v>1518</v>
      </c>
      <c r="AB158" s="80" t="s">
        <v>1439</v>
      </c>
      <c r="AC158" s="81">
        <v>132000000</v>
      </c>
      <c r="AD158" s="82" t="s">
        <v>1446</v>
      </c>
      <c r="AE158" s="83">
        <f>SUM(AF158:BA158)</f>
        <v>0</v>
      </c>
      <c r="AF158" s="91" t="s">
        <v>1447</v>
      </c>
      <c r="AG158" s="92"/>
      <c r="AH158" s="92" t="s">
        <v>1448</v>
      </c>
      <c r="AI158" s="92"/>
      <c r="AJ158" s="92" t="s">
        <v>1449</v>
      </c>
      <c r="AK158" s="92"/>
      <c r="AL158" s="92" t="s">
        <v>1449</v>
      </c>
      <c r="AM158" s="92"/>
      <c r="AN158" s="92" t="s">
        <v>1449</v>
      </c>
      <c r="AO158" s="92"/>
      <c r="AP158" s="92"/>
      <c r="AQ158" s="92"/>
      <c r="AR158" s="92"/>
      <c r="AS158" s="92"/>
      <c r="AU158" s="92"/>
      <c r="AV158" s="92"/>
      <c r="AW158" s="92"/>
      <c r="AX158" s="92"/>
      <c r="AY158" s="92"/>
      <c r="AZ158" s="92"/>
      <c r="BA158" s="92"/>
    </row>
    <row r="159" spans="1:60" s="78" customFormat="1" ht="24" customHeight="1" thickBot="1">
      <c r="A159" s="258"/>
      <c r="B159" s="699"/>
      <c r="C159" s="559"/>
      <c r="D159" s="256"/>
      <c r="E159" s="256"/>
      <c r="F159" s="256" t="s">
        <v>1519</v>
      </c>
      <c r="G159" s="256" t="s">
        <v>1520</v>
      </c>
      <c r="H159" s="256" t="s">
        <v>1521</v>
      </c>
      <c r="I159" s="256" t="s">
        <v>1522</v>
      </c>
      <c r="J159" s="687" t="s">
        <v>1523</v>
      </c>
      <c r="K159" s="687" t="s">
        <v>1523</v>
      </c>
      <c r="L159" s="687" t="s">
        <v>1523</v>
      </c>
      <c r="M159" s="687" t="s">
        <v>1524</v>
      </c>
      <c r="N159" s="687" t="s">
        <v>1451</v>
      </c>
      <c r="O159" s="256"/>
      <c r="P159" s="690"/>
      <c r="Q159" s="240"/>
      <c r="R159" s="255"/>
      <c r="S159" s="240" t="s">
        <v>1422</v>
      </c>
      <c r="T159" s="647" t="s">
        <v>1423</v>
      </c>
      <c r="U159" s="638" t="e">
        <f>U158-#REF!</f>
        <v>#REF!</v>
      </c>
      <c r="V159" s="641" t="s">
        <v>1424</v>
      </c>
      <c r="W159" s="639" t="e">
        <f>(#REF!+BL159)/1100000</f>
        <v>#REF!</v>
      </c>
      <c r="X159" s="85"/>
      <c r="Y159" s="69"/>
      <c r="Z159" s="261"/>
      <c r="AB159" s="80" t="s">
        <v>1423</v>
      </c>
      <c r="AC159" s="81" t="e">
        <f>AC158-#REF!</f>
        <v>#REF!</v>
      </c>
      <c r="AD159" s="82" t="s">
        <v>1434</v>
      </c>
      <c r="AE159" s="83"/>
      <c r="AF159" s="77"/>
      <c r="AG159" s="77"/>
      <c r="AH159" s="77"/>
      <c r="AI159" s="77"/>
      <c r="AJ159" s="77"/>
      <c r="AK159" s="77"/>
      <c r="AL159" s="77"/>
      <c r="AM159" s="77"/>
      <c r="AN159" s="77"/>
      <c r="AO159" s="77"/>
      <c r="AP159" s="77"/>
      <c r="AQ159" s="77"/>
      <c r="AR159" s="77"/>
      <c r="AS159" s="77"/>
      <c r="AT159" s="68"/>
      <c r="AU159" s="77"/>
      <c r="AV159" s="77"/>
      <c r="AW159" s="77"/>
      <c r="AX159" s="77"/>
      <c r="AY159" s="77"/>
      <c r="AZ159" s="77"/>
      <c r="BA159" s="77"/>
      <c r="BB159" s="68"/>
      <c r="BD159" s="68"/>
      <c r="BE159" s="68"/>
      <c r="BF159" s="68"/>
      <c r="BG159" s="68"/>
      <c r="BH159" s="68"/>
    </row>
    <row r="160" spans="1:60" s="78" customFormat="1" ht="24" customHeight="1" thickBot="1">
      <c r="A160" s="257" t="s">
        <v>1525</v>
      </c>
      <c r="B160" s="698">
        <v>0</v>
      </c>
      <c r="C160" s="555">
        <f>B160+D160+E160+F160+G160+H160+J160+K160+I160+L160+M160+N160+O160</f>
        <v>0.55000000000000016</v>
      </c>
      <c r="D160" s="636">
        <v>0</v>
      </c>
      <c r="E160" s="636">
        <v>0</v>
      </c>
      <c r="F160" s="636">
        <v>0</v>
      </c>
      <c r="G160" s="636">
        <v>0.1</v>
      </c>
      <c r="H160" s="636">
        <v>0.2</v>
      </c>
      <c r="I160" s="636">
        <v>0.1</v>
      </c>
      <c r="J160" s="636">
        <v>0.05</v>
      </c>
      <c r="K160" s="636">
        <v>0.02</v>
      </c>
      <c r="L160" s="636">
        <v>0.02</v>
      </c>
      <c r="M160" s="636">
        <v>0.01</v>
      </c>
      <c r="N160" s="636">
        <v>0.05</v>
      </c>
      <c r="O160" s="636">
        <v>0</v>
      </c>
      <c r="P160" s="689" t="s">
        <v>1500</v>
      </c>
      <c r="Q160" s="239" t="s">
        <v>1526</v>
      </c>
      <c r="R160" s="254" t="s">
        <v>1498</v>
      </c>
      <c r="S160" s="645" t="s">
        <v>1499</v>
      </c>
      <c r="T160" s="646" t="s">
        <v>1439</v>
      </c>
      <c r="U160" s="633">
        <f>BJ160/1100000</f>
        <v>0</v>
      </c>
      <c r="V160" s="634" t="s">
        <v>1440</v>
      </c>
      <c r="W160" s="635" t="e">
        <f>U160*0.75-(#REF!+W161)</f>
        <v>#REF!</v>
      </c>
      <c r="X160" s="299" t="s">
        <v>1443</v>
      </c>
      <c r="Y160" s="79" t="s">
        <v>1444</v>
      </c>
      <c r="Z160" s="260" t="s">
        <v>1502</v>
      </c>
      <c r="AB160" s="80" t="s">
        <v>1439</v>
      </c>
      <c r="AC160" s="81">
        <v>88600000</v>
      </c>
      <c r="AD160" s="82" t="s">
        <v>1446</v>
      </c>
      <c r="AE160" s="83">
        <f>SUM(AF160:BA160)</f>
        <v>0</v>
      </c>
      <c r="AF160" s="91" t="s">
        <v>1447</v>
      </c>
      <c r="AG160" s="92"/>
      <c r="AH160" s="92" t="s">
        <v>1448</v>
      </c>
      <c r="AI160" s="92"/>
      <c r="AJ160" s="92" t="s">
        <v>1449</v>
      </c>
      <c r="AK160" s="92"/>
      <c r="AL160" s="92" t="s">
        <v>1449</v>
      </c>
      <c r="AM160" s="92"/>
      <c r="AN160" s="92" t="s">
        <v>1449</v>
      </c>
      <c r="AO160" s="92"/>
      <c r="AP160" s="92"/>
      <c r="AQ160" s="92"/>
      <c r="AR160" s="92"/>
      <c r="AS160" s="92"/>
      <c r="AU160" s="92"/>
      <c r="AV160" s="92"/>
      <c r="AW160" s="92"/>
      <c r="AX160" s="92"/>
      <c r="AY160" s="92"/>
      <c r="AZ160" s="92"/>
      <c r="BA160" s="92"/>
    </row>
    <row r="161" spans="1:61" s="78" customFormat="1" ht="24" customHeight="1" thickBot="1">
      <c r="A161" s="258"/>
      <c r="B161" s="699"/>
      <c r="C161" s="559"/>
      <c r="D161" s="256"/>
      <c r="E161" s="256"/>
      <c r="F161" s="256"/>
      <c r="G161" s="256" t="s">
        <v>1506</v>
      </c>
      <c r="H161" s="256" t="s">
        <v>1507</v>
      </c>
      <c r="I161" s="256" t="s">
        <v>1508</v>
      </c>
      <c r="J161" s="687" t="s">
        <v>1509</v>
      </c>
      <c r="K161" s="687" t="s">
        <v>1510</v>
      </c>
      <c r="L161" s="687" t="s">
        <v>1510</v>
      </c>
      <c r="M161" s="687" t="s">
        <v>1511</v>
      </c>
      <c r="N161" s="687" t="s">
        <v>1512</v>
      </c>
      <c r="O161" s="256"/>
      <c r="P161" s="690"/>
      <c r="Q161" s="240"/>
      <c r="R161" s="255"/>
      <c r="S161" s="240" t="s">
        <v>1422</v>
      </c>
      <c r="T161" s="647" t="s">
        <v>1423</v>
      </c>
      <c r="U161" s="638" t="e">
        <f>U160-#REF!</f>
        <v>#REF!</v>
      </c>
      <c r="V161" s="641" t="s">
        <v>1424</v>
      </c>
      <c r="W161" s="639" t="e">
        <f>(#REF!+BL161)/1100000</f>
        <v>#REF!</v>
      </c>
      <c r="X161" s="85"/>
      <c r="Y161" s="69"/>
      <c r="Z161" s="261"/>
      <c r="AB161" s="80" t="s">
        <v>1423</v>
      </c>
      <c r="AC161" s="81" t="e">
        <f>AC160-#REF!</f>
        <v>#REF!</v>
      </c>
      <c r="AD161" s="82" t="s">
        <v>1434</v>
      </c>
      <c r="AE161" s="83"/>
      <c r="AF161" s="77"/>
      <c r="AG161" s="77"/>
      <c r="AH161" s="77"/>
      <c r="AI161" s="77"/>
      <c r="AJ161" s="77"/>
      <c r="AK161" s="77"/>
      <c r="AL161" s="77"/>
      <c r="AM161" s="77"/>
      <c r="AN161" s="77"/>
      <c r="AO161" s="77"/>
      <c r="AP161" s="77"/>
      <c r="AQ161" s="77"/>
      <c r="AR161" s="77"/>
      <c r="AS161" s="77"/>
      <c r="AT161" s="68"/>
      <c r="AU161" s="77"/>
      <c r="AV161" s="77"/>
      <c r="AW161" s="77"/>
      <c r="AX161" s="77"/>
      <c r="AY161" s="77"/>
      <c r="AZ161" s="77"/>
      <c r="BA161" s="77"/>
      <c r="BB161" s="68"/>
      <c r="BD161" s="68"/>
      <c r="BE161" s="68"/>
      <c r="BF161" s="68"/>
      <c r="BG161" s="68"/>
      <c r="BH161" s="68"/>
    </row>
    <row r="162" spans="1:61" s="78" customFormat="1" ht="24" customHeight="1" thickBot="1">
      <c r="A162" s="257" t="s">
        <v>1527</v>
      </c>
      <c r="B162" s="698">
        <v>0</v>
      </c>
      <c r="C162" s="555">
        <f>B162+D162+E162+F162+G162+H162+J162+K162+I162+L162+M162+N162+O162</f>
        <v>0.95000000000000007</v>
      </c>
      <c r="D162" s="636">
        <v>0</v>
      </c>
      <c r="E162" s="636">
        <v>0</v>
      </c>
      <c r="F162" s="636">
        <v>0</v>
      </c>
      <c r="G162" s="636">
        <v>0</v>
      </c>
      <c r="H162" s="636">
        <v>0</v>
      </c>
      <c r="I162" s="636">
        <v>0.05</v>
      </c>
      <c r="J162" s="636">
        <v>0.15</v>
      </c>
      <c r="K162" s="636">
        <v>0.15</v>
      </c>
      <c r="L162" s="636">
        <v>0.2</v>
      </c>
      <c r="M162" s="636">
        <v>0.3</v>
      </c>
      <c r="N162" s="636">
        <v>0.1</v>
      </c>
      <c r="O162" s="636">
        <v>0</v>
      </c>
      <c r="P162" s="689" t="s">
        <v>1500</v>
      </c>
      <c r="Q162" s="239" t="s">
        <v>1530</v>
      </c>
      <c r="R162" s="254" t="s">
        <v>1528</v>
      </c>
      <c r="S162" s="645" t="s">
        <v>1529</v>
      </c>
      <c r="T162" s="646" t="s">
        <v>1439</v>
      </c>
      <c r="U162" s="633">
        <f>BJ162/1100000</f>
        <v>0</v>
      </c>
      <c r="V162" s="634" t="s">
        <v>1440</v>
      </c>
      <c r="W162" s="635" t="e">
        <f>U162*0.75-(#REF!+W163)</f>
        <v>#REF!</v>
      </c>
      <c r="X162" s="299" t="s">
        <v>1443</v>
      </c>
      <c r="Y162" s="79" t="s">
        <v>1444</v>
      </c>
      <c r="Z162" s="260" t="s">
        <v>1531</v>
      </c>
      <c r="AB162" s="80" t="s">
        <v>1439</v>
      </c>
      <c r="AC162" s="81">
        <v>18500000</v>
      </c>
      <c r="AD162" s="82" t="s">
        <v>1446</v>
      </c>
      <c r="AE162" s="83">
        <f>SUM(AF162:BA162)</f>
        <v>0</v>
      </c>
      <c r="AF162" s="91" t="s">
        <v>1447</v>
      </c>
      <c r="AG162" s="92"/>
      <c r="AH162" s="92" t="s">
        <v>1448</v>
      </c>
      <c r="AI162" s="92"/>
      <c r="AJ162" s="92" t="s">
        <v>1449</v>
      </c>
      <c r="AK162" s="92"/>
      <c r="AL162" s="92" t="s">
        <v>1449</v>
      </c>
      <c r="AM162" s="92"/>
      <c r="AN162" s="92" t="s">
        <v>1449</v>
      </c>
      <c r="AO162" s="92"/>
      <c r="AP162" s="92"/>
      <c r="AQ162" s="92"/>
      <c r="AR162" s="92"/>
      <c r="AS162" s="92"/>
      <c r="AU162" s="92"/>
      <c r="AV162" s="92"/>
      <c r="AW162" s="92"/>
      <c r="AX162" s="92"/>
      <c r="AY162" s="92"/>
      <c r="AZ162" s="92"/>
      <c r="BA162" s="92"/>
    </row>
    <row r="163" spans="1:61" s="78" customFormat="1" ht="24" customHeight="1" thickBot="1">
      <c r="A163" s="258"/>
      <c r="B163" s="699"/>
      <c r="C163" s="559"/>
      <c r="D163" s="256"/>
      <c r="E163" s="256"/>
      <c r="F163" s="256"/>
      <c r="G163" s="256"/>
      <c r="H163" s="256"/>
      <c r="I163" s="256" t="s">
        <v>1532</v>
      </c>
      <c r="J163" s="687" t="s">
        <v>1533</v>
      </c>
      <c r="K163" s="687" t="s">
        <v>1534</v>
      </c>
      <c r="L163" s="687" t="s">
        <v>1534</v>
      </c>
      <c r="M163" s="687" t="s">
        <v>1535</v>
      </c>
      <c r="N163" s="687" t="s">
        <v>1536</v>
      </c>
      <c r="O163" s="687" t="s">
        <v>1537</v>
      </c>
      <c r="P163" s="690"/>
      <c r="Q163" s="240"/>
      <c r="R163" s="255"/>
      <c r="S163" s="240" t="s">
        <v>1422</v>
      </c>
      <c r="T163" s="647" t="s">
        <v>1423</v>
      </c>
      <c r="U163" s="638" t="e">
        <f>U162-#REF!</f>
        <v>#REF!</v>
      </c>
      <c r="V163" s="641" t="s">
        <v>1424</v>
      </c>
      <c r="W163" s="639" t="e">
        <f>(#REF!+BL163)/1100000</f>
        <v>#REF!</v>
      </c>
      <c r="X163" s="85"/>
      <c r="Y163" s="69"/>
      <c r="Z163" s="261"/>
      <c r="AB163" s="80" t="s">
        <v>1423</v>
      </c>
      <c r="AC163" s="81" t="e">
        <f>AC162-#REF!</f>
        <v>#REF!</v>
      </c>
      <c r="AD163" s="82" t="s">
        <v>1434</v>
      </c>
      <c r="AE163" s="83"/>
      <c r="AF163" s="77"/>
      <c r="AG163" s="77"/>
      <c r="AH163" s="77"/>
      <c r="AI163" s="77"/>
      <c r="AJ163" s="77"/>
      <c r="AK163" s="77"/>
      <c r="AL163" s="77"/>
      <c r="AM163" s="77"/>
      <c r="AN163" s="77"/>
      <c r="AO163" s="77"/>
      <c r="AP163" s="77"/>
      <c r="AQ163" s="77"/>
      <c r="AR163" s="77"/>
      <c r="AS163" s="77"/>
      <c r="AT163" s="68"/>
      <c r="AU163" s="77"/>
      <c r="AV163" s="77"/>
      <c r="AW163" s="77"/>
      <c r="AX163" s="77"/>
      <c r="AY163" s="77"/>
      <c r="AZ163" s="77"/>
      <c r="BA163" s="77"/>
      <c r="BB163" s="68"/>
      <c r="BD163" s="68"/>
      <c r="BE163" s="68"/>
      <c r="BF163" s="68"/>
      <c r="BG163" s="68"/>
      <c r="BH163" s="68"/>
    </row>
    <row r="164" spans="1:61" s="78" customFormat="1" ht="24" customHeight="1" thickBot="1">
      <c r="A164" s="257" t="s">
        <v>1538</v>
      </c>
      <c r="B164" s="698">
        <v>0</v>
      </c>
      <c r="C164" s="555">
        <f>B164+D164+E164+F164+G164+H164+J164+K164+I164+L164+M164+N164+O164</f>
        <v>0.30000000000000004</v>
      </c>
      <c r="D164" s="636">
        <v>0</v>
      </c>
      <c r="E164" s="636">
        <v>0</v>
      </c>
      <c r="F164" s="636">
        <v>0</v>
      </c>
      <c r="G164" s="636">
        <v>0</v>
      </c>
      <c r="H164" s="636">
        <v>0</v>
      </c>
      <c r="I164" s="636">
        <v>0</v>
      </c>
      <c r="J164" s="636">
        <v>0</v>
      </c>
      <c r="K164" s="636">
        <v>0</v>
      </c>
      <c r="L164" s="636">
        <v>0.05</v>
      </c>
      <c r="M164" s="636">
        <v>0.15</v>
      </c>
      <c r="N164" s="636">
        <v>0.1</v>
      </c>
      <c r="O164" s="636">
        <v>0</v>
      </c>
      <c r="P164" s="689" t="s">
        <v>1500</v>
      </c>
      <c r="Q164" s="239" t="s">
        <v>1541</v>
      </c>
      <c r="R164" s="254" t="s">
        <v>1539</v>
      </c>
      <c r="S164" s="645" t="s">
        <v>1540</v>
      </c>
      <c r="T164" s="646" t="s">
        <v>1439</v>
      </c>
      <c r="U164" s="633">
        <f>BJ164/1100000</f>
        <v>0</v>
      </c>
      <c r="V164" s="634" t="s">
        <v>1440</v>
      </c>
      <c r="W164" s="635" t="e">
        <f>U164*0.75-(#REF!+W165)</f>
        <v>#REF!</v>
      </c>
      <c r="X164" s="299" t="s">
        <v>1443</v>
      </c>
      <c r="Y164" s="79" t="s">
        <v>1444</v>
      </c>
      <c r="Z164" s="260" t="s">
        <v>1531</v>
      </c>
      <c r="AB164" s="80" t="s">
        <v>1439</v>
      </c>
      <c r="AC164" s="81">
        <v>140030000</v>
      </c>
      <c r="AD164" s="82" t="s">
        <v>1446</v>
      </c>
      <c r="AE164" s="83">
        <f>SUM(AF164:BA164)</f>
        <v>0</v>
      </c>
      <c r="AF164" s="91" t="s">
        <v>1447</v>
      </c>
      <c r="AG164" s="92"/>
      <c r="AH164" s="92" t="s">
        <v>1448</v>
      </c>
      <c r="AI164" s="92"/>
      <c r="AJ164" s="92" t="s">
        <v>1449</v>
      </c>
      <c r="AK164" s="92"/>
      <c r="AL164" s="92" t="s">
        <v>1449</v>
      </c>
      <c r="AM164" s="92"/>
      <c r="AN164" s="92" t="s">
        <v>1449</v>
      </c>
      <c r="AO164" s="92"/>
      <c r="AP164" s="92"/>
      <c r="AQ164" s="92"/>
      <c r="AR164" s="92"/>
      <c r="AS164" s="92"/>
      <c r="AU164" s="92"/>
      <c r="AV164" s="92"/>
      <c r="AW164" s="92"/>
      <c r="AX164" s="92"/>
      <c r="AY164" s="92"/>
      <c r="AZ164" s="92"/>
      <c r="BA164" s="92"/>
    </row>
    <row r="165" spans="1:61" s="78" customFormat="1" ht="24" customHeight="1" thickBot="1">
      <c r="A165" s="258"/>
      <c r="B165" s="699"/>
      <c r="C165" s="559"/>
      <c r="D165" s="256"/>
      <c r="E165" s="256"/>
      <c r="F165" s="256"/>
      <c r="G165" s="256"/>
      <c r="H165" s="256"/>
      <c r="I165" s="256"/>
      <c r="J165" s="687"/>
      <c r="K165" s="687" t="s">
        <v>1433</v>
      </c>
      <c r="L165" s="256" t="s">
        <v>1542</v>
      </c>
      <c r="M165" s="687" t="s">
        <v>1543</v>
      </c>
      <c r="N165" s="687" t="s">
        <v>1544</v>
      </c>
      <c r="O165" s="256"/>
      <c r="P165" s="690"/>
      <c r="Q165" s="240"/>
      <c r="R165" s="255"/>
      <c r="S165" s="240" t="s">
        <v>1422</v>
      </c>
      <c r="T165" s="647" t="s">
        <v>1423</v>
      </c>
      <c r="U165" s="638" t="e">
        <f>U164-#REF!</f>
        <v>#REF!</v>
      </c>
      <c r="V165" s="641" t="s">
        <v>1424</v>
      </c>
      <c r="W165" s="639" t="e">
        <f>(#REF!+BL165)/1100000</f>
        <v>#REF!</v>
      </c>
      <c r="X165" s="85"/>
      <c r="Y165" s="69"/>
      <c r="Z165" s="261"/>
      <c r="AB165" s="80" t="s">
        <v>1423</v>
      </c>
      <c r="AC165" s="82" t="s">
        <v>1434</v>
      </c>
      <c r="AD165" s="83"/>
      <c r="AE165" s="77"/>
      <c r="AF165" s="77"/>
      <c r="AG165" s="77"/>
      <c r="AH165" s="77"/>
      <c r="AI165" s="77"/>
      <c r="AJ165" s="77"/>
      <c r="AK165" s="77"/>
      <c r="AL165" s="77"/>
      <c r="AM165" s="77"/>
      <c r="AN165" s="77"/>
      <c r="AO165" s="77"/>
      <c r="AP165" s="77"/>
      <c r="AQ165" s="77"/>
      <c r="AR165" s="77"/>
      <c r="AS165" s="77"/>
      <c r="AT165" s="77"/>
      <c r="AU165" s="77"/>
      <c r="AV165" s="77"/>
      <c r="AW165" s="77"/>
      <c r="AX165" s="77"/>
      <c r="AY165" s="77"/>
      <c r="AZ165" s="77"/>
      <c r="BA165" s="77"/>
      <c r="BB165" s="68"/>
      <c r="BC165" s="68"/>
      <c r="BD165" s="68"/>
      <c r="BE165" s="68"/>
      <c r="BF165" s="68"/>
      <c r="BG165" s="68"/>
      <c r="BH165" s="68"/>
    </row>
    <row r="166" spans="1:61" s="741" customFormat="1" ht="22.5" customHeight="1">
      <c r="A166" s="490" t="s">
        <v>1673</v>
      </c>
      <c r="B166" s="554">
        <v>0.99</v>
      </c>
      <c r="C166" s="555">
        <f>B166+D166+E166+F166+G166+H166+I166+J166+K166+L166+M166+N166+O166</f>
        <v>0.995</v>
      </c>
      <c r="D166" s="525"/>
      <c r="E166" s="525"/>
      <c r="F166" s="525"/>
      <c r="G166" s="525"/>
      <c r="H166" s="72"/>
      <c r="I166" s="525"/>
      <c r="J166" s="525"/>
      <c r="K166" s="525"/>
      <c r="L166" s="72"/>
      <c r="M166" s="72">
        <v>5.0000000000000001E-3</v>
      </c>
      <c r="N166" s="72"/>
      <c r="O166" s="37"/>
      <c r="P166" s="773" t="s">
        <v>1676</v>
      </c>
      <c r="Q166" s="490" t="s">
        <v>1677</v>
      </c>
      <c r="R166" s="254" t="s">
        <v>1674</v>
      </c>
      <c r="S166" s="734" t="s">
        <v>1675</v>
      </c>
      <c r="T166" s="521" t="s">
        <v>814</v>
      </c>
      <c r="U166" s="522">
        <f>BK166/1100000</f>
        <v>0</v>
      </c>
      <c r="V166" s="523" t="s">
        <v>832</v>
      </c>
      <c r="W166" s="524" t="e">
        <f>U166*0.75-(#REF!+W167)</f>
        <v>#REF!</v>
      </c>
      <c r="X166" s="299" t="s">
        <v>812</v>
      </c>
      <c r="Y166" s="547" t="s">
        <v>813</v>
      </c>
      <c r="Z166" s="774" t="s">
        <v>1678</v>
      </c>
      <c r="AA166" s="774"/>
      <c r="AB166" s="735" t="s">
        <v>1680</v>
      </c>
      <c r="AC166" s="736">
        <v>195177000</v>
      </c>
      <c r="AD166" s="737" t="s">
        <v>1682</v>
      </c>
      <c r="AE166" s="738">
        <f>SUM(AF166:BB166)</f>
        <v>33000000</v>
      </c>
      <c r="AF166" s="739" t="s">
        <v>1078</v>
      </c>
      <c r="AG166" s="740">
        <v>23000000</v>
      </c>
      <c r="AH166" s="740" t="s">
        <v>1079</v>
      </c>
      <c r="AI166" s="740">
        <v>10000000</v>
      </c>
      <c r="AJ166" s="740" t="s">
        <v>1080</v>
      </c>
      <c r="AK166" s="740"/>
      <c r="AL166" s="740" t="s">
        <v>1080</v>
      </c>
      <c r="AM166" s="740"/>
      <c r="AN166" s="740" t="s">
        <v>1080</v>
      </c>
      <c r="AO166" s="740"/>
      <c r="AP166" s="740"/>
      <c r="AQ166" s="740"/>
      <c r="AR166" s="740"/>
      <c r="AS166" s="740"/>
      <c r="AT166" s="740" t="s">
        <v>1825</v>
      </c>
      <c r="AU166" s="740"/>
      <c r="AV166" s="740"/>
      <c r="AW166" s="740"/>
      <c r="AX166" s="740"/>
      <c r="AY166" s="740"/>
      <c r="AZ166" s="740"/>
      <c r="BA166" s="740"/>
      <c r="BB166" s="740"/>
      <c r="BD166" s="742" t="s">
        <v>1683</v>
      </c>
    </row>
    <row r="167" spans="1:61" s="741" customFormat="1" ht="22.5" customHeight="1" thickBot="1">
      <c r="A167" s="495"/>
      <c r="B167" s="558"/>
      <c r="C167" s="559"/>
      <c r="D167" s="560"/>
      <c r="E167" s="560"/>
      <c r="F167" s="560"/>
      <c r="G167" s="560"/>
      <c r="H167" s="560"/>
      <c r="I167" s="560"/>
      <c r="J167" s="560"/>
      <c r="K167" s="560"/>
      <c r="L167" s="560"/>
      <c r="M167" s="560" t="s">
        <v>1686</v>
      </c>
      <c r="N167" s="256"/>
      <c r="O167" s="225"/>
      <c r="P167" s="776"/>
      <c r="Q167" s="495"/>
      <c r="R167" s="255"/>
      <c r="S167" s="746" t="s">
        <v>1685</v>
      </c>
      <c r="T167" s="526" t="s">
        <v>817</v>
      </c>
      <c r="U167" s="527" t="e">
        <f>U166-#REF!</f>
        <v>#REF!</v>
      </c>
      <c r="V167" s="532" t="s">
        <v>818</v>
      </c>
      <c r="W167" s="529" t="e">
        <f>(#REF!+BM167)/1100000</f>
        <v>#REF!</v>
      </c>
      <c r="X167" s="533"/>
      <c r="Y167" s="742"/>
      <c r="Z167" s="775"/>
      <c r="AA167" s="775"/>
      <c r="AB167" s="735" t="s">
        <v>1688</v>
      </c>
      <c r="AC167" s="744" t="e">
        <f>AC166-#REF!</f>
        <v>#REF!</v>
      </c>
      <c r="AD167" s="737" t="s">
        <v>1690</v>
      </c>
      <c r="AE167" s="738"/>
      <c r="AF167" s="747"/>
      <c r="AG167" s="747"/>
      <c r="AH167" s="747"/>
      <c r="AI167" s="747"/>
      <c r="AJ167" s="747"/>
      <c r="AK167" s="747"/>
      <c r="AL167" s="747"/>
      <c r="AM167" s="747"/>
      <c r="AN167" s="747"/>
      <c r="AO167" s="747"/>
      <c r="AP167" s="747"/>
      <c r="AQ167" s="747"/>
      <c r="AR167" s="747"/>
      <c r="AS167" s="747"/>
      <c r="AT167" s="747"/>
      <c r="AU167" s="747"/>
      <c r="AV167" s="747"/>
      <c r="AW167" s="747"/>
      <c r="AX167" s="747"/>
      <c r="AY167" s="747"/>
      <c r="AZ167" s="747"/>
      <c r="BA167" s="747"/>
      <c r="BB167" s="747"/>
      <c r="BC167" s="745"/>
      <c r="BD167" s="742"/>
      <c r="BE167" s="745"/>
      <c r="BF167" s="745"/>
      <c r="BG167" s="745"/>
      <c r="BH167" s="745"/>
      <c r="BI167" s="745"/>
    </row>
    <row r="168" spans="1:61" s="741" customFormat="1" ht="22.5" customHeight="1">
      <c r="A168" s="490" t="s">
        <v>1691</v>
      </c>
      <c r="B168" s="554">
        <v>0.95</v>
      </c>
      <c r="C168" s="555">
        <f>B168+D168+E168+F168+G168+H168+I168+J168+K168+L168+M168+N168+O168</f>
        <v>0.99</v>
      </c>
      <c r="D168" s="525"/>
      <c r="E168" s="525"/>
      <c r="F168" s="525"/>
      <c r="G168" s="525"/>
      <c r="H168" s="72"/>
      <c r="I168" s="525"/>
      <c r="J168" s="525"/>
      <c r="K168" s="525">
        <v>0.01</v>
      </c>
      <c r="L168" s="72">
        <v>0.01</v>
      </c>
      <c r="M168" s="72">
        <v>0.01</v>
      </c>
      <c r="N168" s="72">
        <v>0.01</v>
      </c>
      <c r="O168" s="37"/>
      <c r="P168" s="777" t="s">
        <v>1694</v>
      </c>
      <c r="Q168" s="490" t="s">
        <v>1695</v>
      </c>
      <c r="R168" s="254" t="s">
        <v>1692</v>
      </c>
      <c r="S168" s="67" t="s">
        <v>1693</v>
      </c>
      <c r="T168" s="521" t="s">
        <v>814</v>
      </c>
      <c r="U168" s="522">
        <f>BK168/1100000</f>
        <v>0</v>
      </c>
      <c r="V168" s="523" t="s">
        <v>832</v>
      </c>
      <c r="W168" s="524" t="e">
        <f>U168*0.75-(#REF!+W169)</f>
        <v>#REF!</v>
      </c>
      <c r="X168" s="299" t="s">
        <v>812</v>
      </c>
      <c r="Y168" s="547" t="s">
        <v>813</v>
      </c>
      <c r="Z168" s="774" t="s">
        <v>1696</v>
      </c>
      <c r="AA168" s="774"/>
      <c r="AB168" s="735" t="s">
        <v>1680</v>
      </c>
      <c r="AC168" s="736">
        <f>86430000</f>
        <v>86430000</v>
      </c>
      <c r="AD168" s="749" t="s">
        <v>1682</v>
      </c>
      <c r="AE168" s="738">
        <f>SUM(AF168:BB168)</f>
        <v>0</v>
      </c>
      <c r="AF168" s="739" t="s">
        <v>1078</v>
      </c>
      <c r="AG168" s="740"/>
      <c r="AH168" s="740" t="s">
        <v>1079</v>
      </c>
      <c r="AI168" s="740"/>
      <c r="AJ168" s="740" t="s">
        <v>1080</v>
      </c>
      <c r="AK168" s="740"/>
      <c r="AL168" s="740" t="s">
        <v>1080</v>
      </c>
      <c r="AM168" s="740"/>
      <c r="AN168" s="740" t="s">
        <v>1080</v>
      </c>
      <c r="AO168" s="740"/>
      <c r="AP168" s="740"/>
      <c r="AQ168" s="740"/>
      <c r="AR168" s="740"/>
      <c r="AS168" s="740"/>
      <c r="AT168" s="740"/>
      <c r="AU168" s="740"/>
      <c r="AV168" s="740"/>
      <c r="AW168" s="740"/>
      <c r="AX168" s="740"/>
      <c r="AY168" s="740"/>
      <c r="AZ168" s="740"/>
      <c r="BA168" s="740"/>
      <c r="BB168" s="740"/>
      <c r="BD168" s="742" t="s">
        <v>1697</v>
      </c>
    </row>
    <row r="169" spans="1:61" s="741" customFormat="1" ht="22.5" customHeight="1" thickBot="1">
      <c r="A169" s="495"/>
      <c r="B169" s="558"/>
      <c r="C169" s="559"/>
      <c r="D169" s="560"/>
      <c r="E169" s="560"/>
      <c r="F169" s="560"/>
      <c r="G169" s="560"/>
      <c r="H169" s="560"/>
      <c r="I169" s="560"/>
      <c r="J169" s="560"/>
      <c r="K169" s="560"/>
      <c r="L169" s="560" t="s">
        <v>1699</v>
      </c>
      <c r="M169" s="560" t="s">
        <v>1699</v>
      </c>
      <c r="N169" s="560" t="s">
        <v>1700</v>
      </c>
      <c r="O169" s="225"/>
      <c r="P169" s="778"/>
      <c r="Q169" s="495"/>
      <c r="R169" s="255"/>
      <c r="S169" s="74" t="s">
        <v>1698</v>
      </c>
      <c r="T169" s="526" t="s">
        <v>817</v>
      </c>
      <c r="U169" s="527" t="e">
        <f>U168-#REF!</f>
        <v>#REF!</v>
      </c>
      <c r="V169" s="532" t="s">
        <v>818</v>
      </c>
      <c r="W169" s="529" t="e">
        <f>(#REF!+BM169)/1100000</f>
        <v>#REF!</v>
      </c>
      <c r="X169" s="533"/>
      <c r="Y169" s="742"/>
      <c r="Z169" s="775"/>
      <c r="AA169" s="775"/>
      <c r="AB169" s="735" t="s">
        <v>1688</v>
      </c>
      <c r="AC169" s="744" t="e">
        <f>AC168-#REF!</f>
        <v>#REF!</v>
      </c>
      <c r="AD169" s="749" t="s">
        <v>1690</v>
      </c>
      <c r="AE169" s="738"/>
      <c r="AF169" s="747"/>
      <c r="AG169" s="747"/>
      <c r="AH169" s="747"/>
      <c r="AI169" s="747"/>
      <c r="AJ169" s="747"/>
      <c r="AK169" s="747"/>
      <c r="AL169" s="747"/>
      <c r="AM169" s="747"/>
      <c r="AN169" s="747"/>
      <c r="AO169" s="747"/>
      <c r="AP169" s="747"/>
      <c r="AQ169" s="747"/>
      <c r="AR169" s="747"/>
      <c r="AS169" s="747"/>
      <c r="AT169" s="747"/>
      <c r="AU169" s="747"/>
      <c r="AV169" s="747"/>
      <c r="AW169" s="747"/>
      <c r="AX169" s="747"/>
      <c r="AY169" s="747"/>
      <c r="AZ169" s="747"/>
      <c r="BA169" s="747"/>
      <c r="BB169" s="747"/>
      <c r="BD169" s="742" t="s">
        <v>1701</v>
      </c>
    </row>
    <row r="170" spans="1:61" s="741" customFormat="1" ht="22.5" customHeight="1">
      <c r="A170" s="563" t="s">
        <v>1702</v>
      </c>
      <c r="B170" s="554">
        <v>0.98</v>
      </c>
      <c r="C170" s="555">
        <f>B170+D170+E170+F170+G170+H170+I170+J170+K170+L170+M170+N170+O170</f>
        <v>0.99</v>
      </c>
      <c r="D170" s="525"/>
      <c r="E170" s="525"/>
      <c r="F170" s="525"/>
      <c r="G170" s="525"/>
      <c r="H170" s="72"/>
      <c r="I170" s="525"/>
      <c r="J170" s="525"/>
      <c r="K170" s="525"/>
      <c r="L170" s="72"/>
      <c r="M170" s="72"/>
      <c r="N170" s="72">
        <v>0.01</v>
      </c>
      <c r="O170" s="37"/>
      <c r="P170" s="777" t="s">
        <v>1694</v>
      </c>
      <c r="Q170" s="490" t="s">
        <v>1705</v>
      </c>
      <c r="R170" s="254" t="s">
        <v>1703</v>
      </c>
      <c r="S170" s="67" t="s">
        <v>1704</v>
      </c>
      <c r="T170" s="521" t="s">
        <v>814</v>
      </c>
      <c r="U170" s="522">
        <f>BK170/1100000</f>
        <v>0</v>
      </c>
      <c r="V170" s="523" t="s">
        <v>832</v>
      </c>
      <c r="W170" s="524" t="e">
        <f>U170*0.75-(#REF!+W171)</f>
        <v>#REF!</v>
      </c>
      <c r="X170" s="299" t="s">
        <v>812</v>
      </c>
      <c r="Y170" s="547" t="s">
        <v>813</v>
      </c>
      <c r="Z170" s="774" t="s">
        <v>1706</v>
      </c>
      <c r="AA170" s="774"/>
      <c r="AB170" s="735" t="s">
        <v>1680</v>
      </c>
      <c r="AC170" s="736">
        <f>683130000</f>
        <v>683130000</v>
      </c>
      <c r="AD170" s="749" t="s">
        <v>1681</v>
      </c>
      <c r="AE170" s="738">
        <f>SUM(AF170:BB170)</f>
        <v>0</v>
      </c>
      <c r="AF170" s="739" t="s">
        <v>1104</v>
      </c>
      <c r="AG170" s="740"/>
      <c r="AH170" s="740" t="s">
        <v>1105</v>
      </c>
      <c r="AI170" s="740"/>
      <c r="AJ170" s="740" t="s">
        <v>207</v>
      </c>
      <c r="AK170" s="740"/>
      <c r="AL170" s="740" t="s">
        <v>207</v>
      </c>
      <c r="AM170" s="740"/>
      <c r="AN170" s="740" t="s">
        <v>207</v>
      </c>
      <c r="AO170" s="740"/>
      <c r="AP170" s="740"/>
      <c r="AQ170" s="740"/>
      <c r="AR170" s="740"/>
      <c r="AS170" s="740"/>
      <c r="AT170" s="740"/>
      <c r="AU170" s="740"/>
      <c r="AV170" s="740"/>
      <c r="AW170" s="740"/>
      <c r="AX170" s="740"/>
      <c r="AY170" s="740"/>
      <c r="AZ170" s="740"/>
      <c r="BA170" s="740"/>
      <c r="BB170" s="740"/>
      <c r="BD170" s="742" t="s">
        <v>1707</v>
      </c>
    </row>
    <row r="171" spans="1:61" s="741" customFormat="1" ht="22.5" customHeight="1" thickBot="1">
      <c r="A171" s="564"/>
      <c r="B171" s="558"/>
      <c r="C171" s="559"/>
      <c r="D171" s="560"/>
      <c r="E171" s="560"/>
      <c r="F171" s="560"/>
      <c r="G171" s="560"/>
      <c r="H171" s="560"/>
      <c r="I171" s="560"/>
      <c r="J171" s="560"/>
      <c r="K171" s="560" t="s">
        <v>1345</v>
      </c>
      <c r="L171" s="560" t="s">
        <v>1345</v>
      </c>
      <c r="M171" s="560" t="s">
        <v>1345</v>
      </c>
      <c r="N171" s="560" t="s">
        <v>1345</v>
      </c>
      <c r="O171" s="225"/>
      <c r="P171" s="778"/>
      <c r="Q171" s="495"/>
      <c r="R171" s="255"/>
      <c r="S171" s="74" t="s">
        <v>1708</v>
      </c>
      <c r="T171" s="526" t="s">
        <v>196</v>
      </c>
      <c r="U171" s="527" t="e">
        <f>U170-#REF!</f>
        <v>#REF!</v>
      </c>
      <c r="V171" s="532" t="s">
        <v>15</v>
      </c>
      <c r="W171" s="529">
        <v>223.1</v>
      </c>
      <c r="X171" s="533"/>
      <c r="Y171" s="742"/>
      <c r="Z171" s="775"/>
      <c r="AA171" s="775"/>
      <c r="AB171" s="735" t="s">
        <v>1687</v>
      </c>
      <c r="AC171" s="744" t="e">
        <f>AC170-#REF!</f>
        <v>#REF!</v>
      </c>
      <c r="AD171" s="749" t="s">
        <v>1689</v>
      </c>
      <c r="AE171" s="738"/>
      <c r="AF171" s="751"/>
      <c r="AG171" s="740"/>
      <c r="AH171" s="747"/>
      <c r="AI171" s="740"/>
      <c r="AJ171" s="747"/>
      <c r="AK171" s="740"/>
      <c r="AL171" s="747"/>
      <c r="AM171" s="740"/>
      <c r="AN171" s="747"/>
      <c r="AO171" s="740"/>
      <c r="AP171" s="747"/>
      <c r="AQ171" s="747"/>
      <c r="AR171" s="747"/>
      <c r="AS171" s="747"/>
      <c r="AT171" s="747"/>
      <c r="AU171" s="747"/>
      <c r="AV171" s="747"/>
      <c r="AW171" s="747"/>
      <c r="AX171" s="747"/>
      <c r="AY171" s="747"/>
      <c r="AZ171" s="747"/>
      <c r="BA171" s="747"/>
      <c r="BB171" s="747"/>
      <c r="BD171" s="742"/>
    </row>
    <row r="172" spans="1:61" s="741" customFormat="1" ht="22.5" customHeight="1">
      <c r="A172" s="490" t="s">
        <v>1709</v>
      </c>
      <c r="B172" s="554">
        <v>0.96</v>
      </c>
      <c r="C172" s="555">
        <f>B172+D172+E172+F172+G172+H172+I172+J172+K172+L172+M172+N172+O172</f>
        <v>1</v>
      </c>
      <c r="D172" s="525"/>
      <c r="E172" s="525"/>
      <c r="F172" s="525"/>
      <c r="G172" s="525">
        <v>0.01</v>
      </c>
      <c r="H172" s="72">
        <v>0.01</v>
      </c>
      <c r="I172" s="525">
        <v>0.01</v>
      </c>
      <c r="J172" s="525">
        <v>0.01</v>
      </c>
      <c r="K172" s="525"/>
      <c r="L172" s="72"/>
      <c r="M172" s="72"/>
      <c r="N172" s="72"/>
      <c r="O172" s="37"/>
      <c r="P172" s="773" t="s">
        <v>1676</v>
      </c>
      <c r="Q172" s="490" t="s">
        <v>1712</v>
      </c>
      <c r="R172" s="254" t="s">
        <v>1710</v>
      </c>
      <c r="S172" s="67" t="s">
        <v>1711</v>
      </c>
      <c r="T172" s="521" t="s">
        <v>89</v>
      </c>
      <c r="U172" s="522">
        <f>BK172/1100000</f>
        <v>0</v>
      </c>
      <c r="V172" s="523" t="s">
        <v>832</v>
      </c>
      <c r="W172" s="524" t="e">
        <f>U172*0.75-(#REF!+W173)</f>
        <v>#REF!</v>
      </c>
      <c r="X172" s="299" t="s">
        <v>812</v>
      </c>
      <c r="Y172" s="547" t="s">
        <v>813</v>
      </c>
      <c r="Z172" s="774" t="s">
        <v>1713</v>
      </c>
      <c r="AA172" s="774"/>
      <c r="AB172" s="735" t="s">
        <v>1680</v>
      </c>
      <c r="AC172" s="736">
        <v>176736000</v>
      </c>
      <c r="AD172" s="749" t="s">
        <v>1682</v>
      </c>
      <c r="AE172" s="738">
        <f>SUM(AF172:BB172)</f>
        <v>0</v>
      </c>
      <c r="AF172" s="739" t="s">
        <v>1078</v>
      </c>
      <c r="AG172" s="740"/>
      <c r="AH172" s="740" t="s">
        <v>1079</v>
      </c>
      <c r="AI172" s="740"/>
      <c r="AJ172" s="740" t="s">
        <v>1080</v>
      </c>
      <c r="AK172" s="740"/>
      <c r="AL172" s="740" t="s">
        <v>1080</v>
      </c>
      <c r="AM172" s="740"/>
      <c r="AN172" s="740" t="s">
        <v>1080</v>
      </c>
      <c r="AO172" s="740"/>
      <c r="AP172" s="740"/>
      <c r="AQ172" s="740"/>
      <c r="AR172" s="740"/>
      <c r="AS172" s="740"/>
      <c r="AT172" s="740"/>
      <c r="AU172" s="740"/>
      <c r="AV172" s="740"/>
      <c r="AW172" s="740"/>
      <c r="AX172" s="740"/>
      <c r="AY172" s="740"/>
      <c r="AZ172" s="740"/>
      <c r="BA172" s="740"/>
      <c r="BB172" s="740"/>
      <c r="BD172" s="742" t="s">
        <v>1714</v>
      </c>
    </row>
    <row r="173" spans="1:61" s="741" customFormat="1" ht="22.5" customHeight="1" thickBot="1">
      <c r="A173" s="495"/>
      <c r="B173" s="558"/>
      <c r="C173" s="559"/>
      <c r="D173" s="560"/>
      <c r="E173" s="560"/>
      <c r="F173" s="560"/>
      <c r="G173" s="560" t="s">
        <v>1715</v>
      </c>
      <c r="H173" s="560" t="s">
        <v>1716</v>
      </c>
      <c r="I173" s="560" t="s">
        <v>1717</v>
      </c>
      <c r="J173" s="560" t="s">
        <v>1717</v>
      </c>
      <c r="K173" s="560"/>
      <c r="L173" s="560"/>
      <c r="M173" s="560"/>
      <c r="N173" s="256"/>
      <c r="O173" s="225"/>
      <c r="P173" s="776"/>
      <c r="Q173" s="495"/>
      <c r="R173" s="255"/>
      <c r="S173" s="74" t="s">
        <v>1698</v>
      </c>
      <c r="T173" s="526" t="s">
        <v>817</v>
      </c>
      <c r="U173" s="527" t="e">
        <f>U172-#REF!</f>
        <v>#REF!</v>
      </c>
      <c r="V173" s="532" t="s">
        <v>818</v>
      </c>
      <c r="W173" s="529" t="e">
        <f>(#REF!+BM173)/1100000</f>
        <v>#REF!</v>
      </c>
      <c r="X173" s="533"/>
      <c r="Y173" s="742"/>
      <c r="Z173" s="775"/>
      <c r="AA173" s="775"/>
      <c r="AB173" s="735" t="s">
        <v>1688</v>
      </c>
      <c r="AC173" s="744" t="e">
        <f>AC172-#REF!</f>
        <v>#REF!</v>
      </c>
      <c r="AD173" s="749" t="s">
        <v>1690</v>
      </c>
      <c r="AE173" s="738"/>
      <c r="AF173" s="747"/>
      <c r="AG173" s="747"/>
      <c r="AH173" s="747"/>
      <c r="AI173" s="747"/>
      <c r="AJ173" s="747"/>
      <c r="AK173" s="747"/>
      <c r="AL173" s="747"/>
      <c r="AM173" s="747"/>
      <c r="AN173" s="747"/>
      <c r="AO173" s="747"/>
      <c r="AP173" s="747"/>
      <c r="AQ173" s="747"/>
      <c r="AR173" s="747"/>
      <c r="AS173" s="747"/>
      <c r="AT173" s="747"/>
      <c r="AU173" s="747"/>
      <c r="AV173" s="747"/>
      <c r="AW173" s="747"/>
      <c r="AX173" s="747"/>
      <c r="AY173" s="747"/>
      <c r="AZ173" s="747"/>
      <c r="BA173" s="747"/>
      <c r="BB173" s="747"/>
      <c r="BD173" s="742" t="s">
        <v>1718</v>
      </c>
    </row>
    <row r="174" spans="1:61" s="741" customFormat="1" ht="22.5" customHeight="1">
      <c r="A174" s="490" t="s">
        <v>1719</v>
      </c>
      <c r="B174" s="554">
        <v>0.99</v>
      </c>
      <c r="C174" s="555">
        <f>B174+D174+E174+F174+G174+H174+I174+J174+K174+L174+M174+N174+O174</f>
        <v>1</v>
      </c>
      <c r="D174" s="525"/>
      <c r="E174" s="525"/>
      <c r="F174" s="525"/>
      <c r="G174" s="525"/>
      <c r="H174" s="72">
        <v>0.01</v>
      </c>
      <c r="I174" s="525"/>
      <c r="J174" s="525"/>
      <c r="K174" s="525"/>
      <c r="L174" s="72"/>
      <c r="M174" s="72"/>
      <c r="N174" s="72"/>
      <c r="O174" s="37"/>
      <c r="P174" s="773" t="s">
        <v>1676</v>
      </c>
      <c r="Q174" s="490" t="s">
        <v>1722</v>
      </c>
      <c r="R174" s="254" t="s">
        <v>1720</v>
      </c>
      <c r="S174" s="67" t="s">
        <v>1721</v>
      </c>
      <c r="T174" s="521" t="s">
        <v>814</v>
      </c>
      <c r="U174" s="522">
        <f>BK174/1100000</f>
        <v>0</v>
      </c>
      <c r="V174" s="523" t="s">
        <v>832</v>
      </c>
      <c r="W174" s="524" t="e">
        <f>U174*0.75-(#REF!+W175)</f>
        <v>#REF!</v>
      </c>
      <c r="X174" s="299" t="s">
        <v>812</v>
      </c>
      <c r="Y174" s="547" t="s">
        <v>813</v>
      </c>
      <c r="Z174" s="774" t="s">
        <v>1147</v>
      </c>
      <c r="AA174" s="774"/>
      <c r="AB174" s="735" t="s">
        <v>1680</v>
      </c>
      <c r="AC174" s="736">
        <f>265450000</f>
        <v>265450000</v>
      </c>
      <c r="AD174" s="749" t="s">
        <v>1681</v>
      </c>
      <c r="AE174" s="738">
        <f>SUM(AF174:BB174)</f>
        <v>0</v>
      </c>
      <c r="AF174" s="739" t="s">
        <v>1104</v>
      </c>
      <c r="AG174" s="740"/>
      <c r="AH174" s="740" t="s">
        <v>1105</v>
      </c>
      <c r="AI174" s="740"/>
      <c r="AJ174" s="740" t="s">
        <v>207</v>
      </c>
      <c r="AK174" s="740"/>
      <c r="AL174" s="740" t="s">
        <v>207</v>
      </c>
      <c r="AM174" s="740"/>
      <c r="AN174" s="740" t="s">
        <v>207</v>
      </c>
      <c r="AO174" s="740"/>
      <c r="AP174" s="740"/>
      <c r="AQ174" s="740"/>
      <c r="AR174" s="740"/>
      <c r="AS174" s="740"/>
      <c r="AT174" s="740"/>
      <c r="AU174" s="740"/>
      <c r="AV174" s="740"/>
      <c r="AW174" s="740"/>
      <c r="AX174" s="740"/>
      <c r="AY174" s="740"/>
      <c r="AZ174" s="740"/>
      <c r="BA174" s="740"/>
      <c r="BB174" s="740"/>
      <c r="BD174" s="742" t="s">
        <v>1723</v>
      </c>
    </row>
    <row r="175" spans="1:61" s="741" customFormat="1" ht="22.5" customHeight="1" thickBot="1">
      <c r="A175" s="495"/>
      <c r="B175" s="558"/>
      <c r="C175" s="559"/>
      <c r="D175" s="560"/>
      <c r="E175" s="560"/>
      <c r="F175" s="560"/>
      <c r="G175" s="560"/>
      <c r="H175" s="560" t="s">
        <v>102</v>
      </c>
      <c r="I175" s="560"/>
      <c r="J175" s="560"/>
      <c r="K175" s="560"/>
      <c r="L175" s="560"/>
      <c r="M175" s="560"/>
      <c r="N175" s="256"/>
      <c r="O175" s="225"/>
      <c r="P175" s="776"/>
      <c r="Q175" s="495"/>
      <c r="R175" s="255"/>
      <c r="S175" s="74" t="s">
        <v>1684</v>
      </c>
      <c r="T175" s="526" t="s">
        <v>196</v>
      </c>
      <c r="U175" s="527" t="e">
        <f>U174-#REF!</f>
        <v>#REF!</v>
      </c>
      <c r="V175" s="532" t="s">
        <v>15</v>
      </c>
      <c r="W175" s="529" t="e">
        <f>(#REF!+BM175)/1100000</f>
        <v>#REF!</v>
      </c>
      <c r="X175" s="533"/>
      <c r="Y175" s="742"/>
      <c r="Z175" s="775"/>
      <c r="AA175" s="775"/>
      <c r="AB175" s="735" t="s">
        <v>1687</v>
      </c>
      <c r="AC175" s="744" t="e">
        <f>AC174-#REF!</f>
        <v>#REF!</v>
      </c>
      <c r="AD175" s="749" t="s">
        <v>1689</v>
      </c>
      <c r="AE175" s="738"/>
      <c r="AF175" s="747"/>
      <c r="AG175" s="747"/>
      <c r="AH175" s="747"/>
      <c r="AI175" s="747"/>
      <c r="AJ175" s="747"/>
      <c r="AK175" s="747"/>
      <c r="AL175" s="747"/>
      <c r="AM175" s="747"/>
      <c r="AN175" s="747"/>
      <c r="AO175" s="747"/>
      <c r="AP175" s="747"/>
      <c r="AQ175" s="747"/>
      <c r="AR175" s="747"/>
      <c r="AS175" s="747"/>
      <c r="AT175" s="747"/>
      <c r="AU175" s="747"/>
      <c r="AV175" s="747"/>
      <c r="AW175" s="747"/>
      <c r="AX175" s="747"/>
      <c r="AY175" s="747"/>
      <c r="AZ175" s="747"/>
      <c r="BA175" s="747"/>
      <c r="BB175" s="747"/>
      <c r="BD175" s="742" t="s">
        <v>1724</v>
      </c>
    </row>
    <row r="176" spans="1:61" s="741" customFormat="1" ht="22.5" customHeight="1">
      <c r="A176" s="490" t="s">
        <v>1725</v>
      </c>
      <c r="B176" s="554">
        <v>0.98</v>
      </c>
      <c r="C176" s="555">
        <f>B176+D176+E176+F176+G176+H176+I176+J176+K176+L176+M176+N176+O176</f>
        <v>1</v>
      </c>
      <c r="D176" s="525"/>
      <c r="E176" s="525"/>
      <c r="F176" s="525"/>
      <c r="G176" s="525"/>
      <c r="H176" s="72"/>
      <c r="I176" s="525"/>
      <c r="J176" s="525">
        <v>0.01</v>
      </c>
      <c r="K176" s="525">
        <v>0.01</v>
      </c>
      <c r="L176" s="72"/>
      <c r="M176" s="72"/>
      <c r="N176" s="72"/>
      <c r="O176" s="37"/>
      <c r="P176" s="773" t="s">
        <v>1728</v>
      </c>
      <c r="Q176" s="490" t="s">
        <v>1729</v>
      </c>
      <c r="R176" s="254" t="s">
        <v>1726</v>
      </c>
      <c r="S176" s="67" t="s">
        <v>1727</v>
      </c>
      <c r="T176" s="521" t="s">
        <v>89</v>
      </c>
      <c r="U176" s="522">
        <f>BK176/1100000</f>
        <v>0</v>
      </c>
      <c r="V176" s="523" t="s">
        <v>7</v>
      </c>
      <c r="W176" s="524" t="e">
        <f>U176*0.75-(#REF!+W177)</f>
        <v>#REF!</v>
      </c>
      <c r="X176" s="299" t="s">
        <v>90</v>
      </c>
      <c r="Y176" s="547" t="s">
        <v>34</v>
      </c>
      <c r="Z176" s="774" t="s">
        <v>84</v>
      </c>
      <c r="AA176" s="774"/>
      <c r="AB176" s="735" t="s">
        <v>1679</v>
      </c>
      <c r="AC176" s="736">
        <v>185786000</v>
      </c>
      <c r="AD176" s="749" t="s">
        <v>1681</v>
      </c>
      <c r="AE176" s="738">
        <f>SUM(AF176:BB176)</f>
        <v>19000000</v>
      </c>
      <c r="AF176" s="739" t="s">
        <v>1104</v>
      </c>
      <c r="AG176" s="740">
        <v>19000000</v>
      </c>
      <c r="AH176" s="740" t="s">
        <v>1105</v>
      </c>
      <c r="AI176" s="740"/>
      <c r="AJ176" s="740" t="s">
        <v>207</v>
      </c>
      <c r="AK176" s="740"/>
      <c r="AL176" s="740" t="s">
        <v>207</v>
      </c>
      <c r="AM176" s="740"/>
      <c r="AN176" s="740" t="s">
        <v>207</v>
      </c>
      <c r="AO176" s="740"/>
      <c r="AP176" s="740"/>
      <c r="AQ176" s="740"/>
      <c r="AR176" s="740"/>
      <c r="AS176" s="740"/>
      <c r="AT176" s="740"/>
      <c r="AU176" s="740"/>
      <c r="AV176" s="740"/>
      <c r="AW176" s="740"/>
      <c r="AX176" s="740"/>
      <c r="AY176" s="740"/>
      <c r="AZ176" s="740"/>
      <c r="BA176" s="740"/>
      <c r="BB176" s="740"/>
      <c r="BD176" s="742" t="s">
        <v>1730</v>
      </c>
    </row>
    <row r="177" spans="1:58" s="741" customFormat="1" ht="22.5" customHeight="1" thickBot="1">
      <c r="A177" s="495"/>
      <c r="B177" s="558"/>
      <c r="C177" s="559"/>
      <c r="D177" s="560"/>
      <c r="E177" s="560"/>
      <c r="F177" s="560"/>
      <c r="G177" s="560"/>
      <c r="H177" s="560"/>
      <c r="I177" s="560"/>
      <c r="J177" s="560" t="s">
        <v>1731</v>
      </c>
      <c r="K177" s="560"/>
      <c r="L177" s="560"/>
      <c r="M177" s="560"/>
      <c r="N177" s="256"/>
      <c r="O177" s="225"/>
      <c r="P177" s="776"/>
      <c r="Q177" s="495"/>
      <c r="R177" s="255"/>
      <c r="S177" s="74" t="s">
        <v>1708</v>
      </c>
      <c r="T177" s="526" t="s">
        <v>196</v>
      </c>
      <c r="U177" s="527" t="e">
        <f>U176-#REF!</f>
        <v>#REF!</v>
      </c>
      <c r="V177" s="532" t="s">
        <v>15</v>
      </c>
      <c r="W177" s="529" t="e">
        <f>(#REF!+BM177)/1100000</f>
        <v>#REF!</v>
      </c>
      <c r="X177" s="533"/>
      <c r="Y177" s="742"/>
      <c r="Z177" s="775"/>
      <c r="AA177" s="775"/>
      <c r="AB177" s="735" t="s">
        <v>1687</v>
      </c>
      <c r="AC177" s="744" t="e">
        <f>AC176-#REF!</f>
        <v>#REF!</v>
      </c>
      <c r="AD177" s="749" t="s">
        <v>1689</v>
      </c>
      <c r="AE177" s="752"/>
      <c r="AF177" s="747"/>
      <c r="AG177" s="747"/>
      <c r="AH177" s="747"/>
      <c r="AI177" s="747"/>
      <c r="AJ177" s="747"/>
      <c r="AK177" s="747"/>
      <c r="AL177" s="747"/>
      <c r="AM177" s="747"/>
      <c r="AN177" s="747"/>
      <c r="AO177" s="747"/>
      <c r="AP177" s="747"/>
      <c r="AQ177" s="747"/>
      <c r="AR177" s="747"/>
      <c r="AS177" s="747"/>
      <c r="AT177" s="747"/>
      <c r="AU177" s="747"/>
      <c r="AV177" s="747"/>
      <c r="AW177" s="747"/>
      <c r="AX177" s="747"/>
      <c r="AY177" s="747"/>
      <c r="AZ177" s="747"/>
      <c r="BA177" s="747"/>
      <c r="BB177" s="747"/>
      <c r="BD177" s="742" t="s">
        <v>1732</v>
      </c>
    </row>
    <row r="178" spans="1:58" s="741" customFormat="1" ht="22.5" customHeight="1">
      <c r="A178" s="490" t="s">
        <v>1593</v>
      </c>
      <c r="B178" s="554">
        <v>0.48</v>
      </c>
      <c r="C178" s="555">
        <f>B178+D178+E178+F178+G178+H178+I178+J178+K178+L178+M178+N178+O178</f>
        <v>0.93000000000000038</v>
      </c>
      <c r="D178" s="525">
        <v>7.0000000000000007E-2</v>
      </c>
      <c r="E178" s="525">
        <v>0.05</v>
      </c>
      <c r="F178" s="525">
        <v>0.05</v>
      </c>
      <c r="G178" s="525">
        <v>0.05</v>
      </c>
      <c r="H178" s="72">
        <v>0.05</v>
      </c>
      <c r="I178" s="525">
        <v>0.05</v>
      </c>
      <c r="J178" s="525">
        <v>0.05</v>
      </c>
      <c r="K178" s="525">
        <v>0.05</v>
      </c>
      <c r="L178" s="72">
        <v>0.01</v>
      </c>
      <c r="M178" s="72">
        <v>0.01</v>
      </c>
      <c r="N178" s="72">
        <v>0.01</v>
      </c>
      <c r="O178" s="37"/>
      <c r="P178" s="490"/>
      <c r="Q178" s="490" t="s">
        <v>1735</v>
      </c>
      <c r="R178" s="553" t="s">
        <v>1733</v>
      </c>
      <c r="S178" s="67" t="s">
        <v>1734</v>
      </c>
      <c r="T178" s="521" t="s">
        <v>89</v>
      </c>
      <c r="U178" s="753">
        <f t="shared" ref="U178" si="6">BK178/1100000</f>
        <v>0</v>
      </c>
      <c r="V178" s="523" t="s">
        <v>7</v>
      </c>
      <c r="W178" s="524" t="e">
        <f>U178*0.75-(#REF!+W179)</f>
        <v>#REF!</v>
      </c>
      <c r="X178" s="299" t="s">
        <v>90</v>
      </c>
      <c r="Y178" s="547" t="s">
        <v>34</v>
      </c>
      <c r="Z178" s="774" t="s">
        <v>112</v>
      </c>
      <c r="AA178" s="774"/>
      <c r="AB178" s="735" t="s">
        <v>1679</v>
      </c>
      <c r="AC178" s="744">
        <f>(BF178*1.1)*0.3</f>
        <v>1650000000</v>
      </c>
      <c r="AD178" s="749" t="s">
        <v>1681</v>
      </c>
      <c r="AE178" s="738">
        <f>SUM(AF178:BB178)</f>
        <v>10000000</v>
      </c>
      <c r="AF178" s="739" t="s">
        <v>1736</v>
      </c>
      <c r="AG178" s="740">
        <v>10000000</v>
      </c>
      <c r="AH178" s="740" t="s">
        <v>1105</v>
      </c>
      <c r="AI178" s="740"/>
      <c r="AJ178" s="740" t="s">
        <v>207</v>
      </c>
      <c r="AK178" s="740"/>
      <c r="AL178" s="740" t="s">
        <v>207</v>
      </c>
      <c r="AM178" s="740"/>
      <c r="AN178" s="740" t="s">
        <v>207</v>
      </c>
      <c r="AO178" s="740"/>
      <c r="AP178" s="740"/>
      <c r="AQ178" s="740"/>
      <c r="AR178" s="740"/>
      <c r="AS178" s="740"/>
      <c r="AT178" s="740"/>
      <c r="AU178" s="740"/>
      <c r="AV178" s="740"/>
      <c r="AW178" s="740"/>
      <c r="AX178" s="740"/>
      <c r="AY178" s="740"/>
      <c r="AZ178" s="740"/>
      <c r="BA178" s="740"/>
      <c r="BB178" s="740"/>
      <c r="BD178" s="742" t="s">
        <v>1737</v>
      </c>
      <c r="BE178" s="741" t="s">
        <v>1738</v>
      </c>
      <c r="BF178" s="747">
        <v>5000000000</v>
      </c>
    </row>
    <row r="179" spans="1:58" s="741" customFormat="1" ht="22.5" customHeight="1" thickBot="1">
      <c r="A179" s="495"/>
      <c r="B179" s="558"/>
      <c r="C179" s="559"/>
      <c r="D179" s="560"/>
      <c r="E179" s="560"/>
      <c r="F179" s="560"/>
      <c r="G179" s="560" t="s">
        <v>1739</v>
      </c>
      <c r="H179" s="560"/>
      <c r="I179" s="560" t="s">
        <v>1739</v>
      </c>
      <c r="J179" s="560" t="s">
        <v>1739</v>
      </c>
      <c r="K179" s="560" t="s">
        <v>1739</v>
      </c>
      <c r="L179" s="560" t="s">
        <v>1739</v>
      </c>
      <c r="M179" s="560" t="s">
        <v>1739</v>
      </c>
      <c r="N179" s="560" t="s">
        <v>1739</v>
      </c>
      <c r="O179" s="225"/>
      <c r="P179" s="607"/>
      <c r="Q179" s="495"/>
      <c r="R179" s="557"/>
      <c r="S179" s="74" t="s">
        <v>1708</v>
      </c>
      <c r="T179" s="526" t="s">
        <v>196</v>
      </c>
      <c r="U179" s="527" t="e">
        <f>U178-#REF!</f>
        <v>#REF!</v>
      </c>
      <c r="V179" s="532" t="s">
        <v>15</v>
      </c>
      <c r="W179" s="529" t="e">
        <f>(#REF!+BM179)/1100000</f>
        <v>#REF!</v>
      </c>
      <c r="X179" s="533"/>
      <c r="Y179" s="742"/>
      <c r="Z179" s="775"/>
      <c r="AA179" s="775"/>
      <c r="AB179" s="735" t="s">
        <v>1687</v>
      </c>
      <c r="AC179" s="744" t="e">
        <f>AC178-#REF!</f>
        <v>#REF!</v>
      </c>
      <c r="AD179" s="749" t="s">
        <v>1689</v>
      </c>
      <c r="AE179" s="738"/>
      <c r="AF179" s="747"/>
      <c r="AG179" s="747"/>
      <c r="AH179" s="747"/>
      <c r="AI179" s="747"/>
      <c r="AJ179" s="747"/>
      <c r="AK179" s="747"/>
      <c r="AL179" s="747"/>
      <c r="AM179" s="747"/>
      <c r="AN179" s="747"/>
      <c r="AO179" s="747"/>
      <c r="AP179" s="747"/>
      <c r="AQ179" s="747"/>
      <c r="AR179" s="747"/>
      <c r="AS179" s="747"/>
      <c r="AT179" s="747"/>
      <c r="AU179" s="747"/>
      <c r="AV179" s="747"/>
      <c r="AW179" s="747"/>
      <c r="AX179" s="747"/>
      <c r="AY179" s="747"/>
      <c r="AZ179" s="747"/>
      <c r="BA179" s="747"/>
      <c r="BB179" s="747"/>
      <c r="BC179" s="745"/>
      <c r="BD179" s="742"/>
      <c r="BF179" s="754"/>
    </row>
    <row r="180" spans="1:58" s="741" customFormat="1" ht="22.5" customHeight="1">
      <c r="A180" s="490" t="s">
        <v>1015</v>
      </c>
      <c r="B180" s="554">
        <v>0.9</v>
      </c>
      <c r="C180" s="555">
        <f>B180+D180+E180+F180+G180+H180+I180+J180+K180+L180+M180+N180+O180</f>
        <v>0.98000000000000009</v>
      </c>
      <c r="D180" s="525"/>
      <c r="E180" s="525"/>
      <c r="F180" s="525"/>
      <c r="G180" s="525"/>
      <c r="H180" s="72">
        <v>0.04</v>
      </c>
      <c r="I180" s="525">
        <v>0.02</v>
      </c>
      <c r="J180" s="525">
        <v>0.02</v>
      </c>
      <c r="K180" s="525"/>
      <c r="L180" s="72"/>
      <c r="M180" s="72"/>
      <c r="N180" s="72"/>
      <c r="O180" s="37"/>
      <c r="P180" s="779"/>
      <c r="Q180" s="490" t="s">
        <v>1741</v>
      </c>
      <c r="R180" s="553" t="s">
        <v>1740</v>
      </c>
      <c r="S180" s="67" t="s">
        <v>76</v>
      </c>
      <c r="T180" s="521" t="s">
        <v>89</v>
      </c>
      <c r="U180" s="522">
        <f t="shared" ref="U180" si="7">BK180/1100000</f>
        <v>0</v>
      </c>
      <c r="V180" s="523" t="s">
        <v>7</v>
      </c>
      <c r="W180" s="524" t="e">
        <f>U180*0.75-(#REF!+W181)</f>
        <v>#REF!</v>
      </c>
      <c r="X180" s="299" t="s">
        <v>90</v>
      </c>
      <c r="Y180" s="547" t="s">
        <v>34</v>
      </c>
      <c r="Z180" s="774" t="s">
        <v>1742</v>
      </c>
      <c r="AA180" s="774"/>
      <c r="AB180" s="735" t="s">
        <v>1679</v>
      </c>
      <c r="AC180" s="744">
        <v>212871000</v>
      </c>
      <c r="AD180" s="749" t="s">
        <v>1681</v>
      </c>
      <c r="AE180" s="738">
        <f>SUM(AF180:BB180)</f>
        <v>66500000</v>
      </c>
      <c r="AF180" s="739" t="s">
        <v>1743</v>
      </c>
      <c r="AG180" s="740">
        <v>20000000</v>
      </c>
      <c r="AH180" s="740" t="s">
        <v>1744</v>
      </c>
      <c r="AI180" s="740">
        <v>31200000</v>
      </c>
      <c r="AJ180" s="740" t="s">
        <v>1745</v>
      </c>
      <c r="AK180" s="740">
        <v>3100000</v>
      </c>
      <c r="AL180" s="740" t="s">
        <v>797</v>
      </c>
      <c r="AM180" s="740">
        <v>4000000</v>
      </c>
      <c r="AN180" s="740" t="s">
        <v>36</v>
      </c>
      <c r="AO180" s="740">
        <v>8200000</v>
      </c>
      <c r="AP180" s="740"/>
      <c r="AQ180" s="740"/>
      <c r="AR180" s="740"/>
      <c r="AS180" s="740"/>
      <c r="AT180" s="740"/>
      <c r="AU180" s="740"/>
      <c r="AV180" s="740"/>
      <c r="AW180" s="740"/>
      <c r="AX180" s="740"/>
      <c r="AY180" s="740"/>
      <c r="AZ180" s="740"/>
      <c r="BA180" s="740"/>
      <c r="BB180" s="740"/>
      <c r="BD180" s="742" t="s">
        <v>1746</v>
      </c>
      <c r="BE180" s="741" t="s">
        <v>1738</v>
      </c>
      <c r="BF180" s="747">
        <v>865700000</v>
      </c>
    </row>
    <row r="181" spans="1:58" s="741" customFormat="1" ht="22.5" customHeight="1" thickBot="1">
      <c r="A181" s="495"/>
      <c r="B181" s="558"/>
      <c r="C181" s="559"/>
      <c r="D181" s="560"/>
      <c r="E181" s="560"/>
      <c r="F181" s="560"/>
      <c r="G181" s="560"/>
      <c r="H181" s="560" t="s">
        <v>1748</v>
      </c>
      <c r="I181" s="560" t="s">
        <v>1749</v>
      </c>
      <c r="J181" s="560" t="s">
        <v>1750</v>
      </c>
      <c r="K181" s="560" t="s">
        <v>1750</v>
      </c>
      <c r="L181" s="560"/>
      <c r="M181" s="780" t="s">
        <v>1751</v>
      </c>
      <c r="N181" s="780" t="s">
        <v>1751</v>
      </c>
      <c r="O181" s="225"/>
      <c r="P181" s="781"/>
      <c r="Q181" s="495"/>
      <c r="R181" s="557"/>
      <c r="S181" s="74" t="s">
        <v>1747</v>
      </c>
      <c r="T181" s="526" t="s">
        <v>196</v>
      </c>
      <c r="U181" s="527" t="e">
        <f>U180-#REF!</f>
        <v>#REF!</v>
      </c>
      <c r="V181" s="532" t="s">
        <v>15</v>
      </c>
      <c r="W181" s="529" t="e">
        <f>(#REF!+BM181)/1100000</f>
        <v>#REF!</v>
      </c>
      <c r="X181" s="533"/>
      <c r="Y181" s="755"/>
      <c r="Z181" s="775"/>
      <c r="AA181" s="775"/>
      <c r="AB181" s="735" t="s">
        <v>1687</v>
      </c>
      <c r="AC181" s="744" t="e">
        <f>AC180-#REF!</f>
        <v>#REF!</v>
      </c>
      <c r="AD181" s="749" t="s">
        <v>1689</v>
      </c>
      <c r="AE181" s="738"/>
      <c r="AF181" s="747"/>
      <c r="AG181" s="747"/>
      <c r="AH181" s="747"/>
      <c r="AI181" s="747"/>
      <c r="AJ181" s="747"/>
      <c r="AK181" s="747"/>
      <c r="AL181" s="747"/>
      <c r="AM181" s="747"/>
      <c r="AN181" s="747"/>
      <c r="AO181" s="747"/>
      <c r="AP181" s="747"/>
      <c r="AQ181" s="747"/>
      <c r="AR181" s="747"/>
      <c r="AS181" s="747"/>
      <c r="AT181" s="747"/>
      <c r="AU181" s="747"/>
      <c r="AV181" s="747"/>
      <c r="AW181" s="747"/>
      <c r="AX181" s="747"/>
      <c r="AY181" s="747"/>
      <c r="AZ181" s="747"/>
      <c r="BA181" s="747"/>
      <c r="BB181" s="747"/>
      <c r="BC181" s="745"/>
      <c r="BD181" s="742"/>
    </row>
    <row r="182" spans="1:58" s="741" customFormat="1" ht="22.5" customHeight="1">
      <c r="A182" s="490" t="s">
        <v>1752</v>
      </c>
      <c r="B182" s="554">
        <v>0.4</v>
      </c>
      <c r="C182" s="555">
        <f>B182+D182+E182+F182+G182+H182+I182+J182+K182+L182+M182+N182+O182</f>
        <v>0.96000000000000019</v>
      </c>
      <c r="D182" s="525">
        <v>0.13</v>
      </c>
      <c r="E182" s="525">
        <v>0.15</v>
      </c>
      <c r="F182" s="525">
        <v>0.1</v>
      </c>
      <c r="G182" s="525">
        <v>0.05</v>
      </c>
      <c r="H182" s="72">
        <v>0.03</v>
      </c>
      <c r="I182" s="525">
        <v>0.03</v>
      </c>
      <c r="J182" s="525">
        <v>0.03</v>
      </c>
      <c r="K182" s="525">
        <v>0.03</v>
      </c>
      <c r="L182" s="72">
        <v>0.01</v>
      </c>
      <c r="M182" s="72"/>
      <c r="N182" s="72"/>
      <c r="O182" s="37"/>
      <c r="P182" s="779"/>
      <c r="Q182" s="490" t="s">
        <v>1755</v>
      </c>
      <c r="R182" s="254" t="s">
        <v>1753</v>
      </c>
      <c r="S182" s="67" t="s">
        <v>1754</v>
      </c>
      <c r="T182" s="521" t="s">
        <v>89</v>
      </c>
      <c r="U182" s="522">
        <f>BK182/1100000</f>
        <v>0</v>
      </c>
      <c r="V182" s="523" t="s">
        <v>7</v>
      </c>
      <c r="W182" s="524" t="e">
        <f>U182*0.75-(#REF!+W183)</f>
        <v>#REF!</v>
      </c>
      <c r="X182" s="299" t="s">
        <v>90</v>
      </c>
      <c r="Y182" s="547" t="s">
        <v>34</v>
      </c>
      <c r="Z182" s="774" t="s">
        <v>284</v>
      </c>
      <c r="AA182" s="774"/>
      <c r="AB182" s="735" t="s">
        <v>1679</v>
      </c>
      <c r="AC182" s="744">
        <v>609990000</v>
      </c>
      <c r="AD182" s="749" t="s">
        <v>1681</v>
      </c>
      <c r="AE182" s="738">
        <f>SUM(AF182:BB182)</f>
        <v>0</v>
      </c>
      <c r="AF182" s="739"/>
      <c r="AG182" s="740"/>
      <c r="AH182" s="740"/>
      <c r="AI182" s="740"/>
      <c r="AJ182" s="740"/>
      <c r="AK182" s="740"/>
      <c r="AL182" s="740"/>
      <c r="AM182" s="740"/>
      <c r="AN182" s="740"/>
      <c r="AO182" s="740"/>
      <c r="AP182" s="740"/>
      <c r="AQ182" s="740"/>
      <c r="AR182" s="740"/>
      <c r="AS182" s="740"/>
      <c r="AT182" s="740"/>
      <c r="AU182" s="740"/>
      <c r="AV182" s="740"/>
      <c r="AW182" s="740"/>
      <c r="AX182" s="740"/>
      <c r="AY182" s="740"/>
      <c r="AZ182" s="740"/>
      <c r="BA182" s="740"/>
      <c r="BB182" s="740"/>
      <c r="BD182" s="742"/>
    </row>
    <row r="183" spans="1:58" s="741" customFormat="1" ht="22.5" customHeight="1" thickBot="1">
      <c r="A183" s="495"/>
      <c r="B183" s="558"/>
      <c r="C183" s="559"/>
      <c r="D183" s="560"/>
      <c r="E183" s="560"/>
      <c r="F183" s="560"/>
      <c r="G183" s="560" t="s">
        <v>1757</v>
      </c>
      <c r="H183" s="560"/>
      <c r="I183" s="560" t="s">
        <v>1757</v>
      </c>
      <c r="J183" s="560" t="s">
        <v>1758</v>
      </c>
      <c r="K183" s="560" t="s">
        <v>1345</v>
      </c>
      <c r="L183" s="560" t="s">
        <v>1345</v>
      </c>
      <c r="M183" s="560" t="s">
        <v>1345</v>
      </c>
      <c r="N183" s="256"/>
      <c r="O183" s="225"/>
      <c r="P183" s="781"/>
      <c r="Q183" s="495"/>
      <c r="R183" s="255"/>
      <c r="S183" s="746" t="s">
        <v>1756</v>
      </c>
      <c r="T183" s="526" t="s">
        <v>196</v>
      </c>
      <c r="U183" s="527" t="e">
        <f>U182-#REF!</f>
        <v>#REF!</v>
      </c>
      <c r="V183" s="532" t="s">
        <v>15</v>
      </c>
      <c r="W183" s="529" t="e">
        <f>(#REF!+BM183)/1100000</f>
        <v>#REF!</v>
      </c>
      <c r="X183" s="533"/>
      <c r="Y183" s="756"/>
      <c r="Z183" s="775"/>
      <c r="AA183" s="775"/>
      <c r="AB183" s="735" t="s">
        <v>1687</v>
      </c>
      <c r="AC183" s="744" t="e">
        <f>AC182-#REF!</f>
        <v>#REF!</v>
      </c>
      <c r="AD183" s="749" t="s">
        <v>1689</v>
      </c>
      <c r="AE183" s="738"/>
      <c r="AF183" s="747"/>
      <c r="AG183" s="747"/>
      <c r="AH183" s="747"/>
      <c r="AI183" s="747"/>
      <c r="AJ183" s="747"/>
      <c r="AK183" s="747"/>
      <c r="AL183" s="747"/>
      <c r="AM183" s="747"/>
      <c r="AN183" s="747"/>
      <c r="AO183" s="747"/>
      <c r="AP183" s="747"/>
      <c r="AQ183" s="747"/>
      <c r="AR183" s="747"/>
      <c r="AS183" s="747"/>
      <c r="AT183" s="747"/>
      <c r="AU183" s="747"/>
      <c r="AV183" s="747"/>
      <c r="AW183" s="747"/>
      <c r="AX183" s="747"/>
      <c r="AY183" s="747"/>
      <c r="AZ183" s="747"/>
      <c r="BA183" s="747"/>
      <c r="BB183" s="747"/>
      <c r="BD183" s="742"/>
    </row>
    <row r="184" spans="1:58" s="741" customFormat="1" ht="22.5" customHeight="1">
      <c r="A184" s="490" t="s">
        <v>1759</v>
      </c>
      <c r="B184" s="554"/>
      <c r="C184" s="555">
        <f>B184+D184+E184+F184+G184+H184+I184+J184+K184+L184+M184+N184+O184</f>
        <v>0.18999999999999997</v>
      </c>
      <c r="D184" s="525"/>
      <c r="E184" s="525"/>
      <c r="F184" s="525"/>
      <c r="G184" s="525"/>
      <c r="H184" s="72">
        <v>0.05</v>
      </c>
      <c r="I184" s="72">
        <v>0.06</v>
      </c>
      <c r="J184" s="525">
        <v>0.06</v>
      </c>
      <c r="K184" s="525">
        <v>0.02</v>
      </c>
      <c r="L184" s="72"/>
      <c r="M184" s="72"/>
      <c r="N184" s="72"/>
      <c r="O184" s="37"/>
      <c r="P184" s="777"/>
      <c r="Q184" s="490" t="s">
        <v>1762</v>
      </c>
      <c r="R184" s="254" t="s">
        <v>1760</v>
      </c>
      <c r="S184" s="67" t="s">
        <v>1761</v>
      </c>
      <c r="T184" s="521" t="s">
        <v>89</v>
      </c>
      <c r="U184" s="522">
        <f>BK184/1100000</f>
        <v>0</v>
      </c>
      <c r="V184" s="523" t="s">
        <v>7</v>
      </c>
      <c r="W184" s="524" t="e">
        <f>U184*0.75-(#REF!+W185)</f>
        <v>#REF!</v>
      </c>
      <c r="X184" s="299" t="s">
        <v>90</v>
      </c>
      <c r="Y184" s="547" t="s">
        <v>34</v>
      </c>
      <c r="Z184" s="774" t="s">
        <v>1763</v>
      </c>
      <c r="AA184" s="774"/>
      <c r="AB184" s="735" t="s">
        <v>1679</v>
      </c>
      <c r="AC184" s="744">
        <v>341027000</v>
      </c>
      <c r="AD184" s="749" t="s">
        <v>1681</v>
      </c>
      <c r="AE184" s="738">
        <f>SUM(AF184:BB184)</f>
        <v>0</v>
      </c>
      <c r="AF184" s="739"/>
      <c r="AG184" s="740"/>
      <c r="AH184" s="740"/>
      <c r="AI184" s="740"/>
      <c r="AJ184" s="740"/>
      <c r="AK184" s="740"/>
      <c r="AL184" s="740"/>
      <c r="AM184" s="740"/>
      <c r="AN184" s="740"/>
      <c r="AO184" s="740"/>
      <c r="AP184" s="740"/>
      <c r="AQ184" s="740"/>
      <c r="AR184" s="740"/>
      <c r="AS184" s="740"/>
      <c r="AT184" s="740"/>
      <c r="AU184" s="740"/>
      <c r="AV184" s="740"/>
      <c r="AW184" s="740"/>
      <c r="AX184" s="740"/>
      <c r="AY184" s="740"/>
      <c r="AZ184" s="740"/>
      <c r="BA184" s="740"/>
      <c r="BB184" s="740"/>
      <c r="BD184" s="757">
        <v>40</v>
      </c>
    </row>
    <row r="185" spans="1:58" s="741" customFormat="1" ht="22.5" customHeight="1" thickBot="1">
      <c r="A185" s="495"/>
      <c r="B185" s="558"/>
      <c r="C185" s="559"/>
      <c r="D185" s="560"/>
      <c r="E185" s="560"/>
      <c r="F185" s="560"/>
      <c r="G185" s="560"/>
      <c r="H185" s="560"/>
      <c r="I185" s="560" t="s">
        <v>1765</v>
      </c>
      <c r="J185" s="560" t="s">
        <v>1766</v>
      </c>
      <c r="K185" s="560" t="s">
        <v>1767</v>
      </c>
      <c r="L185" s="560" t="s">
        <v>1768</v>
      </c>
      <c r="M185" s="560" t="s">
        <v>1768</v>
      </c>
      <c r="N185" s="560" t="s">
        <v>1768</v>
      </c>
      <c r="O185" s="225"/>
      <c r="P185" s="778"/>
      <c r="Q185" s="495"/>
      <c r="R185" s="255"/>
      <c r="S185" s="746" t="s">
        <v>1764</v>
      </c>
      <c r="T185" s="526" t="s">
        <v>196</v>
      </c>
      <c r="U185" s="527" t="e">
        <f>U184-#REF!</f>
        <v>#REF!</v>
      </c>
      <c r="V185" s="532" t="s">
        <v>15</v>
      </c>
      <c r="W185" s="529" t="e">
        <f>(#REF!+BM185)/1100000</f>
        <v>#REF!</v>
      </c>
      <c r="X185" s="533"/>
      <c r="Y185" s="742"/>
      <c r="Z185" s="775"/>
      <c r="AA185" s="775"/>
      <c r="AB185" s="735" t="s">
        <v>1687</v>
      </c>
      <c r="AC185" s="744" t="e">
        <f>AC184-#REF!</f>
        <v>#REF!</v>
      </c>
      <c r="AD185" s="749" t="s">
        <v>1689</v>
      </c>
      <c r="AE185" s="738"/>
      <c r="AF185" s="747"/>
      <c r="AG185" s="747"/>
      <c r="AH185" s="747"/>
      <c r="AI185" s="747"/>
      <c r="AJ185" s="747"/>
      <c r="AK185" s="747"/>
      <c r="AL185" s="747"/>
      <c r="AM185" s="747"/>
      <c r="AN185" s="747"/>
      <c r="AO185" s="747"/>
      <c r="AP185" s="747"/>
      <c r="AQ185" s="747"/>
      <c r="AR185" s="747"/>
      <c r="AS185" s="747"/>
      <c r="AT185" s="747"/>
      <c r="AU185" s="747"/>
      <c r="AV185" s="747"/>
      <c r="AW185" s="747"/>
      <c r="AX185" s="747"/>
      <c r="AY185" s="747"/>
      <c r="AZ185" s="747"/>
      <c r="BA185" s="747"/>
      <c r="BB185" s="747"/>
      <c r="BC185" s="758" t="s">
        <v>1769</v>
      </c>
      <c r="BD185" s="759">
        <v>341027000</v>
      </c>
    </row>
    <row r="186" spans="1:58" s="741" customFormat="1" ht="22.5" customHeight="1">
      <c r="A186" s="490" t="s">
        <v>1770</v>
      </c>
      <c r="B186" s="554"/>
      <c r="C186" s="555">
        <f>B186+D186+E186+F186+G186+H186+I186+J186+K186+L186+M186+N186+O186</f>
        <v>0.21000000000000002</v>
      </c>
      <c r="D186" s="525"/>
      <c r="E186" s="525"/>
      <c r="F186" s="525">
        <v>0.05</v>
      </c>
      <c r="G186" s="525"/>
      <c r="H186" s="72">
        <v>0.03</v>
      </c>
      <c r="I186" s="525">
        <v>0.03</v>
      </c>
      <c r="J186" s="525">
        <v>0.03</v>
      </c>
      <c r="K186" s="525"/>
      <c r="L186" s="72">
        <v>0.02</v>
      </c>
      <c r="M186" s="72">
        <v>0.05</v>
      </c>
      <c r="N186" s="72"/>
      <c r="O186" s="37"/>
      <c r="P186" s="777"/>
      <c r="Q186" s="490" t="s">
        <v>1772</v>
      </c>
      <c r="R186" s="254" t="s">
        <v>1771</v>
      </c>
      <c r="S186" s="67" t="s">
        <v>1220</v>
      </c>
      <c r="T186" s="521" t="s">
        <v>89</v>
      </c>
      <c r="U186" s="522">
        <f>BK186/1100000</f>
        <v>0</v>
      </c>
      <c r="V186" s="523" t="s">
        <v>7</v>
      </c>
      <c r="W186" s="524" t="e">
        <f>U186*0.75-(#REF!+W187)</f>
        <v>#REF!</v>
      </c>
      <c r="X186" s="299" t="s">
        <v>90</v>
      </c>
      <c r="Y186" s="547" t="s">
        <v>34</v>
      </c>
      <c r="Z186" s="774" t="s">
        <v>116</v>
      </c>
      <c r="AA186" s="774"/>
      <c r="AB186" s="735" t="s">
        <v>1679</v>
      </c>
      <c r="AC186" s="744">
        <v>41993000</v>
      </c>
      <c r="AD186" s="749" t="s">
        <v>1681</v>
      </c>
      <c r="AE186" s="738">
        <f>SUM(AF186:BB186)</f>
        <v>0</v>
      </c>
      <c r="AF186" s="739"/>
      <c r="AG186" s="740"/>
      <c r="AH186" s="740"/>
      <c r="AI186" s="740"/>
      <c r="AJ186" s="740"/>
      <c r="AK186" s="740"/>
      <c r="AL186" s="740"/>
      <c r="AM186" s="740"/>
      <c r="AN186" s="740"/>
      <c r="AO186" s="740"/>
      <c r="AP186" s="740"/>
      <c r="AQ186" s="740"/>
      <c r="AR186" s="740"/>
      <c r="AS186" s="740"/>
      <c r="AT186" s="740"/>
      <c r="AU186" s="740"/>
      <c r="AV186" s="740"/>
      <c r="AW186" s="740"/>
      <c r="AX186" s="740"/>
      <c r="AY186" s="740"/>
      <c r="AZ186" s="740"/>
      <c r="BA186" s="740"/>
      <c r="BB186" s="740"/>
      <c r="BD186" s="757">
        <v>40</v>
      </c>
    </row>
    <row r="187" spans="1:58" s="741" customFormat="1" ht="22.5" customHeight="1" thickBot="1">
      <c r="A187" s="495"/>
      <c r="B187" s="558"/>
      <c r="C187" s="559"/>
      <c r="D187" s="560"/>
      <c r="E187" s="560"/>
      <c r="F187" s="560"/>
      <c r="G187" s="560"/>
      <c r="H187" s="560"/>
      <c r="I187" s="560" t="s">
        <v>1773</v>
      </c>
      <c r="J187" s="560" t="s">
        <v>1773</v>
      </c>
      <c r="K187" s="560"/>
      <c r="L187" s="560" t="s">
        <v>1774</v>
      </c>
      <c r="M187" s="780" t="s">
        <v>1775</v>
      </c>
      <c r="N187" s="256"/>
      <c r="O187" s="225"/>
      <c r="P187" s="778"/>
      <c r="Q187" s="495"/>
      <c r="R187" s="255"/>
      <c r="S187" s="746" t="s">
        <v>1708</v>
      </c>
      <c r="T187" s="526" t="s">
        <v>196</v>
      </c>
      <c r="U187" s="527" t="e">
        <f>U186-#REF!</f>
        <v>#REF!</v>
      </c>
      <c r="V187" s="532" t="s">
        <v>15</v>
      </c>
      <c r="W187" s="529" t="e">
        <f>(#REF!+BM187)/1100000</f>
        <v>#REF!</v>
      </c>
      <c r="X187" s="533"/>
      <c r="Y187" s="742"/>
      <c r="Z187" s="775"/>
      <c r="AA187" s="775"/>
      <c r="AB187" s="735" t="s">
        <v>1687</v>
      </c>
      <c r="AC187" s="744" t="e">
        <f>AC186-#REF!</f>
        <v>#REF!</v>
      </c>
      <c r="AD187" s="749" t="s">
        <v>1689</v>
      </c>
      <c r="AE187" s="738"/>
      <c r="AF187" s="747"/>
      <c r="AG187" s="747"/>
      <c r="AH187" s="747"/>
      <c r="AI187" s="747"/>
      <c r="AJ187" s="747"/>
      <c r="AK187" s="747"/>
      <c r="AL187" s="747"/>
      <c r="AM187" s="747"/>
      <c r="AN187" s="747"/>
      <c r="AO187" s="747"/>
      <c r="AP187" s="747"/>
      <c r="AQ187" s="747"/>
      <c r="AR187" s="747"/>
      <c r="AS187" s="747"/>
      <c r="AT187" s="747"/>
      <c r="AU187" s="747"/>
      <c r="AV187" s="747"/>
      <c r="AW187" s="747"/>
      <c r="AX187" s="747"/>
      <c r="AY187" s="747"/>
      <c r="AZ187" s="747"/>
      <c r="BA187" s="747"/>
      <c r="BB187" s="747"/>
      <c r="BC187" s="758" t="s">
        <v>1769</v>
      </c>
      <c r="BD187" s="759">
        <v>341027000</v>
      </c>
    </row>
    <row r="188" spans="1:58" s="741" customFormat="1" ht="22.5" customHeight="1">
      <c r="A188" s="490" t="s">
        <v>1776</v>
      </c>
      <c r="B188" s="554"/>
      <c r="C188" s="555">
        <f>B188+D188+E188+F188+G188+H188+I188+J188+K188+L188+M188+N188+O188</f>
        <v>1</v>
      </c>
      <c r="D188" s="525">
        <v>0.05</v>
      </c>
      <c r="E188" s="525">
        <v>0.1</v>
      </c>
      <c r="F188" s="525">
        <v>0.25</v>
      </c>
      <c r="G188" s="525">
        <v>0.4</v>
      </c>
      <c r="H188" s="72">
        <v>0.1</v>
      </c>
      <c r="I188" s="72">
        <v>0.1</v>
      </c>
      <c r="J188" s="525"/>
      <c r="K188" s="525"/>
      <c r="L188" s="72"/>
      <c r="M188" s="72"/>
      <c r="N188" s="72"/>
      <c r="O188" s="37"/>
      <c r="P188" s="773" t="s">
        <v>1728</v>
      </c>
      <c r="Q188" s="490"/>
      <c r="R188" s="254" t="s">
        <v>1777</v>
      </c>
      <c r="S188" s="67" t="s">
        <v>1778</v>
      </c>
      <c r="T188" s="521" t="s">
        <v>89</v>
      </c>
      <c r="U188" s="522">
        <f>BK188/1100000</f>
        <v>0</v>
      </c>
      <c r="V188" s="523" t="s">
        <v>7</v>
      </c>
      <c r="W188" s="524" t="e">
        <f>U188*0.75-(#REF!+W189)</f>
        <v>#REF!</v>
      </c>
      <c r="X188" s="299" t="s">
        <v>90</v>
      </c>
      <c r="Y188" s="547" t="s">
        <v>34</v>
      </c>
      <c r="Z188" s="774" t="s">
        <v>1517</v>
      </c>
      <c r="AA188" s="774"/>
      <c r="AB188" s="735" t="s">
        <v>1679</v>
      </c>
      <c r="AC188" s="744">
        <v>103104540</v>
      </c>
      <c r="AD188" s="749" t="s">
        <v>1681</v>
      </c>
      <c r="AE188" s="738">
        <f>SUM(AF188:BB188)</f>
        <v>0</v>
      </c>
      <c r="AF188" s="739"/>
      <c r="AG188" s="740"/>
      <c r="AH188" s="740"/>
      <c r="AI188" s="740"/>
      <c r="AJ188" s="740"/>
      <c r="AK188" s="740"/>
      <c r="AL188" s="740"/>
      <c r="AM188" s="740"/>
      <c r="AN188" s="740"/>
      <c r="AO188" s="740"/>
      <c r="AP188" s="740"/>
      <c r="AQ188" s="740"/>
      <c r="AR188" s="740"/>
      <c r="AS188" s="740"/>
      <c r="AT188" s="740"/>
      <c r="AU188" s="740"/>
      <c r="AV188" s="740"/>
      <c r="AW188" s="740"/>
      <c r="AX188" s="740"/>
      <c r="AY188" s="740"/>
      <c r="AZ188" s="740"/>
      <c r="BA188" s="740"/>
      <c r="BB188" s="740"/>
      <c r="BD188" s="757">
        <v>40</v>
      </c>
    </row>
    <row r="189" spans="1:58" s="741" customFormat="1" ht="22.5" customHeight="1" thickBot="1">
      <c r="A189" s="495"/>
      <c r="B189" s="558"/>
      <c r="C189" s="559"/>
      <c r="D189" s="560"/>
      <c r="E189" s="560"/>
      <c r="F189" s="560"/>
      <c r="G189" s="560" t="s">
        <v>462</v>
      </c>
      <c r="H189" s="560"/>
      <c r="I189" s="560" t="s">
        <v>1779</v>
      </c>
      <c r="J189" s="560"/>
      <c r="K189" s="560"/>
      <c r="L189" s="560"/>
      <c r="M189" s="560"/>
      <c r="N189" s="780" t="s">
        <v>1751</v>
      </c>
      <c r="O189" s="225"/>
      <c r="P189" s="776"/>
      <c r="Q189" s="495"/>
      <c r="R189" s="255"/>
      <c r="S189" s="746" t="s">
        <v>1708</v>
      </c>
      <c r="T189" s="526" t="s">
        <v>196</v>
      </c>
      <c r="U189" s="527" t="e">
        <f>U188-#REF!</f>
        <v>#REF!</v>
      </c>
      <c r="V189" s="532" t="s">
        <v>15</v>
      </c>
      <c r="W189" s="529" t="e">
        <f>(#REF!+BM189)/1100000</f>
        <v>#REF!</v>
      </c>
      <c r="X189" s="533"/>
      <c r="Y189" s="742"/>
      <c r="Z189" s="775"/>
      <c r="AA189" s="775"/>
      <c r="AB189" s="735" t="s">
        <v>1687</v>
      </c>
      <c r="AC189" s="744" t="e">
        <f>AC188-#REF!</f>
        <v>#REF!</v>
      </c>
      <c r="AD189" s="749" t="s">
        <v>1689</v>
      </c>
      <c r="AE189" s="738"/>
      <c r="AF189" s="747"/>
      <c r="AG189" s="747"/>
      <c r="AH189" s="747"/>
      <c r="AI189" s="747"/>
      <c r="AJ189" s="747"/>
      <c r="AK189" s="747"/>
      <c r="AL189" s="747"/>
      <c r="AM189" s="747"/>
      <c r="AN189" s="747"/>
      <c r="AO189" s="747"/>
      <c r="AP189" s="747"/>
      <c r="AQ189" s="747"/>
      <c r="AR189" s="747"/>
      <c r="AS189" s="747"/>
      <c r="AT189" s="747"/>
      <c r="AU189" s="747"/>
      <c r="AV189" s="747"/>
      <c r="AW189" s="747"/>
      <c r="AX189" s="747"/>
      <c r="AY189" s="747"/>
      <c r="AZ189" s="747"/>
      <c r="BA189" s="747"/>
      <c r="BB189" s="747"/>
      <c r="BC189" s="758" t="s">
        <v>1769</v>
      </c>
      <c r="BD189" s="759">
        <v>341027000</v>
      </c>
    </row>
    <row r="190" spans="1:58" s="741" customFormat="1" ht="22.5" customHeight="1">
      <c r="A190" s="490" t="s">
        <v>1780</v>
      </c>
      <c r="B190" s="554"/>
      <c r="C190" s="555">
        <f>B190+D190+E190+F190+G190+H190+I190+J190+K190+L190+M190+N190+O190</f>
        <v>0.09</v>
      </c>
      <c r="D190" s="525"/>
      <c r="E190" s="525"/>
      <c r="F190" s="525"/>
      <c r="G190" s="525"/>
      <c r="H190" s="72">
        <v>0.03</v>
      </c>
      <c r="I190" s="525">
        <v>0.03</v>
      </c>
      <c r="J190" s="525">
        <v>0.03</v>
      </c>
      <c r="K190" s="525"/>
      <c r="L190" s="72"/>
      <c r="M190" s="72"/>
      <c r="N190" s="72"/>
      <c r="O190" s="37"/>
      <c r="P190" s="777"/>
      <c r="Q190" s="490" t="s">
        <v>1772</v>
      </c>
      <c r="R190" s="254" t="s">
        <v>1781</v>
      </c>
      <c r="S190" s="67" t="s">
        <v>1782</v>
      </c>
      <c r="T190" s="521" t="s">
        <v>89</v>
      </c>
      <c r="U190" s="522">
        <f>BK190/1100000</f>
        <v>0</v>
      </c>
      <c r="V190" s="523" t="s">
        <v>7</v>
      </c>
      <c r="W190" s="524" t="e">
        <f>U190*0.75-(#REF!+W191)</f>
        <v>#REF!</v>
      </c>
      <c r="X190" s="299" t="s">
        <v>90</v>
      </c>
      <c r="Y190" s="547" t="s">
        <v>34</v>
      </c>
      <c r="Z190" s="774" t="s">
        <v>178</v>
      </c>
      <c r="AA190" s="774"/>
      <c r="AB190" s="735" t="s">
        <v>1679</v>
      </c>
      <c r="AC190" s="744">
        <v>33300000</v>
      </c>
      <c r="AD190" s="749" t="s">
        <v>1681</v>
      </c>
      <c r="AE190" s="738">
        <f>SUM(AF190:BB190)</f>
        <v>0</v>
      </c>
      <c r="AF190" s="739"/>
      <c r="AG190" s="740"/>
      <c r="AH190" s="740"/>
      <c r="AI190" s="740"/>
      <c r="AJ190" s="740"/>
      <c r="AK190" s="740"/>
      <c r="AL190" s="740"/>
      <c r="AM190" s="740"/>
      <c r="AN190" s="740"/>
      <c r="AO190" s="740"/>
      <c r="AP190" s="740"/>
      <c r="AQ190" s="740"/>
      <c r="AR190" s="740"/>
      <c r="AS190" s="740"/>
      <c r="AT190" s="740"/>
      <c r="AU190" s="740"/>
      <c r="AV190" s="740"/>
      <c r="AW190" s="740"/>
      <c r="AX190" s="740"/>
      <c r="AY190" s="740"/>
      <c r="AZ190" s="740"/>
      <c r="BA190" s="740"/>
      <c r="BB190" s="740"/>
      <c r="BD190" s="757">
        <v>40</v>
      </c>
    </row>
    <row r="191" spans="1:58" s="741" customFormat="1" ht="22.5" customHeight="1" thickBot="1">
      <c r="A191" s="495"/>
      <c r="B191" s="558"/>
      <c r="C191" s="559"/>
      <c r="D191" s="560"/>
      <c r="E191" s="560"/>
      <c r="F191" s="560"/>
      <c r="G191" s="560"/>
      <c r="H191" s="560"/>
      <c r="I191" s="560" t="s">
        <v>1773</v>
      </c>
      <c r="J191" s="560" t="s">
        <v>1773</v>
      </c>
      <c r="K191" s="560"/>
      <c r="L191" s="560"/>
      <c r="M191" s="560"/>
      <c r="N191" s="256"/>
      <c r="O191" s="225"/>
      <c r="P191" s="778"/>
      <c r="Q191" s="495"/>
      <c r="R191" s="255"/>
      <c r="S191" s="746" t="s">
        <v>1783</v>
      </c>
      <c r="T191" s="526" t="s">
        <v>196</v>
      </c>
      <c r="U191" s="527" t="e">
        <f>U190-#REF!</f>
        <v>#REF!</v>
      </c>
      <c r="V191" s="532" t="s">
        <v>15</v>
      </c>
      <c r="W191" s="529" t="e">
        <f>(#REF!+BM191)/1100000</f>
        <v>#REF!</v>
      </c>
      <c r="X191" s="533"/>
      <c r="Y191" s="742"/>
      <c r="Z191" s="775"/>
      <c r="AA191" s="775"/>
      <c r="AB191" s="735" t="s">
        <v>1687</v>
      </c>
      <c r="AC191" s="744" t="e">
        <f>AC190-#REF!</f>
        <v>#REF!</v>
      </c>
      <c r="AD191" s="749" t="s">
        <v>1689</v>
      </c>
      <c r="AE191" s="738"/>
      <c r="AF191" s="747"/>
      <c r="AG191" s="747"/>
      <c r="AH191" s="747"/>
      <c r="AI191" s="747"/>
      <c r="AJ191" s="747"/>
      <c r="AK191" s="747"/>
      <c r="AL191" s="747"/>
      <c r="AM191" s="747"/>
      <c r="AN191" s="747"/>
      <c r="AO191" s="747"/>
      <c r="AP191" s="747"/>
      <c r="AQ191" s="747"/>
      <c r="AR191" s="747"/>
      <c r="AS191" s="747"/>
      <c r="AT191" s="747"/>
      <c r="AU191" s="747"/>
      <c r="AV191" s="747"/>
      <c r="AW191" s="747"/>
      <c r="AX191" s="747"/>
      <c r="AY191" s="747"/>
      <c r="AZ191" s="747"/>
      <c r="BA191" s="747"/>
      <c r="BB191" s="747"/>
      <c r="BC191" s="758" t="s">
        <v>1769</v>
      </c>
      <c r="BD191" s="759">
        <v>341027000</v>
      </c>
    </row>
    <row r="192" spans="1:58" s="741" customFormat="1" ht="22.5" customHeight="1">
      <c r="A192" s="490" t="s">
        <v>1784</v>
      </c>
      <c r="B192" s="554"/>
      <c r="C192" s="555">
        <f>B192+D192+E192+F192+G192+H192+I192+J192+K192+L192+M192+N192+O192</f>
        <v>0.42500000000000004</v>
      </c>
      <c r="D192" s="525"/>
      <c r="E192" s="525"/>
      <c r="F192" s="525"/>
      <c r="G192" s="525">
        <v>0.05</v>
      </c>
      <c r="H192" s="72">
        <v>0.1</v>
      </c>
      <c r="I192" s="72">
        <v>0.1</v>
      </c>
      <c r="J192" s="525">
        <v>0.1</v>
      </c>
      <c r="K192" s="525">
        <v>0.02</v>
      </c>
      <c r="L192" s="72">
        <v>0.02</v>
      </c>
      <c r="M192" s="72">
        <v>0.01</v>
      </c>
      <c r="N192" s="760">
        <v>2.5000000000000001E-2</v>
      </c>
      <c r="O192" s="37"/>
      <c r="P192" s="779"/>
      <c r="Q192" s="490" t="s">
        <v>1787</v>
      </c>
      <c r="R192" s="254" t="s">
        <v>1785</v>
      </c>
      <c r="S192" s="67" t="s">
        <v>1786</v>
      </c>
      <c r="T192" s="521" t="s">
        <v>89</v>
      </c>
      <c r="U192" s="522">
        <f>BK192/1100000</f>
        <v>0</v>
      </c>
      <c r="V192" s="523" t="s">
        <v>7</v>
      </c>
      <c r="W192" s="524" t="e">
        <f>U192*0.75-(#REF!+W193)</f>
        <v>#REF!</v>
      </c>
      <c r="X192" s="299" t="s">
        <v>90</v>
      </c>
      <c r="Y192" s="547" t="s">
        <v>34</v>
      </c>
      <c r="Z192" s="774" t="s">
        <v>1788</v>
      </c>
      <c r="AA192" s="774"/>
      <c r="AB192" s="735" t="s">
        <v>1679</v>
      </c>
      <c r="AC192" s="744">
        <v>187652000</v>
      </c>
      <c r="AD192" s="749" t="s">
        <v>1681</v>
      </c>
      <c r="AE192" s="738">
        <f>SUM(AF192:BB192)</f>
        <v>0</v>
      </c>
      <c r="AF192" s="739"/>
      <c r="AG192" s="740"/>
      <c r="AH192" s="740"/>
      <c r="AI192" s="740"/>
      <c r="AJ192" s="740"/>
      <c r="AK192" s="740"/>
      <c r="AL192" s="740"/>
      <c r="AM192" s="740"/>
      <c r="AN192" s="740"/>
      <c r="AO192" s="740"/>
      <c r="AP192" s="740"/>
      <c r="AQ192" s="740"/>
      <c r="AR192" s="740"/>
      <c r="AS192" s="740"/>
      <c r="AT192" s="740"/>
      <c r="AU192" s="740"/>
      <c r="AV192" s="740"/>
      <c r="AW192" s="740"/>
      <c r="AX192" s="740"/>
      <c r="AY192" s="740"/>
      <c r="AZ192" s="740"/>
      <c r="BA192" s="740"/>
      <c r="BB192" s="740"/>
      <c r="BD192" s="757">
        <v>40</v>
      </c>
    </row>
    <row r="193" spans="1:56" s="741" customFormat="1" ht="22.5" customHeight="1" thickBot="1">
      <c r="A193" s="495"/>
      <c r="B193" s="558"/>
      <c r="C193" s="559"/>
      <c r="D193" s="560"/>
      <c r="E193" s="560"/>
      <c r="F193" s="560"/>
      <c r="G193" s="560" t="s">
        <v>1790</v>
      </c>
      <c r="H193" s="560" t="s">
        <v>1790</v>
      </c>
      <c r="I193" s="560" t="s">
        <v>1790</v>
      </c>
      <c r="J193" s="560" t="s">
        <v>1791</v>
      </c>
      <c r="K193" s="560" t="s">
        <v>1791</v>
      </c>
      <c r="L193" s="560" t="s">
        <v>1791</v>
      </c>
      <c r="M193" s="560" t="s">
        <v>1792</v>
      </c>
      <c r="N193" s="560" t="s">
        <v>1793</v>
      </c>
      <c r="O193" s="225"/>
      <c r="P193" s="781"/>
      <c r="Q193" s="495"/>
      <c r="R193" s="255"/>
      <c r="S193" s="746" t="s">
        <v>1698</v>
      </c>
      <c r="T193" s="526" t="s">
        <v>817</v>
      </c>
      <c r="U193" s="527" t="e">
        <f>U192-#REF!</f>
        <v>#REF!</v>
      </c>
      <c r="V193" s="532" t="s">
        <v>818</v>
      </c>
      <c r="W193" s="529" t="e">
        <f>(#REF!+BM193)/1100000</f>
        <v>#REF!</v>
      </c>
      <c r="X193" s="533"/>
      <c r="Y193" s="742"/>
      <c r="Z193" s="775"/>
      <c r="AA193" s="775"/>
      <c r="AB193" s="735" t="s">
        <v>1688</v>
      </c>
      <c r="AC193" s="744" t="e">
        <f>AC192-#REF!</f>
        <v>#REF!</v>
      </c>
      <c r="AD193" s="749" t="s">
        <v>1690</v>
      </c>
      <c r="AE193" s="738"/>
      <c r="AF193" s="747"/>
      <c r="AG193" s="747"/>
      <c r="AH193" s="747"/>
      <c r="AI193" s="747"/>
      <c r="AJ193" s="747"/>
      <c r="AK193" s="747"/>
      <c r="AL193" s="747"/>
      <c r="AM193" s="747"/>
      <c r="AN193" s="747"/>
      <c r="AO193" s="747"/>
      <c r="AP193" s="747"/>
      <c r="AQ193" s="747"/>
      <c r="AR193" s="747"/>
      <c r="AS193" s="747"/>
      <c r="AT193" s="747"/>
      <c r="AU193" s="747"/>
      <c r="AV193" s="747"/>
      <c r="AW193" s="747"/>
      <c r="AX193" s="747"/>
      <c r="AY193" s="747"/>
      <c r="AZ193" s="747"/>
      <c r="BA193" s="747"/>
      <c r="BB193" s="747"/>
      <c r="BC193" s="758" t="s">
        <v>1794</v>
      </c>
      <c r="BD193" s="759">
        <v>341027000</v>
      </c>
    </row>
    <row r="194" spans="1:56" s="741" customFormat="1" ht="22.5" customHeight="1">
      <c r="A194" s="490" t="s">
        <v>1795</v>
      </c>
      <c r="B194" s="554"/>
      <c r="C194" s="555">
        <f>B194+D194+E194+F194+G194+H194+I194+J194+K194+L194+M194+N194+O194</f>
        <v>0.1</v>
      </c>
      <c r="D194" s="525"/>
      <c r="E194" s="525"/>
      <c r="F194" s="525"/>
      <c r="G194" s="525"/>
      <c r="H194" s="72"/>
      <c r="I194" s="72"/>
      <c r="J194" s="525">
        <v>0.02</v>
      </c>
      <c r="K194" s="525">
        <v>0.02</v>
      </c>
      <c r="L194" s="72">
        <v>0.02</v>
      </c>
      <c r="M194" s="72">
        <v>0.02</v>
      </c>
      <c r="N194" s="72">
        <v>0.02</v>
      </c>
      <c r="O194" s="37"/>
      <c r="P194" s="777" t="s">
        <v>1798</v>
      </c>
      <c r="Q194" s="490" t="s">
        <v>1799</v>
      </c>
      <c r="R194" s="254" t="s">
        <v>1796</v>
      </c>
      <c r="S194" s="67" t="s">
        <v>1797</v>
      </c>
      <c r="T194" s="521" t="s">
        <v>814</v>
      </c>
      <c r="U194" s="522">
        <f>BK194/1100000</f>
        <v>0</v>
      </c>
      <c r="V194" s="523" t="s">
        <v>832</v>
      </c>
      <c r="W194" s="524" t="e">
        <f>U194*0.75-(#REF!+W195)</f>
        <v>#REF!</v>
      </c>
      <c r="X194" s="299" t="s">
        <v>812</v>
      </c>
      <c r="Y194" s="547" t="s">
        <v>813</v>
      </c>
      <c r="Z194" s="774" t="s">
        <v>1800</v>
      </c>
      <c r="AA194" s="774"/>
      <c r="AB194" s="735" t="s">
        <v>1680</v>
      </c>
      <c r="AC194" s="744">
        <v>268998550</v>
      </c>
      <c r="AD194" s="749" t="s">
        <v>1682</v>
      </c>
      <c r="AE194" s="738">
        <f>SUM(AF194:BB194)</f>
        <v>0</v>
      </c>
      <c r="AF194" s="739"/>
      <c r="AG194" s="740"/>
      <c r="AH194" s="740"/>
      <c r="AI194" s="740"/>
      <c r="AJ194" s="740"/>
      <c r="AK194" s="740"/>
      <c r="AL194" s="740"/>
      <c r="AM194" s="740"/>
      <c r="AN194" s="740"/>
      <c r="AO194" s="740"/>
      <c r="AP194" s="740"/>
      <c r="AQ194" s="740"/>
      <c r="AR194" s="740"/>
      <c r="AS194" s="740"/>
      <c r="AT194" s="740"/>
      <c r="AU194" s="740"/>
      <c r="AV194" s="740"/>
      <c r="AW194" s="740"/>
      <c r="AX194" s="740"/>
      <c r="AY194" s="740"/>
      <c r="AZ194" s="740"/>
      <c r="BA194" s="740"/>
      <c r="BB194" s="740"/>
      <c r="BD194" s="757">
        <v>26</v>
      </c>
    </row>
    <row r="195" spans="1:56" s="741" customFormat="1" ht="22.5" customHeight="1" thickBot="1">
      <c r="A195" s="495"/>
      <c r="B195" s="558"/>
      <c r="C195" s="559"/>
      <c r="D195" s="560"/>
      <c r="E195" s="560"/>
      <c r="F195" s="560"/>
      <c r="G195" s="560"/>
      <c r="H195" s="560"/>
      <c r="I195" s="560"/>
      <c r="J195" s="560" t="s">
        <v>1773</v>
      </c>
      <c r="K195" s="560" t="s">
        <v>1789</v>
      </c>
      <c r="L195" s="560" t="s">
        <v>1789</v>
      </c>
      <c r="M195" s="560" t="s">
        <v>1789</v>
      </c>
      <c r="N195" s="256"/>
      <c r="O195" s="225"/>
      <c r="P195" s="778"/>
      <c r="Q195" s="495"/>
      <c r="R195" s="255"/>
      <c r="S195" s="746" t="s">
        <v>1708</v>
      </c>
      <c r="T195" s="526" t="s">
        <v>196</v>
      </c>
      <c r="U195" s="527" t="e">
        <f>U194-#REF!</f>
        <v>#REF!</v>
      </c>
      <c r="V195" s="532" t="s">
        <v>15</v>
      </c>
      <c r="W195" s="529" t="e">
        <f>(#REF!+BM195)/1100000</f>
        <v>#REF!</v>
      </c>
      <c r="X195" s="533"/>
      <c r="Y195" s="742"/>
      <c r="Z195" s="775"/>
      <c r="AA195" s="775"/>
      <c r="AB195" s="735" t="s">
        <v>1687</v>
      </c>
      <c r="AC195" s="744" t="e">
        <f>AC194-#REF!</f>
        <v>#REF!</v>
      </c>
      <c r="AD195" s="749" t="s">
        <v>1689</v>
      </c>
      <c r="AE195" s="738"/>
      <c r="AF195" s="747"/>
      <c r="AG195" s="747"/>
      <c r="AH195" s="747"/>
      <c r="AI195" s="747"/>
      <c r="AJ195" s="747"/>
      <c r="AK195" s="747"/>
      <c r="AL195" s="747"/>
      <c r="AM195" s="747"/>
      <c r="AN195" s="747"/>
      <c r="AO195" s="747"/>
      <c r="AP195" s="747"/>
      <c r="AQ195" s="747"/>
      <c r="AR195" s="747"/>
      <c r="AS195" s="747"/>
      <c r="AT195" s="747"/>
      <c r="AU195" s="747"/>
      <c r="AV195" s="747"/>
      <c r="AW195" s="747"/>
      <c r="AX195" s="747"/>
      <c r="AY195" s="747"/>
      <c r="AZ195" s="747"/>
      <c r="BA195" s="747"/>
      <c r="BB195" s="747"/>
      <c r="BC195" s="758" t="s">
        <v>1769</v>
      </c>
      <c r="BD195" s="759"/>
    </row>
    <row r="196" spans="1:56" s="78" customFormat="1" ht="22.5" customHeight="1" thickBot="1">
      <c r="A196" s="563" t="s">
        <v>1828</v>
      </c>
      <c r="B196" s="554">
        <v>0.9</v>
      </c>
      <c r="C196" s="244">
        <f>B196+D196+E196+F196+G196+I196+H196+J196+K196+L196+M196+N196+O196</f>
        <v>0.93</v>
      </c>
      <c r="D196" s="525">
        <v>0.01</v>
      </c>
      <c r="E196" s="525">
        <v>0.01</v>
      </c>
      <c r="F196" s="525">
        <v>0.01</v>
      </c>
      <c r="G196" s="525"/>
      <c r="H196" s="525"/>
      <c r="I196" s="525"/>
      <c r="J196" s="525"/>
      <c r="K196" s="525"/>
      <c r="L196" s="525"/>
      <c r="M196" s="525"/>
      <c r="N196" s="525"/>
      <c r="O196" s="525"/>
      <c r="P196" s="490" t="s">
        <v>1831</v>
      </c>
      <c r="Q196" s="490" t="s">
        <v>1832</v>
      </c>
      <c r="R196" s="553" t="s">
        <v>1829</v>
      </c>
      <c r="S196" s="520" t="s">
        <v>1830</v>
      </c>
      <c r="T196" s="521" t="s">
        <v>814</v>
      </c>
      <c r="U196" s="522">
        <f>BK196/1100000</f>
        <v>0</v>
      </c>
      <c r="V196" s="523" t="s">
        <v>832</v>
      </c>
      <c r="W196" s="524" t="e">
        <f>U196*0.75-(#REF!+W197)</f>
        <v>#REF!</v>
      </c>
      <c r="X196" s="299" t="s">
        <v>812</v>
      </c>
      <c r="Y196" s="547" t="s">
        <v>813</v>
      </c>
      <c r="Z196" s="260" t="s">
        <v>1833</v>
      </c>
      <c r="AA196" s="260"/>
      <c r="AB196" s="80" t="s">
        <v>814</v>
      </c>
      <c r="AC196" s="81">
        <v>170327000</v>
      </c>
      <c r="AD196" s="82" t="s">
        <v>35</v>
      </c>
      <c r="AE196" s="83">
        <f>SUM(AF196:BB196)</f>
        <v>15000000</v>
      </c>
      <c r="AF196" s="91" t="s">
        <v>1078</v>
      </c>
      <c r="AG196" s="92">
        <v>15000000</v>
      </c>
      <c r="AH196" s="92" t="s">
        <v>1079</v>
      </c>
      <c r="AI196" s="789"/>
      <c r="AJ196" s="92" t="s">
        <v>1080</v>
      </c>
      <c r="AK196" s="92"/>
      <c r="AL196" s="92" t="s">
        <v>1080</v>
      </c>
      <c r="AM196" s="92"/>
      <c r="AN196" s="92" t="s">
        <v>1080</v>
      </c>
      <c r="AO196" s="92"/>
      <c r="AP196" s="92"/>
      <c r="AQ196" s="92"/>
      <c r="AR196" s="92"/>
      <c r="AS196" s="92"/>
      <c r="AT196" s="92" t="s">
        <v>2206</v>
      </c>
      <c r="AU196" s="92"/>
      <c r="AV196" s="92"/>
      <c r="AW196" s="92"/>
      <c r="AX196" s="92"/>
      <c r="AY196" s="92"/>
      <c r="AZ196" s="92"/>
      <c r="BA196" s="92"/>
      <c r="BB196" s="92"/>
    </row>
    <row r="197" spans="1:56" s="78" customFormat="1" ht="22.5" customHeight="1" thickBot="1">
      <c r="A197" s="564"/>
      <c r="B197" s="558"/>
      <c r="C197" s="245"/>
      <c r="D197" s="560"/>
      <c r="E197" s="560"/>
      <c r="F197" s="560"/>
      <c r="G197" s="560"/>
      <c r="H197" s="560"/>
      <c r="I197" s="560"/>
      <c r="J197" s="560"/>
      <c r="K197" s="560"/>
      <c r="L197" s="560"/>
      <c r="M197" s="560"/>
      <c r="N197" s="560"/>
      <c r="O197" s="560"/>
      <c r="P197" s="502"/>
      <c r="Q197" s="495"/>
      <c r="R197" s="557"/>
      <c r="S197" s="531" t="s">
        <v>1834</v>
      </c>
      <c r="T197" s="526" t="s">
        <v>817</v>
      </c>
      <c r="U197" s="527" t="e">
        <f>U196-#REF!</f>
        <v>#REF!</v>
      </c>
      <c r="V197" s="532" t="s">
        <v>818</v>
      </c>
      <c r="W197" s="529" t="e">
        <f>(#REF!+BM197)/1100000</f>
        <v>#REF!</v>
      </c>
      <c r="X197" s="89"/>
      <c r="Y197" s="73"/>
      <c r="Z197" s="261"/>
      <c r="AA197" s="261"/>
      <c r="AB197" s="80" t="s">
        <v>817</v>
      </c>
      <c r="AC197" s="81" t="e">
        <f>AC196-#REF!</f>
        <v>#REF!</v>
      </c>
      <c r="AD197" s="82" t="s">
        <v>824</v>
      </c>
      <c r="AE197" s="83"/>
      <c r="AF197" s="77"/>
      <c r="AG197" s="77"/>
      <c r="AH197" s="77"/>
      <c r="AI197" s="77"/>
      <c r="AJ197" s="77"/>
      <c r="AK197" s="77"/>
      <c r="AL197" s="77"/>
      <c r="AM197" s="77"/>
      <c r="AN197" s="77"/>
      <c r="AO197" s="77"/>
      <c r="AP197" s="77"/>
      <c r="AQ197" s="77"/>
      <c r="AR197" s="77"/>
      <c r="AS197" s="77"/>
      <c r="AT197" s="77"/>
      <c r="AU197" s="77"/>
      <c r="AV197" s="77"/>
      <c r="AW197" s="77"/>
      <c r="AX197" s="77"/>
      <c r="AY197" s="77"/>
      <c r="AZ197" s="77"/>
      <c r="BA197" s="77"/>
      <c r="BB197" s="77"/>
    </row>
    <row r="198" spans="1:56" s="78" customFormat="1" ht="22.5" customHeight="1" thickBot="1">
      <c r="A198" s="563" t="s">
        <v>1835</v>
      </c>
      <c r="B198" s="554">
        <v>0.83</v>
      </c>
      <c r="C198" s="244">
        <f>B198+D198+E198+F198+G198+I198+H198+J198+K198+L198+M198+N198+O198</f>
        <v>0.9900000000000001</v>
      </c>
      <c r="D198" s="525">
        <v>0.01</v>
      </c>
      <c r="E198" s="525">
        <v>0.01</v>
      </c>
      <c r="F198" s="525">
        <v>0.01</v>
      </c>
      <c r="G198" s="525">
        <v>0.01</v>
      </c>
      <c r="H198" s="525">
        <v>0.01</v>
      </c>
      <c r="I198" s="525">
        <v>0.01</v>
      </c>
      <c r="J198" s="525">
        <v>0.01</v>
      </c>
      <c r="K198" s="525">
        <v>0.05</v>
      </c>
      <c r="L198" s="525">
        <v>0.02</v>
      </c>
      <c r="M198" s="525">
        <v>0.02</v>
      </c>
      <c r="N198" s="525"/>
      <c r="O198" s="525"/>
      <c r="P198" s="490" t="s">
        <v>1838</v>
      </c>
      <c r="Q198" s="490" t="s">
        <v>1839</v>
      </c>
      <c r="R198" s="553" t="s">
        <v>1836</v>
      </c>
      <c r="S198" s="520" t="s">
        <v>1837</v>
      </c>
      <c r="T198" s="521" t="s">
        <v>814</v>
      </c>
      <c r="U198" s="522">
        <f>BK198/1100000</f>
        <v>0</v>
      </c>
      <c r="V198" s="523" t="s">
        <v>832</v>
      </c>
      <c r="W198" s="524" t="e">
        <f>U198*0.75-(#REF!+W199)</f>
        <v>#REF!</v>
      </c>
      <c r="X198" s="299" t="s">
        <v>812</v>
      </c>
      <c r="Y198" s="547" t="s">
        <v>813</v>
      </c>
      <c r="Z198" s="260" t="s">
        <v>1678</v>
      </c>
      <c r="AA198" s="260"/>
      <c r="AB198" s="80" t="s">
        <v>814</v>
      </c>
      <c r="AC198" s="81">
        <v>286150000</v>
      </c>
      <c r="AD198" s="82" t="s">
        <v>35</v>
      </c>
      <c r="AE198" s="83">
        <f>SUM(AF198:BB198)</f>
        <v>0</v>
      </c>
      <c r="AF198" s="91" t="s">
        <v>1078</v>
      </c>
      <c r="AG198" s="92"/>
      <c r="AH198" s="92" t="s">
        <v>1079</v>
      </c>
      <c r="AI198" s="92"/>
      <c r="AJ198" s="92" t="s">
        <v>1080</v>
      </c>
      <c r="AK198" s="92"/>
      <c r="AL198" s="92" t="s">
        <v>1080</v>
      </c>
      <c r="AM198" s="92"/>
      <c r="AN198" s="92" t="s">
        <v>1080</v>
      </c>
      <c r="AO198" s="92"/>
      <c r="AP198" s="92"/>
      <c r="AQ198" s="92"/>
      <c r="AR198" s="92"/>
      <c r="AS198" s="92"/>
      <c r="AT198" s="92"/>
      <c r="AU198" s="92"/>
      <c r="AV198" s="92"/>
      <c r="AW198" s="92"/>
      <c r="AX198" s="92"/>
      <c r="AY198" s="92"/>
      <c r="AZ198" s="92"/>
      <c r="BA198" s="92"/>
      <c r="BB198" s="92"/>
    </row>
    <row r="199" spans="1:56" s="78" customFormat="1" ht="22.5" customHeight="1" thickBot="1">
      <c r="A199" s="564"/>
      <c r="B199" s="558"/>
      <c r="C199" s="245"/>
      <c r="D199" s="560"/>
      <c r="E199" s="560"/>
      <c r="F199" s="560"/>
      <c r="G199" s="560"/>
      <c r="H199" s="560"/>
      <c r="I199" s="560"/>
      <c r="J199" s="560"/>
      <c r="K199" s="560"/>
      <c r="L199" s="560"/>
      <c r="M199" s="560"/>
      <c r="N199" s="560"/>
      <c r="O199" s="560"/>
      <c r="P199" s="502"/>
      <c r="Q199" s="495"/>
      <c r="R199" s="557"/>
      <c r="S199" s="531" t="s">
        <v>1842</v>
      </c>
      <c r="T199" s="526" t="s">
        <v>817</v>
      </c>
      <c r="U199" s="527" t="e">
        <f>U198-#REF!</f>
        <v>#REF!</v>
      </c>
      <c r="V199" s="532" t="s">
        <v>818</v>
      </c>
      <c r="W199" s="529" t="e">
        <f>(#REF!+BM199)/1100000</f>
        <v>#REF!</v>
      </c>
      <c r="X199" s="89"/>
      <c r="Y199" s="73"/>
      <c r="Z199" s="261"/>
      <c r="AA199" s="261"/>
      <c r="AB199" s="80" t="s">
        <v>817</v>
      </c>
      <c r="AC199" s="81" t="e">
        <f>AC198-#REF!</f>
        <v>#REF!</v>
      </c>
      <c r="AD199" s="82" t="s">
        <v>824</v>
      </c>
      <c r="AE199" s="83"/>
      <c r="AF199" s="77"/>
      <c r="AG199" s="77"/>
      <c r="AH199" s="77"/>
      <c r="AI199" s="77"/>
      <c r="AJ199" s="77"/>
      <c r="AK199" s="77"/>
      <c r="AL199" s="77"/>
      <c r="AM199" s="77"/>
      <c r="AN199" s="77"/>
      <c r="AO199" s="77"/>
      <c r="AP199" s="77"/>
      <c r="AQ199" s="77"/>
      <c r="AR199" s="77"/>
      <c r="AS199" s="77"/>
      <c r="AT199" s="77"/>
      <c r="AU199" s="77"/>
      <c r="AV199" s="77"/>
      <c r="AW199" s="77"/>
      <c r="AX199" s="77"/>
      <c r="AY199" s="77"/>
      <c r="AZ199" s="77"/>
      <c r="BA199" s="77"/>
      <c r="BB199" s="77"/>
    </row>
    <row r="200" spans="1:56" s="78" customFormat="1" ht="22.5" customHeight="1" thickBot="1">
      <c r="A200" s="257" t="s">
        <v>1843</v>
      </c>
      <c r="B200" s="554">
        <v>1</v>
      </c>
      <c r="C200" s="244">
        <f>B200+D200+E200+F200+G200+I200+H200+J200+K200+L200+M200+N200+O200</f>
        <v>1</v>
      </c>
      <c r="D200" s="525"/>
      <c r="E200" s="525"/>
      <c r="F200" s="525"/>
      <c r="G200" s="525"/>
      <c r="H200" s="525"/>
      <c r="I200" s="525"/>
      <c r="J200" s="525"/>
      <c r="K200" s="525"/>
      <c r="L200" s="525"/>
      <c r="M200" s="525"/>
      <c r="N200" s="525"/>
      <c r="O200" s="525"/>
      <c r="P200" s="490" t="s">
        <v>1846</v>
      </c>
      <c r="Q200" s="490" t="s">
        <v>1847</v>
      </c>
      <c r="R200" s="553" t="s">
        <v>1844</v>
      </c>
      <c r="S200" s="520" t="s">
        <v>1845</v>
      </c>
      <c r="T200" s="521" t="s">
        <v>814</v>
      </c>
      <c r="U200" s="522">
        <f>BK200/1100000</f>
        <v>0</v>
      </c>
      <c r="V200" s="523" t="s">
        <v>832</v>
      </c>
      <c r="W200" s="524" t="e">
        <f>U200*0.75-(#REF!+W201)</f>
        <v>#REF!</v>
      </c>
      <c r="X200" s="299" t="s">
        <v>812</v>
      </c>
      <c r="Y200" s="547" t="s">
        <v>813</v>
      </c>
      <c r="Z200" s="260" t="s">
        <v>1848</v>
      </c>
      <c r="AA200" s="260"/>
      <c r="AB200" s="80" t="s">
        <v>814</v>
      </c>
      <c r="AC200" s="81">
        <v>41800000</v>
      </c>
      <c r="AD200" s="82" t="s">
        <v>35</v>
      </c>
      <c r="AE200" s="83">
        <f>SUM(AF200:BB200)</f>
        <v>0</v>
      </c>
      <c r="AF200" s="91" t="s">
        <v>1078</v>
      </c>
      <c r="AG200" s="92"/>
      <c r="AH200" s="92" t="s">
        <v>1079</v>
      </c>
      <c r="AI200" s="92"/>
      <c r="AJ200" s="92" t="s">
        <v>1080</v>
      </c>
      <c r="AK200" s="92"/>
      <c r="AL200" s="92" t="s">
        <v>1080</v>
      </c>
      <c r="AM200" s="92"/>
      <c r="AN200" s="92" t="s">
        <v>1080</v>
      </c>
      <c r="AO200" s="92"/>
      <c r="AP200" s="92"/>
      <c r="AQ200" s="92"/>
      <c r="AR200" s="92"/>
      <c r="AS200" s="92"/>
      <c r="AT200" s="92"/>
      <c r="AU200" s="92"/>
      <c r="AV200" s="92"/>
      <c r="AW200" s="92"/>
      <c r="AX200" s="92"/>
      <c r="AY200" s="92"/>
      <c r="AZ200" s="92"/>
      <c r="BA200" s="92"/>
      <c r="BB200" s="92"/>
    </row>
    <row r="201" spans="1:56" s="78" customFormat="1" ht="22.5" customHeight="1" thickBot="1">
      <c r="A201" s="258"/>
      <c r="B201" s="558"/>
      <c r="C201" s="245"/>
      <c r="D201" s="560"/>
      <c r="E201" s="560"/>
      <c r="F201" s="560"/>
      <c r="G201" s="560"/>
      <c r="H201" s="560"/>
      <c r="I201" s="560"/>
      <c r="J201" s="560"/>
      <c r="K201" s="560"/>
      <c r="L201" s="560"/>
      <c r="M201" s="560"/>
      <c r="N201" s="560"/>
      <c r="O201" s="560"/>
      <c r="P201" s="502"/>
      <c r="Q201" s="495"/>
      <c r="R201" s="557"/>
      <c r="S201" s="531" t="s">
        <v>1849</v>
      </c>
      <c r="T201" s="526" t="s">
        <v>817</v>
      </c>
      <c r="U201" s="527" t="e">
        <f>U200-#REF!</f>
        <v>#REF!</v>
      </c>
      <c r="V201" s="532" t="s">
        <v>818</v>
      </c>
      <c r="W201" s="529" t="e">
        <f>(#REF!+BM201)/1100000</f>
        <v>#REF!</v>
      </c>
      <c r="X201" s="89"/>
      <c r="Y201" s="73"/>
      <c r="Z201" s="261"/>
      <c r="AA201" s="261"/>
      <c r="AB201" s="80" t="s">
        <v>817</v>
      </c>
      <c r="AC201" s="81" t="e">
        <f>AC200-#REF!</f>
        <v>#REF!</v>
      </c>
      <c r="AD201" s="82" t="s">
        <v>824</v>
      </c>
      <c r="AE201" s="83"/>
      <c r="AF201" s="77"/>
      <c r="AG201" s="77"/>
      <c r="AH201" s="77"/>
      <c r="AI201" s="77"/>
      <c r="AJ201" s="77"/>
      <c r="AK201" s="77"/>
      <c r="AL201" s="77"/>
      <c r="AM201" s="77"/>
      <c r="AN201" s="77"/>
      <c r="AO201" s="77"/>
      <c r="AP201" s="77"/>
      <c r="AQ201" s="77"/>
      <c r="AR201" s="77"/>
      <c r="AS201" s="77"/>
      <c r="AT201" s="77"/>
      <c r="AU201" s="77"/>
      <c r="AV201" s="77"/>
      <c r="AW201" s="77"/>
      <c r="AX201" s="77"/>
      <c r="AY201" s="77"/>
      <c r="AZ201" s="77"/>
      <c r="BA201" s="77"/>
      <c r="BB201" s="77"/>
    </row>
    <row r="202" spans="1:56" s="78" customFormat="1" ht="22.5" customHeight="1" thickBot="1">
      <c r="A202" s="257" t="s">
        <v>1850</v>
      </c>
      <c r="B202" s="554">
        <v>1</v>
      </c>
      <c r="C202" s="244">
        <f>B202+D202+E202+F202+G202+I202+H202+J202+K202+L202+M202+N202+O202</f>
        <v>1</v>
      </c>
      <c r="D202" s="525"/>
      <c r="E202" s="525"/>
      <c r="F202" s="525"/>
      <c r="G202" s="525"/>
      <c r="H202" s="525"/>
      <c r="I202" s="525"/>
      <c r="J202" s="525"/>
      <c r="K202" s="525"/>
      <c r="L202" s="525"/>
      <c r="M202" s="525"/>
      <c r="N202" s="525"/>
      <c r="O202" s="525"/>
      <c r="P202" s="490" t="s">
        <v>1846</v>
      </c>
      <c r="Q202" s="490" t="s">
        <v>1854</v>
      </c>
      <c r="R202" s="553" t="s">
        <v>1851</v>
      </c>
      <c r="S202" s="645" t="s">
        <v>1852</v>
      </c>
      <c r="T202" s="521" t="s">
        <v>814</v>
      </c>
      <c r="U202" s="522">
        <f>BK202/1100000</f>
        <v>0</v>
      </c>
      <c r="V202" s="523" t="s">
        <v>832</v>
      </c>
      <c r="W202" s="524" t="e">
        <f>U202*0.75-(#REF!+W203)</f>
        <v>#REF!</v>
      </c>
      <c r="X202" s="299" t="s">
        <v>812</v>
      </c>
      <c r="Y202" s="547" t="s">
        <v>813</v>
      </c>
      <c r="Z202" s="260" t="s">
        <v>1855</v>
      </c>
      <c r="AA202" s="260"/>
      <c r="AB202" s="80" t="s">
        <v>814</v>
      </c>
      <c r="AC202" s="81">
        <v>62670000</v>
      </c>
      <c r="AD202" s="82" t="s">
        <v>35</v>
      </c>
      <c r="AE202" s="83">
        <f>SUM(AF202:BB202)</f>
        <v>0</v>
      </c>
      <c r="AF202" s="91" t="s">
        <v>1078</v>
      </c>
      <c r="AG202" s="92"/>
      <c r="AH202" s="92" t="s">
        <v>1079</v>
      </c>
      <c r="AI202" s="92"/>
      <c r="AJ202" s="92" t="s">
        <v>1080</v>
      </c>
      <c r="AK202" s="92"/>
      <c r="AL202" s="92" t="s">
        <v>1080</v>
      </c>
      <c r="AM202" s="92"/>
      <c r="AN202" s="92" t="s">
        <v>1080</v>
      </c>
      <c r="AO202" s="92"/>
      <c r="AP202" s="92"/>
      <c r="AQ202" s="92"/>
      <c r="AR202" s="92"/>
      <c r="AS202" s="92"/>
      <c r="AT202" s="92"/>
      <c r="AU202" s="92"/>
      <c r="AV202" s="92"/>
      <c r="AW202" s="92"/>
      <c r="AX202" s="92"/>
      <c r="AY202" s="92"/>
      <c r="AZ202" s="92"/>
      <c r="BA202" s="92"/>
      <c r="BB202" s="92"/>
    </row>
    <row r="203" spans="1:56" s="78" customFormat="1" ht="22.5" customHeight="1" thickBot="1">
      <c r="A203" s="258"/>
      <c r="B203" s="558"/>
      <c r="C203" s="245"/>
      <c r="D203" s="560"/>
      <c r="E203" s="560"/>
      <c r="F203" s="560"/>
      <c r="G203" s="560"/>
      <c r="H203" s="560"/>
      <c r="I203" s="560"/>
      <c r="J203" s="560"/>
      <c r="K203" s="560"/>
      <c r="L203" s="560"/>
      <c r="M203" s="560"/>
      <c r="N203" s="560"/>
      <c r="O203" s="560"/>
      <c r="P203" s="502"/>
      <c r="Q203" s="495"/>
      <c r="R203" s="557"/>
      <c r="S203" s="240" t="s">
        <v>1857</v>
      </c>
      <c r="T203" s="526" t="s">
        <v>1858</v>
      </c>
      <c r="U203" s="527" t="e">
        <f>U202-#REF!</f>
        <v>#REF!</v>
      </c>
      <c r="V203" s="532" t="s">
        <v>1859</v>
      </c>
      <c r="W203" s="529" t="e">
        <f>(#REF!+BM203)/1100000</f>
        <v>#REF!</v>
      </c>
      <c r="X203" s="89"/>
      <c r="Y203" s="73"/>
      <c r="Z203" s="261"/>
      <c r="AA203" s="261"/>
      <c r="AB203" s="80" t="s">
        <v>1858</v>
      </c>
      <c r="AC203" s="81" t="e">
        <f>AC202-#REF!</f>
        <v>#REF!</v>
      </c>
      <c r="AD203" s="82" t="s">
        <v>1860</v>
      </c>
      <c r="AE203" s="83"/>
      <c r="AF203" s="77"/>
      <c r="AG203" s="77"/>
      <c r="AH203" s="77"/>
      <c r="AI203" s="77"/>
      <c r="AJ203" s="77"/>
      <c r="AK203" s="77"/>
      <c r="AL203" s="77"/>
      <c r="AM203" s="77"/>
      <c r="AN203" s="77"/>
      <c r="AO203" s="77"/>
      <c r="AP203" s="77"/>
      <c r="AQ203" s="77"/>
      <c r="AR203" s="77"/>
      <c r="AS203" s="77"/>
      <c r="AT203" s="77"/>
      <c r="AU203" s="77"/>
      <c r="AV203" s="77"/>
      <c r="AW203" s="77"/>
      <c r="AX203" s="77"/>
      <c r="AY203" s="77"/>
      <c r="AZ203" s="77"/>
      <c r="BA203" s="77"/>
      <c r="BB203" s="77"/>
    </row>
    <row r="204" spans="1:56" s="78" customFormat="1" ht="22.5" customHeight="1" thickBot="1">
      <c r="A204" s="563" t="s">
        <v>1861</v>
      </c>
      <c r="B204" s="554">
        <v>1</v>
      </c>
      <c r="C204" s="244">
        <f>B204+D204+E204+F204+G204+I204+H204+J204+K204+L204+M204+N204+O204</f>
        <v>1</v>
      </c>
      <c r="D204" s="525"/>
      <c r="E204" s="525"/>
      <c r="F204" s="525"/>
      <c r="G204" s="525"/>
      <c r="H204" s="525"/>
      <c r="I204" s="525"/>
      <c r="J204" s="525"/>
      <c r="K204" s="525"/>
      <c r="L204" s="525"/>
      <c r="M204" s="525"/>
      <c r="N204" s="525"/>
      <c r="O204" s="525"/>
      <c r="P204" s="490" t="s">
        <v>1866</v>
      </c>
      <c r="Q204" s="490" t="s">
        <v>1867</v>
      </c>
      <c r="R204" s="553" t="s">
        <v>1862</v>
      </c>
      <c r="S204" s="520" t="s">
        <v>1863</v>
      </c>
      <c r="T204" s="521" t="s">
        <v>1864</v>
      </c>
      <c r="U204" s="522">
        <f>BK204/1100000</f>
        <v>0</v>
      </c>
      <c r="V204" s="523" t="s">
        <v>1865</v>
      </c>
      <c r="W204" s="524" t="e">
        <f>U204*0.75-(#REF!+W205)</f>
        <v>#REF!</v>
      </c>
      <c r="X204" s="299" t="s">
        <v>1868</v>
      </c>
      <c r="Y204" s="547" t="s">
        <v>1869</v>
      </c>
      <c r="Z204" s="260" t="s">
        <v>1870</v>
      </c>
      <c r="AA204" s="260"/>
      <c r="AB204" s="80" t="s">
        <v>1864</v>
      </c>
      <c r="AC204" s="81">
        <v>167732000</v>
      </c>
      <c r="AD204" s="82" t="s">
        <v>1871</v>
      </c>
      <c r="AE204" s="83">
        <f>SUM(AF204:BB204)</f>
        <v>20000000</v>
      </c>
      <c r="AF204" s="91" t="s">
        <v>1872</v>
      </c>
      <c r="AG204" s="92">
        <v>20000000</v>
      </c>
      <c r="AH204" s="92" t="s">
        <v>1873</v>
      </c>
      <c r="AI204" s="92"/>
      <c r="AJ204" s="92" t="s">
        <v>1856</v>
      </c>
      <c r="AK204" s="92"/>
      <c r="AL204" s="92" t="s">
        <v>1856</v>
      </c>
      <c r="AM204" s="92"/>
      <c r="AN204" s="92" t="s">
        <v>1856</v>
      </c>
      <c r="AO204" s="92"/>
      <c r="AP204" s="92"/>
      <c r="AQ204" s="92"/>
      <c r="AR204" s="92"/>
      <c r="AS204" s="92"/>
      <c r="AT204" s="92"/>
      <c r="AU204" s="92"/>
      <c r="AV204" s="92"/>
      <c r="AW204" s="92"/>
      <c r="AX204" s="92"/>
      <c r="AY204" s="92"/>
      <c r="AZ204" s="92"/>
      <c r="BA204" s="92"/>
      <c r="BB204" s="92"/>
    </row>
    <row r="205" spans="1:56" s="78" customFormat="1" ht="22.5" customHeight="1" thickBot="1">
      <c r="A205" s="564"/>
      <c r="B205" s="558"/>
      <c r="C205" s="245"/>
      <c r="D205" s="560"/>
      <c r="E205" s="560"/>
      <c r="F205" s="560"/>
      <c r="G205" s="560"/>
      <c r="H205" s="560"/>
      <c r="I205" s="560"/>
      <c r="J205" s="560"/>
      <c r="K205" s="560"/>
      <c r="L205" s="560"/>
      <c r="M205" s="560"/>
      <c r="N205" s="560"/>
      <c r="O205" s="560"/>
      <c r="P205" s="502"/>
      <c r="Q205" s="495"/>
      <c r="R205" s="557"/>
      <c r="S205" s="531" t="s">
        <v>1857</v>
      </c>
      <c r="T205" s="526" t="s">
        <v>1858</v>
      </c>
      <c r="U205" s="527" t="e">
        <f>U204-#REF!</f>
        <v>#REF!</v>
      </c>
      <c r="V205" s="532" t="s">
        <v>1859</v>
      </c>
      <c r="W205" s="529">
        <v>38.6</v>
      </c>
      <c r="X205" s="89"/>
      <c r="Y205" s="73"/>
      <c r="Z205" s="261"/>
      <c r="AA205" s="261"/>
      <c r="AB205" s="80" t="s">
        <v>1858</v>
      </c>
      <c r="AC205" s="81" t="e">
        <f>AC204-#REF!</f>
        <v>#REF!</v>
      </c>
      <c r="AD205" s="82" t="s">
        <v>1860</v>
      </c>
      <c r="AE205" s="83"/>
      <c r="AF205" s="77"/>
      <c r="AG205" s="77"/>
      <c r="AH205" s="77"/>
      <c r="AI205" s="77"/>
      <c r="AJ205" s="77"/>
      <c r="AK205" s="77"/>
      <c r="AL205" s="77"/>
      <c r="AM205" s="77"/>
      <c r="AN205" s="77"/>
      <c r="AO205" s="77"/>
      <c r="AP205" s="77"/>
      <c r="AQ205" s="77"/>
      <c r="AR205" s="77"/>
      <c r="AS205" s="77"/>
      <c r="AT205" s="77"/>
      <c r="AU205" s="77"/>
      <c r="AV205" s="77"/>
      <c r="AW205" s="77"/>
      <c r="AX205" s="77"/>
      <c r="AY205" s="77"/>
      <c r="AZ205" s="77"/>
      <c r="BA205" s="77"/>
      <c r="BB205" s="77"/>
    </row>
    <row r="206" spans="1:56" s="78" customFormat="1" ht="22.5" customHeight="1" thickBot="1">
      <c r="A206" s="257" t="s">
        <v>1874</v>
      </c>
      <c r="B206" s="554">
        <v>1</v>
      </c>
      <c r="C206" s="244">
        <f>B206+D206+E206+F206+G206+I206+H206+J206+K206+L206+M206+N206+O206</f>
        <v>1</v>
      </c>
      <c r="D206" s="525"/>
      <c r="E206" s="525"/>
      <c r="F206" s="525"/>
      <c r="G206" s="525"/>
      <c r="H206" s="525"/>
      <c r="I206" s="525"/>
      <c r="J206" s="525"/>
      <c r="K206" s="525"/>
      <c r="L206" s="525"/>
      <c r="M206" s="525"/>
      <c r="N206" s="525"/>
      <c r="O206" s="525"/>
      <c r="P206" s="490" t="s">
        <v>1866</v>
      </c>
      <c r="Q206" s="490" t="s">
        <v>1878</v>
      </c>
      <c r="R206" s="553" t="s">
        <v>1875</v>
      </c>
      <c r="S206" s="520" t="s">
        <v>1876</v>
      </c>
      <c r="T206" s="521" t="s">
        <v>1864</v>
      </c>
      <c r="U206" s="522">
        <f>BK206/1100000</f>
        <v>0</v>
      </c>
      <c r="V206" s="523" t="s">
        <v>1877</v>
      </c>
      <c r="W206" s="524" t="e">
        <f>#REF!/1100000</f>
        <v>#REF!</v>
      </c>
      <c r="X206" s="299" t="s">
        <v>1868</v>
      </c>
      <c r="Y206" s="547" t="s">
        <v>1869</v>
      </c>
      <c r="Z206" s="260" t="s">
        <v>1879</v>
      </c>
      <c r="AA206" s="260"/>
      <c r="AB206" s="80" t="s">
        <v>1864</v>
      </c>
      <c r="AC206" s="790">
        <v>210181000</v>
      </c>
      <c r="AD206" s="82" t="s">
        <v>1871</v>
      </c>
      <c r="AE206" s="83">
        <f>SUM(AF206:BB206)</f>
        <v>85000000</v>
      </c>
      <c r="AF206" s="91" t="s">
        <v>1880</v>
      </c>
      <c r="AG206" s="92">
        <v>60000000</v>
      </c>
      <c r="AH206" s="92" t="s">
        <v>1881</v>
      </c>
      <c r="AI206" s="92">
        <v>15000000</v>
      </c>
      <c r="AJ206" s="92" t="s">
        <v>1882</v>
      </c>
      <c r="AK206" s="92">
        <v>10000000</v>
      </c>
      <c r="AL206" s="92" t="s">
        <v>1856</v>
      </c>
      <c r="AM206" s="92"/>
      <c r="AN206" s="92" t="s">
        <v>1856</v>
      </c>
      <c r="AO206" s="92"/>
      <c r="AP206" s="92"/>
      <c r="AQ206" s="92"/>
      <c r="AR206" s="92"/>
      <c r="AS206" s="92"/>
      <c r="AT206" s="92"/>
      <c r="AU206" s="92"/>
      <c r="AV206" s="92"/>
      <c r="AW206" s="92"/>
      <c r="AX206" s="92"/>
      <c r="AY206" s="92"/>
      <c r="AZ206" s="92"/>
      <c r="BA206" s="92"/>
      <c r="BB206" s="92"/>
    </row>
    <row r="207" spans="1:56" s="78" customFormat="1" ht="22.5" customHeight="1" thickBot="1">
      <c r="A207" s="258"/>
      <c r="B207" s="558"/>
      <c r="C207" s="245"/>
      <c r="D207" s="560"/>
      <c r="E207" s="560"/>
      <c r="F207" s="560"/>
      <c r="G207" s="560"/>
      <c r="H207" s="560"/>
      <c r="I207" s="560"/>
      <c r="J207" s="560"/>
      <c r="K207" s="560"/>
      <c r="L207" s="560"/>
      <c r="M207" s="560"/>
      <c r="N207" s="560"/>
      <c r="O207" s="560"/>
      <c r="P207" s="502"/>
      <c r="Q207" s="495"/>
      <c r="R207" s="557"/>
      <c r="S207" s="531"/>
      <c r="T207" s="526" t="s">
        <v>1858</v>
      </c>
      <c r="U207" s="527" t="e">
        <f>U206-#REF!</f>
        <v>#REF!</v>
      </c>
      <c r="V207" s="532" t="s">
        <v>1858</v>
      </c>
      <c r="W207" s="529" t="e">
        <f>W206-#REF!</f>
        <v>#REF!</v>
      </c>
      <c r="X207" s="89"/>
      <c r="Y207" s="73"/>
      <c r="Z207" s="261"/>
      <c r="AA207" s="261"/>
      <c r="AB207" s="80" t="s">
        <v>1858</v>
      </c>
      <c r="AC207" s="81" t="e">
        <f>AC206-#REF!</f>
        <v>#REF!</v>
      </c>
      <c r="AD207" s="82" t="s">
        <v>1860</v>
      </c>
      <c r="AE207" s="83"/>
      <c r="AF207" s="791"/>
      <c r="AG207" s="77"/>
      <c r="AH207" s="77"/>
      <c r="AI207" s="77"/>
      <c r="AJ207" s="77"/>
      <c r="AK207" s="77"/>
      <c r="AL207" s="77"/>
      <c r="AM207" s="77"/>
      <c r="AN207" s="77"/>
      <c r="AO207" s="77"/>
      <c r="AP207" s="77"/>
      <c r="AQ207" s="77"/>
      <c r="AR207" s="77"/>
      <c r="AS207" s="77"/>
      <c r="AT207" s="77"/>
      <c r="AU207" s="77"/>
      <c r="AV207" s="77"/>
      <c r="AW207" s="77"/>
      <c r="AX207" s="77"/>
      <c r="AY207" s="77"/>
      <c r="AZ207" s="77"/>
      <c r="BA207" s="77"/>
      <c r="BB207" s="77"/>
    </row>
    <row r="208" spans="1:56" s="78" customFormat="1" ht="22.5" customHeight="1" thickBot="1">
      <c r="A208" s="257" t="s">
        <v>1884</v>
      </c>
      <c r="B208" s="554">
        <v>0.2</v>
      </c>
      <c r="C208" s="244">
        <f>B208+D208+E208+F208+G208+I208+H208+J208+K208+L208+M208+N208+O208</f>
        <v>0.34000000000000008</v>
      </c>
      <c r="D208" s="525">
        <v>0.05</v>
      </c>
      <c r="E208" s="525">
        <v>0.01</v>
      </c>
      <c r="F208" s="525">
        <v>0.01</v>
      </c>
      <c r="G208" s="525">
        <v>0.01</v>
      </c>
      <c r="H208" s="525">
        <v>0.01</v>
      </c>
      <c r="I208" s="525">
        <v>0.01</v>
      </c>
      <c r="J208" s="525">
        <v>0.01</v>
      </c>
      <c r="K208" s="525">
        <v>0.01</v>
      </c>
      <c r="L208" s="525">
        <v>0.01</v>
      </c>
      <c r="M208" s="525">
        <v>0.01</v>
      </c>
      <c r="N208" s="525"/>
      <c r="O208" s="525"/>
      <c r="P208" s="490" t="s">
        <v>1887</v>
      </c>
      <c r="Q208" s="490" t="s">
        <v>1888</v>
      </c>
      <c r="R208" s="553" t="s">
        <v>1885</v>
      </c>
      <c r="S208" s="520" t="s">
        <v>1886</v>
      </c>
      <c r="T208" s="521" t="s">
        <v>1864</v>
      </c>
      <c r="U208" s="522">
        <f>BK208/1100000</f>
        <v>0</v>
      </c>
      <c r="V208" s="523" t="s">
        <v>1865</v>
      </c>
      <c r="W208" s="524" t="e">
        <f>U208*0.75-(#REF!+W209)</f>
        <v>#REF!</v>
      </c>
      <c r="X208" s="299" t="s">
        <v>1868</v>
      </c>
      <c r="Y208" s="547" t="s">
        <v>1869</v>
      </c>
      <c r="Z208" s="260" t="s">
        <v>1889</v>
      </c>
      <c r="AA208" s="260"/>
      <c r="AB208" s="80" t="s">
        <v>1864</v>
      </c>
      <c r="AC208" s="81">
        <v>183462000</v>
      </c>
      <c r="AD208" s="82" t="s">
        <v>1871</v>
      </c>
      <c r="AE208" s="83">
        <f>SUM(AF208:BB208)</f>
        <v>0</v>
      </c>
      <c r="AF208" s="91" t="s">
        <v>1872</v>
      </c>
      <c r="AG208" s="92"/>
      <c r="AH208" s="92" t="s">
        <v>1873</v>
      </c>
      <c r="AI208" s="92"/>
      <c r="AJ208" s="92" t="s">
        <v>1856</v>
      </c>
      <c r="AK208" s="92"/>
      <c r="AL208" s="92" t="s">
        <v>1856</v>
      </c>
      <c r="AM208" s="92"/>
      <c r="AN208" s="92" t="s">
        <v>1856</v>
      </c>
      <c r="AO208" s="92"/>
      <c r="AP208" s="92"/>
      <c r="AQ208" s="92"/>
      <c r="AR208" s="92"/>
      <c r="AS208" s="92"/>
      <c r="AT208" s="92"/>
      <c r="AU208" s="92"/>
      <c r="AV208" s="92"/>
      <c r="AW208" s="92"/>
      <c r="AX208" s="92"/>
      <c r="AY208" s="92"/>
      <c r="AZ208" s="92"/>
      <c r="BA208" s="92"/>
      <c r="BB208" s="92"/>
    </row>
    <row r="209" spans="1:54" s="78" customFormat="1" ht="22.5" customHeight="1" thickBot="1">
      <c r="A209" s="258"/>
      <c r="B209" s="558"/>
      <c r="C209" s="245"/>
      <c r="D209" s="560"/>
      <c r="E209" s="560"/>
      <c r="F209" s="560"/>
      <c r="G209" s="560"/>
      <c r="H209" s="560"/>
      <c r="I209" s="560"/>
      <c r="J209" s="560"/>
      <c r="K209" s="560"/>
      <c r="L209" s="560"/>
      <c r="M209" s="560"/>
      <c r="N209" s="560"/>
      <c r="O209" s="560"/>
      <c r="P209" s="502"/>
      <c r="Q209" s="495"/>
      <c r="R209" s="557"/>
      <c r="S209" s="531" t="s">
        <v>1890</v>
      </c>
      <c r="T209" s="526" t="s">
        <v>1858</v>
      </c>
      <c r="U209" s="527" t="e">
        <f>U208-#REF!</f>
        <v>#REF!</v>
      </c>
      <c r="V209" s="532" t="s">
        <v>1859</v>
      </c>
      <c r="W209" s="529">
        <v>35</v>
      </c>
      <c r="X209" s="89"/>
      <c r="Y209" s="73"/>
      <c r="Z209" s="261"/>
      <c r="AA209" s="261"/>
      <c r="AB209" s="80" t="s">
        <v>1858</v>
      </c>
      <c r="AC209" s="81" t="e">
        <f>AC208-#REF!</f>
        <v>#REF!</v>
      </c>
      <c r="AD209" s="82" t="s">
        <v>1860</v>
      </c>
      <c r="AE209" s="83"/>
      <c r="AF209" s="77"/>
      <c r="AG209" s="77"/>
      <c r="AH209" s="77"/>
      <c r="AI209" s="77"/>
      <c r="AJ209" s="77"/>
      <c r="AK209" s="77"/>
      <c r="AL209" s="77"/>
      <c r="AM209" s="77"/>
      <c r="AN209" s="77"/>
      <c r="AO209" s="77"/>
      <c r="AP209" s="77"/>
      <c r="AQ209" s="77"/>
      <c r="AR209" s="77"/>
      <c r="AS209" s="77"/>
      <c r="AT209" s="77"/>
      <c r="AU209" s="77"/>
      <c r="AV209" s="77"/>
      <c r="AW209" s="77"/>
      <c r="AX209" s="77"/>
      <c r="AY209" s="77"/>
      <c r="AZ209" s="77"/>
      <c r="BA209" s="77"/>
      <c r="BB209" s="77"/>
    </row>
    <row r="210" spans="1:54" s="78" customFormat="1" ht="22.5" customHeight="1" thickBot="1">
      <c r="A210" s="257" t="s">
        <v>1891</v>
      </c>
      <c r="B210" s="554">
        <v>0.35</v>
      </c>
      <c r="C210" s="244">
        <f>B210+D210+E210+F210+G210+I210+H210+J210+K210+L210+M210+N210+O210</f>
        <v>0.35</v>
      </c>
      <c r="D210" s="525"/>
      <c r="E210" s="525"/>
      <c r="F210" s="525"/>
      <c r="G210" s="525"/>
      <c r="H210" s="525"/>
      <c r="I210" s="525"/>
      <c r="J210" s="525"/>
      <c r="K210" s="525"/>
      <c r="L210" s="525"/>
      <c r="M210" s="525"/>
      <c r="N210" s="525"/>
      <c r="O210" s="525"/>
      <c r="P210" s="490" t="s">
        <v>1894</v>
      </c>
      <c r="Q210" s="490" t="s">
        <v>1895</v>
      </c>
      <c r="R210" s="553" t="s">
        <v>1892</v>
      </c>
      <c r="S210" s="520" t="s">
        <v>1893</v>
      </c>
      <c r="T210" s="521" t="s">
        <v>1864</v>
      </c>
      <c r="U210" s="522">
        <f>BK210/1100000</f>
        <v>0</v>
      </c>
      <c r="V210" s="523" t="s">
        <v>1865</v>
      </c>
      <c r="W210" s="524" t="e">
        <f>U210*0.75-(#REF!+W211)</f>
        <v>#REF!</v>
      </c>
      <c r="X210" s="299" t="s">
        <v>1868</v>
      </c>
      <c r="Y210" s="547" t="s">
        <v>1869</v>
      </c>
      <c r="Z210" s="260" t="s">
        <v>1896</v>
      </c>
      <c r="AA210" s="260"/>
      <c r="AB210" s="80" t="s">
        <v>1864</v>
      </c>
      <c r="AC210" s="81">
        <v>11327000</v>
      </c>
      <c r="AD210" s="82" t="s">
        <v>1871</v>
      </c>
      <c r="AE210" s="83">
        <f>SUM(AF210:BB210)</f>
        <v>0</v>
      </c>
      <c r="AF210" s="91" t="s">
        <v>1872</v>
      </c>
      <c r="AG210" s="92"/>
      <c r="AH210" s="92" t="s">
        <v>1873</v>
      </c>
      <c r="AI210" s="92"/>
      <c r="AJ210" s="92" t="s">
        <v>1856</v>
      </c>
      <c r="AK210" s="92"/>
      <c r="AL210" s="92" t="s">
        <v>1856</v>
      </c>
      <c r="AM210" s="92"/>
      <c r="AN210" s="92" t="s">
        <v>1856</v>
      </c>
      <c r="AO210" s="92"/>
      <c r="AP210" s="92"/>
      <c r="AQ210" s="92"/>
      <c r="AR210" s="92"/>
      <c r="AS210" s="92"/>
      <c r="AT210" s="92"/>
      <c r="AU210" s="92"/>
      <c r="AV210" s="92"/>
      <c r="AW210" s="92"/>
      <c r="AX210" s="92"/>
      <c r="AY210" s="92"/>
      <c r="AZ210" s="92"/>
      <c r="BA210" s="92"/>
      <c r="BB210" s="92"/>
    </row>
    <row r="211" spans="1:54" s="78" customFormat="1" ht="22.5" customHeight="1" thickBot="1">
      <c r="A211" s="258"/>
      <c r="B211" s="558"/>
      <c r="C211" s="245"/>
      <c r="D211" s="560"/>
      <c r="E211" s="560"/>
      <c r="F211" s="560"/>
      <c r="G211" s="560"/>
      <c r="H211" s="560"/>
      <c r="I211" s="560"/>
      <c r="J211" s="560"/>
      <c r="K211" s="560"/>
      <c r="L211" s="560"/>
      <c r="M211" s="560"/>
      <c r="N211" s="560"/>
      <c r="O211" s="560"/>
      <c r="P211" s="502"/>
      <c r="Q211" s="495"/>
      <c r="R211" s="557"/>
      <c r="S211" s="531" t="s">
        <v>1897</v>
      </c>
      <c r="T211" s="526" t="s">
        <v>1858</v>
      </c>
      <c r="U211" s="527" t="e">
        <f>U210-#REF!</f>
        <v>#REF!</v>
      </c>
      <c r="V211" s="532" t="s">
        <v>1859</v>
      </c>
      <c r="W211" s="529" t="e">
        <f>(#REF!+BM211)/1100000</f>
        <v>#REF!</v>
      </c>
      <c r="X211" s="89"/>
      <c r="Y211" s="73"/>
      <c r="Z211" s="261"/>
      <c r="AA211" s="261"/>
      <c r="AB211" s="80" t="s">
        <v>1858</v>
      </c>
      <c r="AC211" s="81" t="e">
        <f>AC210-#REF!</f>
        <v>#REF!</v>
      </c>
      <c r="AD211" s="82" t="s">
        <v>1860</v>
      </c>
      <c r="AE211" s="83"/>
      <c r="AF211" s="77"/>
      <c r="AG211" s="77"/>
      <c r="AH211" s="77"/>
      <c r="AI211" s="77"/>
      <c r="AJ211" s="77"/>
      <c r="AK211" s="77"/>
      <c r="AL211" s="77"/>
      <c r="AM211" s="77"/>
      <c r="AN211" s="77"/>
      <c r="AO211" s="77"/>
      <c r="AP211" s="77"/>
      <c r="AQ211" s="77"/>
      <c r="AR211" s="77"/>
      <c r="AS211" s="77"/>
      <c r="AT211" s="77"/>
      <c r="AU211" s="77"/>
      <c r="AV211" s="77"/>
      <c r="AW211" s="77"/>
      <c r="AX211" s="77"/>
      <c r="AY211" s="77"/>
      <c r="AZ211" s="77"/>
      <c r="BA211" s="77"/>
      <c r="BB211" s="77"/>
    </row>
    <row r="212" spans="1:54" s="78" customFormat="1" ht="22.5" customHeight="1" thickBot="1">
      <c r="A212" s="257" t="s">
        <v>1898</v>
      </c>
      <c r="B212" s="554">
        <v>1</v>
      </c>
      <c r="C212" s="244">
        <f>B212+D212+E212+F212+G212+I212+H212+J212+K212+L212+M212+N212+O212</f>
        <v>1</v>
      </c>
      <c r="D212" s="525"/>
      <c r="E212" s="525"/>
      <c r="F212" s="525"/>
      <c r="G212" s="525"/>
      <c r="H212" s="525"/>
      <c r="I212" s="525"/>
      <c r="J212" s="525"/>
      <c r="K212" s="525"/>
      <c r="L212" s="525"/>
      <c r="M212" s="525"/>
      <c r="N212" s="525"/>
      <c r="O212" s="525"/>
      <c r="P212" s="490" t="s">
        <v>1866</v>
      </c>
      <c r="Q212" s="490" t="s">
        <v>1901</v>
      </c>
      <c r="R212" s="553" t="s">
        <v>1899</v>
      </c>
      <c r="S212" s="520" t="s">
        <v>1900</v>
      </c>
      <c r="T212" s="521" t="s">
        <v>1864</v>
      </c>
      <c r="U212" s="522">
        <f>BK212/1100000</f>
        <v>0</v>
      </c>
      <c r="V212" s="523" t="s">
        <v>1865</v>
      </c>
      <c r="W212" s="524" t="e">
        <f>U212*0.75-(#REF!+W213)</f>
        <v>#REF!</v>
      </c>
      <c r="X212" s="299" t="s">
        <v>1868</v>
      </c>
      <c r="Y212" s="547" t="s">
        <v>1869</v>
      </c>
      <c r="Z212" s="260" t="s">
        <v>1902</v>
      </c>
      <c r="AA212" s="260"/>
      <c r="AB212" s="80" t="s">
        <v>1864</v>
      </c>
      <c r="AC212" s="81">
        <v>110613000</v>
      </c>
      <c r="AD212" s="82" t="s">
        <v>1871</v>
      </c>
      <c r="AE212" s="83">
        <f>SUM(AF212:BB212)</f>
        <v>0</v>
      </c>
      <c r="AF212" s="91" t="s">
        <v>1872</v>
      </c>
      <c r="AG212" s="92"/>
      <c r="AH212" s="92" t="s">
        <v>1873</v>
      </c>
      <c r="AI212" s="92"/>
      <c r="AJ212" s="92" t="s">
        <v>1856</v>
      </c>
      <c r="AK212" s="92"/>
      <c r="AL212" s="92" t="s">
        <v>1856</v>
      </c>
      <c r="AM212" s="92"/>
      <c r="AN212" s="92" t="s">
        <v>1856</v>
      </c>
      <c r="AO212" s="92"/>
      <c r="AP212" s="92"/>
      <c r="AQ212" s="92"/>
      <c r="AR212" s="92"/>
      <c r="AS212" s="92"/>
      <c r="AT212" s="92"/>
      <c r="AU212" s="92"/>
      <c r="AV212" s="92"/>
      <c r="AW212" s="92"/>
      <c r="AX212" s="92"/>
      <c r="AY212" s="92"/>
      <c r="AZ212" s="92"/>
      <c r="BA212" s="92"/>
      <c r="BB212" s="92"/>
    </row>
    <row r="213" spans="1:54" s="78" customFormat="1" ht="22.5" customHeight="1" thickBot="1">
      <c r="A213" s="258"/>
      <c r="B213" s="558"/>
      <c r="C213" s="245"/>
      <c r="D213" s="560"/>
      <c r="E213" s="560"/>
      <c r="F213" s="560"/>
      <c r="G213" s="560"/>
      <c r="H213" s="560"/>
      <c r="I213" s="560"/>
      <c r="J213" s="560"/>
      <c r="K213" s="560"/>
      <c r="L213" s="560"/>
      <c r="M213" s="560"/>
      <c r="N213" s="560"/>
      <c r="O213" s="560"/>
      <c r="P213" s="502"/>
      <c r="Q213" s="495"/>
      <c r="R213" s="557"/>
      <c r="S213" s="531"/>
      <c r="T213" s="526" t="s">
        <v>1858</v>
      </c>
      <c r="U213" s="527" t="e">
        <f>U212-#REF!</f>
        <v>#REF!</v>
      </c>
      <c r="V213" s="532" t="s">
        <v>1859</v>
      </c>
      <c r="W213" s="529" t="e">
        <f>(#REF!+BM213)/1100000</f>
        <v>#REF!</v>
      </c>
      <c r="X213" s="792"/>
      <c r="Y213" s="793"/>
      <c r="Z213" s="261"/>
      <c r="AA213" s="261"/>
      <c r="AB213" s="80" t="s">
        <v>1858</v>
      </c>
      <c r="AC213" s="81" t="e">
        <f>AC212-#REF!</f>
        <v>#REF!</v>
      </c>
      <c r="AD213" s="82" t="s">
        <v>1860</v>
      </c>
      <c r="AE213" s="83"/>
      <c r="AF213" s="77"/>
      <c r="AG213" s="77"/>
      <c r="AH213" s="77"/>
      <c r="AI213" s="77"/>
      <c r="AJ213" s="77"/>
      <c r="AK213" s="77"/>
      <c r="AL213" s="77"/>
      <c r="AM213" s="77"/>
      <c r="AN213" s="77"/>
      <c r="AO213" s="77"/>
      <c r="AP213" s="77"/>
      <c r="AQ213" s="77"/>
      <c r="AR213" s="77"/>
      <c r="AS213" s="77"/>
      <c r="AT213" s="77"/>
      <c r="AU213" s="77"/>
      <c r="AV213" s="77"/>
      <c r="AW213" s="77"/>
      <c r="AX213" s="77"/>
      <c r="AY213" s="77"/>
      <c r="AZ213" s="77"/>
      <c r="BA213" s="77"/>
      <c r="BB213" s="77"/>
    </row>
    <row r="214" spans="1:54" s="78" customFormat="1" ht="22.5" customHeight="1" thickBot="1">
      <c r="A214" s="563" t="s">
        <v>1903</v>
      </c>
      <c r="B214" s="554">
        <v>0.77</v>
      </c>
      <c r="C214" s="244">
        <f>B214+D214+E214+F214+G214+I214+H214+J214+K214+L214+M214+N214+O214</f>
        <v>0.99000000000000021</v>
      </c>
      <c r="D214" s="525">
        <v>0.01</v>
      </c>
      <c r="E214" s="525">
        <v>0.01</v>
      </c>
      <c r="F214" s="525">
        <v>0.05</v>
      </c>
      <c r="G214" s="525">
        <v>0.03</v>
      </c>
      <c r="H214" s="525">
        <v>0.03</v>
      </c>
      <c r="I214" s="525">
        <v>0.01</v>
      </c>
      <c r="J214" s="525">
        <v>0.01</v>
      </c>
      <c r="K214" s="525">
        <v>0.03</v>
      </c>
      <c r="L214" s="525">
        <v>0.03</v>
      </c>
      <c r="M214" s="525">
        <v>0.01</v>
      </c>
      <c r="N214" s="525"/>
      <c r="O214" s="525"/>
      <c r="P214" s="490" t="s">
        <v>1906</v>
      </c>
      <c r="Q214" s="490" t="s">
        <v>1907</v>
      </c>
      <c r="R214" s="553" t="s">
        <v>1904</v>
      </c>
      <c r="S214" s="520" t="s">
        <v>1905</v>
      </c>
      <c r="T214" s="521" t="s">
        <v>1864</v>
      </c>
      <c r="U214" s="522">
        <f>BK214/1100000</f>
        <v>0</v>
      </c>
      <c r="V214" s="523" t="s">
        <v>1877</v>
      </c>
      <c r="W214" s="524" t="e">
        <f>#REF!/1100000</f>
        <v>#REF!</v>
      </c>
      <c r="X214" s="299" t="s">
        <v>1868</v>
      </c>
      <c r="Y214" s="547" t="s">
        <v>1869</v>
      </c>
      <c r="Z214" s="260" t="s">
        <v>1908</v>
      </c>
      <c r="AA214" s="260"/>
      <c r="AB214" s="80" t="s">
        <v>1864</v>
      </c>
      <c r="AC214" s="81">
        <v>312982000</v>
      </c>
      <c r="AD214" s="82"/>
      <c r="AE214" s="83">
        <f>SUM(AF214:BB214)</f>
        <v>0</v>
      </c>
      <c r="AF214" s="91" t="s">
        <v>1872</v>
      </c>
      <c r="AG214" s="92"/>
      <c r="AH214" s="92" t="s">
        <v>1873</v>
      </c>
      <c r="AI214" s="92"/>
      <c r="AJ214" s="92" t="s">
        <v>1856</v>
      </c>
      <c r="AK214" s="92"/>
      <c r="AL214" s="92" t="s">
        <v>1856</v>
      </c>
      <c r="AM214" s="92"/>
      <c r="AN214" s="92" t="s">
        <v>1856</v>
      </c>
      <c r="AO214" s="92"/>
      <c r="AP214" s="92"/>
      <c r="AQ214" s="92"/>
      <c r="AR214" s="92"/>
      <c r="AS214" s="92"/>
      <c r="AT214" s="92"/>
      <c r="AU214" s="92"/>
      <c r="AV214" s="92"/>
      <c r="AW214" s="92"/>
      <c r="AX214" s="92"/>
      <c r="AY214" s="92"/>
      <c r="AZ214" s="92"/>
      <c r="BA214" s="92"/>
      <c r="BB214" s="92"/>
    </row>
    <row r="215" spans="1:54" s="78" customFormat="1" ht="22.5" customHeight="1" thickBot="1">
      <c r="A215" s="564"/>
      <c r="B215" s="558"/>
      <c r="C215" s="245"/>
      <c r="D215" s="560"/>
      <c r="E215" s="560"/>
      <c r="F215" s="560"/>
      <c r="G215" s="560"/>
      <c r="H215" s="560"/>
      <c r="I215" s="560"/>
      <c r="J215" s="560"/>
      <c r="K215" s="560"/>
      <c r="L215" s="560"/>
      <c r="M215" s="560"/>
      <c r="N215" s="560"/>
      <c r="O215" s="560"/>
      <c r="P215" s="502"/>
      <c r="Q215" s="495"/>
      <c r="R215" s="557"/>
      <c r="S215" s="531" t="s">
        <v>1909</v>
      </c>
      <c r="T215" s="526" t="s">
        <v>1858</v>
      </c>
      <c r="U215" s="527" t="e">
        <f>U214-#REF!</f>
        <v>#REF!</v>
      </c>
      <c r="V215" s="532" t="s">
        <v>1858</v>
      </c>
      <c r="W215" s="529" t="e">
        <f>W214-#REF!</f>
        <v>#REF!</v>
      </c>
      <c r="X215" s="89"/>
      <c r="Y215" s="73"/>
      <c r="Z215" s="261"/>
      <c r="AA215" s="261"/>
      <c r="AB215" s="80" t="s">
        <v>1858</v>
      </c>
      <c r="AC215" s="81" t="e">
        <f>AC214-#REF!</f>
        <v>#REF!</v>
      </c>
      <c r="AD215" s="82" t="s">
        <v>1883</v>
      </c>
      <c r="AE215" s="83"/>
      <c r="AF215" s="77"/>
      <c r="AG215" s="77"/>
      <c r="AH215" s="77"/>
      <c r="AI215" s="77"/>
      <c r="AJ215" s="77"/>
      <c r="AK215" s="77"/>
      <c r="AL215" s="77"/>
      <c r="AM215" s="77"/>
      <c r="AN215" s="77"/>
      <c r="AO215" s="77"/>
      <c r="AP215" s="77"/>
      <c r="AQ215" s="77"/>
      <c r="AR215" s="77"/>
      <c r="AS215" s="77"/>
      <c r="AT215" s="77"/>
      <c r="AU215" s="77"/>
      <c r="AV215" s="77"/>
      <c r="AW215" s="77"/>
      <c r="AX215" s="77"/>
      <c r="AY215" s="77"/>
      <c r="AZ215" s="77"/>
      <c r="BA215" s="77"/>
      <c r="BB215" s="77"/>
    </row>
    <row r="216" spans="1:54" s="78" customFormat="1" ht="22.5" customHeight="1" thickBot="1">
      <c r="A216" s="257" t="s">
        <v>1910</v>
      </c>
      <c r="B216" s="554">
        <v>0.47</v>
      </c>
      <c r="C216" s="244">
        <f>B216+D216+E216+F216+G216+I216+H216+J216+K216+L216+M216+N216+O216</f>
        <v>0.59000000000000008</v>
      </c>
      <c r="D216" s="525">
        <v>0.02</v>
      </c>
      <c r="E216" s="525">
        <v>0.02</v>
      </c>
      <c r="F216" s="525">
        <v>0.02</v>
      </c>
      <c r="G216" s="525">
        <v>0.02</v>
      </c>
      <c r="H216" s="525"/>
      <c r="I216" s="525"/>
      <c r="J216" s="525"/>
      <c r="K216" s="525"/>
      <c r="L216" s="525"/>
      <c r="M216" s="525">
        <v>0.02</v>
      </c>
      <c r="N216" s="525">
        <v>0.02</v>
      </c>
      <c r="O216" s="525"/>
      <c r="P216" s="490" t="s">
        <v>1913</v>
      </c>
      <c r="Q216" s="490" t="s">
        <v>1914</v>
      </c>
      <c r="R216" s="553" t="s">
        <v>1911</v>
      </c>
      <c r="S216" s="520" t="s">
        <v>1912</v>
      </c>
      <c r="T216" s="521" t="s">
        <v>1864</v>
      </c>
      <c r="U216" s="522">
        <f>BK216/1100000</f>
        <v>0</v>
      </c>
      <c r="V216" s="523" t="s">
        <v>1865</v>
      </c>
      <c r="W216" s="524" t="e">
        <f>U216*0.75-(#REF!+W217)</f>
        <v>#REF!</v>
      </c>
      <c r="X216" s="299" t="s">
        <v>1868</v>
      </c>
      <c r="Y216" s="547" t="s">
        <v>1869</v>
      </c>
      <c r="Z216" s="260" t="s">
        <v>1915</v>
      </c>
      <c r="AA216" s="260"/>
      <c r="AB216" s="80" t="s">
        <v>1864</v>
      </c>
      <c r="AC216" s="81">
        <v>393203000</v>
      </c>
      <c r="AD216" s="82" t="s">
        <v>1871</v>
      </c>
      <c r="AE216" s="83">
        <f>SUM(AF216:BB216)</f>
        <v>0</v>
      </c>
      <c r="AF216" s="91" t="s">
        <v>1872</v>
      </c>
      <c r="AG216" s="92"/>
      <c r="AH216" s="92" t="s">
        <v>1873</v>
      </c>
      <c r="AI216" s="92"/>
      <c r="AJ216" s="92" t="s">
        <v>1856</v>
      </c>
      <c r="AK216" s="92"/>
      <c r="AL216" s="92" t="s">
        <v>1856</v>
      </c>
      <c r="AM216" s="92"/>
      <c r="AN216" s="92" t="s">
        <v>1856</v>
      </c>
      <c r="AO216" s="92"/>
      <c r="AP216" s="92"/>
      <c r="AQ216" s="92"/>
      <c r="AR216" s="92"/>
      <c r="AS216" s="92"/>
      <c r="AT216" s="92"/>
      <c r="AU216" s="92"/>
      <c r="AV216" s="92"/>
      <c r="AW216" s="92"/>
      <c r="AX216" s="92"/>
      <c r="AY216" s="92"/>
      <c r="AZ216" s="92"/>
      <c r="BA216" s="92"/>
      <c r="BB216" s="92"/>
    </row>
    <row r="217" spans="1:54" s="78" customFormat="1" ht="22.5" customHeight="1" thickBot="1">
      <c r="A217" s="258"/>
      <c r="B217" s="558"/>
      <c r="C217" s="245"/>
      <c r="D217" s="560"/>
      <c r="E217" s="560"/>
      <c r="F217" s="560"/>
      <c r="G217" s="560"/>
      <c r="H217" s="560"/>
      <c r="I217" s="560"/>
      <c r="J217" s="560"/>
      <c r="K217" s="560"/>
      <c r="L217" s="560"/>
      <c r="M217" s="560"/>
      <c r="N217" s="560"/>
      <c r="O217" s="560"/>
      <c r="P217" s="502"/>
      <c r="Q217" s="495"/>
      <c r="R217" s="557"/>
      <c r="S217" s="531"/>
      <c r="T217" s="526" t="s">
        <v>1857</v>
      </c>
      <c r="U217" s="527" t="e">
        <f>U216-#REF!</f>
        <v>#REF!</v>
      </c>
      <c r="V217" s="532" t="s">
        <v>1859</v>
      </c>
      <c r="W217" s="529" t="e">
        <f>(#REF!+BM217)/1100000</f>
        <v>#REF!</v>
      </c>
      <c r="X217" s="89"/>
      <c r="Y217" s="73"/>
      <c r="Z217" s="261"/>
      <c r="AA217" s="261"/>
      <c r="AB217" s="80" t="s">
        <v>1858</v>
      </c>
      <c r="AC217" s="81" t="e">
        <f>AC216-#REF!</f>
        <v>#REF!</v>
      </c>
      <c r="AD217" s="82" t="s">
        <v>1860</v>
      </c>
      <c r="AE217" s="83"/>
      <c r="AF217" s="77"/>
      <c r="AG217" s="77"/>
      <c r="AH217" s="77"/>
      <c r="AI217" s="77"/>
      <c r="AJ217" s="77"/>
      <c r="AK217" s="77"/>
      <c r="AL217" s="77"/>
      <c r="AM217" s="77"/>
      <c r="AN217" s="77"/>
      <c r="AO217" s="77"/>
      <c r="AP217" s="77"/>
      <c r="AQ217" s="77"/>
      <c r="AR217" s="77"/>
      <c r="AS217" s="77"/>
      <c r="AT217" s="77"/>
      <c r="AU217" s="77"/>
      <c r="AV217" s="77"/>
      <c r="AW217" s="77"/>
      <c r="AX217" s="77"/>
      <c r="AY217" s="77"/>
      <c r="AZ217" s="77"/>
      <c r="BA217" s="77"/>
      <c r="BB217" s="77"/>
    </row>
    <row r="218" spans="1:54" s="78" customFormat="1" ht="22.5" customHeight="1" thickBot="1">
      <c r="A218" s="257" t="s">
        <v>1916</v>
      </c>
      <c r="B218" s="554">
        <v>0.41</v>
      </c>
      <c r="C218" s="244">
        <f>B218+D218+E218+F218+G218+I218+H218+J218+K218+L218+M218+N218+O218</f>
        <v>0.70000000000000007</v>
      </c>
      <c r="D218" s="525">
        <v>0.03</v>
      </c>
      <c r="E218" s="525">
        <v>0.03</v>
      </c>
      <c r="F218" s="525">
        <v>0.1</v>
      </c>
      <c r="G218" s="525">
        <v>0.03</v>
      </c>
      <c r="H218" s="525">
        <v>0.03</v>
      </c>
      <c r="I218" s="525">
        <v>0.03</v>
      </c>
      <c r="J218" s="525">
        <v>0.03</v>
      </c>
      <c r="K218" s="525">
        <v>0.01</v>
      </c>
      <c r="L218" s="525"/>
      <c r="M218" s="525"/>
      <c r="N218" s="525"/>
      <c r="O218" s="525"/>
      <c r="P218" s="490" t="s">
        <v>1919</v>
      </c>
      <c r="Q218" s="490" t="s">
        <v>1920</v>
      </c>
      <c r="R218" s="553" t="s">
        <v>1917</v>
      </c>
      <c r="S218" s="520" t="s">
        <v>1918</v>
      </c>
      <c r="T218" s="521" t="s">
        <v>1864</v>
      </c>
      <c r="U218" s="522">
        <f>BK218/1100000</f>
        <v>0</v>
      </c>
      <c r="V218" s="523" t="s">
        <v>1865</v>
      </c>
      <c r="W218" s="524" t="e">
        <f>U218*0.75-(#REF!+W219)</f>
        <v>#REF!</v>
      </c>
      <c r="X218" s="299" t="s">
        <v>1868</v>
      </c>
      <c r="Y218" s="547" t="s">
        <v>1869</v>
      </c>
      <c r="Z218" s="260" t="s">
        <v>1921</v>
      </c>
      <c r="AA218" s="260"/>
      <c r="AB218" s="80" t="s">
        <v>1864</v>
      </c>
      <c r="AC218" s="81">
        <v>114495600</v>
      </c>
      <c r="AD218" s="82" t="s">
        <v>1871</v>
      </c>
      <c r="AE218" s="83">
        <f>SUM(AF218:BB218)</f>
        <v>0</v>
      </c>
      <c r="AF218" s="91" t="s">
        <v>1872</v>
      </c>
      <c r="AG218" s="92"/>
      <c r="AH218" s="92" t="s">
        <v>1873</v>
      </c>
      <c r="AI218" s="92"/>
      <c r="AJ218" s="92" t="s">
        <v>1856</v>
      </c>
      <c r="AK218" s="92"/>
      <c r="AL218" s="92" t="s">
        <v>1856</v>
      </c>
      <c r="AM218" s="92"/>
      <c r="AN218" s="92" t="s">
        <v>1856</v>
      </c>
      <c r="AO218" s="92"/>
      <c r="AP218" s="92"/>
      <c r="AQ218" s="92"/>
      <c r="AR218" s="92"/>
      <c r="AS218" s="92"/>
      <c r="AT218" s="92"/>
      <c r="AU218" s="92"/>
      <c r="AV218" s="92"/>
      <c r="AW218" s="92"/>
      <c r="AX218" s="92"/>
      <c r="AY218" s="92"/>
      <c r="AZ218" s="92"/>
      <c r="BA218" s="92"/>
      <c r="BB218" s="92"/>
    </row>
    <row r="219" spans="1:54" s="78" customFormat="1" ht="22.5" customHeight="1" thickBot="1">
      <c r="A219" s="258"/>
      <c r="B219" s="558"/>
      <c r="C219" s="245"/>
      <c r="D219" s="560"/>
      <c r="E219" s="560"/>
      <c r="F219" s="560"/>
      <c r="G219" s="560"/>
      <c r="H219" s="560"/>
      <c r="I219" s="560"/>
      <c r="J219" s="560"/>
      <c r="K219" s="560"/>
      <c r="L219" s="560"/>
      <c r="M219" s="560"/>
      <c r="N219" s="560"/>
      <c r="O219" s="560"/>
      <c r="P219" s="502"/>
      <c r="Q219" s="495"/>
      <c r="R219" s="557"/>
      <c r="S219" s="531"/>
      <c r="T219" s="526" t="s">
        <v>1858</v>
      </c>
      <c r="U219" s="527" t="e">
        <f>U218-#REF!</f>
        <v>#REF!</v>
      </c>
      <c r="V219" s="532" t="s">
        <v>1859</v>
      </c>
      <c r="W219" s="529" t="e">
        <f>(#REF!+BM219)/1100000</f>
        <v>#REF!</v>
      </c>
      <c r="X219" s="89"/>
      <c r="Y219" s="73"/>
      <c r="Z219" s="261"/>
      <c r="AA219" s="261"/>
      <c r="AB219" s="80" t="s">
        <v>1858</v>
      </c>
      <c r="AC219" s="81" t="e">
        <f>AC218-#REF!</f>
        <v>#REF!</v>
      </c>
      <c r="AD219" s="82" t="s">
        <v>1860</v>
      </c>
      <c r="AE219" s="83"/>
      <c r="AF219" s="77"/>
      <c r="AG219" s="77"/>
      <c r="AH219" s="77"/>
      <c r="AI219" s="77"/>
      <c r="AJ219" s="77"/>
      <c r="AK219" s="77"/>
      <c r="AL219" s="77"/>
      <c r="AM219" s="77"/>
      <c r="AN219" s="77"/>
      <c r="AO219" s="77"/>
      <c r="AP219" s="77"/>
      <c r="AQ219" s="77"/>
      <c r="AR219" s="77"/>
      <c r="AS219" s="77"/>
      <c r="AT219" s="77"/>
      <c r="AU219" s="77"/>
      <c r="AV219" s="77"/>
      <c r="AW219" s="77"/>
      <c r="AX219" s="77"/>
      <c r="AY219" s="77"/>
      <c r="AZ219" s="77"/>
      <c r="BA219" s="77"/>
      <c r="BB219" s="77"/>
    </row>
    <row r="220" spans="1:54" s="78" customFormat="1" ht="22.5" customHeight="1" thickBot="1">
      <c r="A220" s="257" t="s">
        <v>1922</v>
      </c>
      <c r="B220" s="554">
        <v>0.47</v>
      </c>
      <c r="C220" s="244">
        <f>B220+D220+E220+F220+G220+I220+H220+J220+K220+L220+M220+N220+O220</f>
        <v>0.7200000000000002</v>
      </c>
      <c r="D220" s="525">
        <v>0.05</v>
      </c>
      <c r="E220" s="525">
        <v>0.05</v>
      </c>
      <c r="F220" s="525">
        <v>0.05</v>
      </c>
      <c r="G220" s="525">
        <v>0.02</v>
      </c>
      <c r="H220" s="525">
        <v>0.02</v>
      </c>
      <c r="I220" s="525">
        <v>0.02</v>
      </c>
      <c r="J220" s="525">
        <v>0.02</v>
      </c>
      <c r="K220" s="525">
        <v>0.02</v>
      </c>
      <c r="L220" s="525"/>
      <c r="M220" s="525"/>
      <c r="N220" s="525"/>
      <c r="O220" s="525"/>
      <c r="P220" s="490" t="s">
        <v>1925</v>
      </c>
      <c r="Q220" s="490" t="s">
        <v>1926</v>
      </c>
      <c r="R220" s="553" t="s">
        <v>1923</v>
      </c>
      <c r="S220" s="520" t="s">
        <v>1924</v>
      </c>
      <c r="T220" s="521" t="s">
        <v>1864</v>
      </c>
      <c r="U220" s="522">
        <f>BK220/1100000</f>
        <v>0</v>
      </c>
      <c r="V220" s="523" t="s">
        <v>1865</v>
      </c>
      <c r="W220" s="524" t="e">
        <f>U220*0.75-(#REF!+W221)</f>
        <v>#REF!</v>
      </c>
      <c r="X220" s="299" t="s">
        <v>1868</v>
      </c>
      <c r="Y220" s="547" t="s">
        <v>1869</v>
      </c>
      <c r="Z220" s="260" t="s">
        <v>1927</v>
      </c>
      <c r="AA220" s="260"/>
      <c r="AB220" s="80" t="s">
        <v>1864</v>
      </c>
      <c r="AC220" s="81">
        <v>338910000</v>
      </c>
      <c r="AD220" s="82" t="s">
        <v>1871</v>
      </c>
      <c r="AE220" s="83">
        <f>SUM(AF220:BB220)</f>
        <v>0</v>
      </c>
      <c r="AF220" s="91" t="s">
        <v>1872</v>
      </c>
      <c r="AG220" s="92"/>
      <c r="AH220" s="92" t="s">
        <v>1873</v>
      </c>
      <c r="AI220" s="92"/>
      <c r="AJ220" s="92" t="s">
        <v>1856</v>
      </c>
      <c r="AK220" s="92"/>
      <c r="AL220" s="92" t="s">
        <v>1856</v>
      </c>
      <c r="AM220" s="92"/>
      <c r="AN220" s="92" t="s">
        <v>1856</v>
      </c>
      <c r="AO220" s="92"/>
      <c r="AP220" s="92"/>
      <c r="AQ220" s="92"/>
      <c r="AR220" s="92"/>
      <c r="AS220" s="92"/>
      <c r="AT220" s="92"/>
      <c r="AU220" s="92"/>
      <c r="AV220" s="92"/>
      <c r="AW220" s="92"/>
      <c r="AX220" s="92"/>
      <c r="AY220" s="92"/>
      <c r="AZ220" s="92"/>
      <c r="BA220" s="92"/>
      <c r="BB220" s="92"/>
    </row>
    <row r="221" spans="1:54" s="78" customFormat="1" ht="22.5" customHeight="1" thickBot="1">
      <c r="A221" s="258"/>
      <c r="B221" s="558"/>
      <c r="C221" s="245"/>
      <c r="D221" s="560"/>
      <c r="E221" s="560"/>
      <c r="F221" s="560"/>
      <c r="G221" s="560"/>
      <c r="H221" s="560"/>
      <c r="I221" s="560"/>
      <c r="J221" s="560"/>
      <c r="K221" s="560"/>
      <c r="L221" s="560"/>
      <c r="M221" s="560"/>
      <c r="N221" s="560"/>
      <c r="O221" s="560"/>
      <c r="P221" s="502"/>
      <c r="Q221" s="495"/>
      <c r="R221" s="557"/>
      <c r="S221" s="531"/>
      <c r="T221" s="526" t="s">
        <v>1858</v>
      </c>
      <c r="U221" s="527" t="e">
        <f>U220-#REF!</f>
        <v>#REF!</v>
      </c>
      <c r="V221" s="532" t="s">
        <v>1859</v>
      </c>
      <c r="W221" s="529" t="e">
        <f>(#REF!+BM221)/1100000</f>
        <v>#REF!</v>
      </c>
      <c r="X221" s="89"/>
      <c r="Y221" s="73"/>
      <c r="Z221" s="261"/>
      <c r="AA221" s="261"/>
      <c r="AB221" s="80" t="s">
        <v>1858</v>
      </c>
      <c r="AC221" s="81" t="e">
        <f>AC220-#REF!</f>
        <v>#REF!</v>
      </c>
      <c r="AD221" s="82" t="s">
        <v>1860</v>
      </c>
      <c r="AE221" s="83"/>
      <c r="AF221" s="77"/>
      <c r="AG221" s="77"/>
      <c r="AH221" s="77"/>
      <c r="AI221" s="77"/>
      <c r="AJ221" s="77"/>
      <c r="AK221" s="77"/>
      <c r="AL221" s="77"/>
      <c r="AM221" s="77"/>
      <c r="AN221" s="77"/>
      <c r="AO221" s="77"/>
      <c r="AP221" s="77"/>
      <c r="AQ221" s="77"/>
      <c r="AR221" s="77"/>
      <c r="AS221" s="77"/>
      <c r="AT221" s="77"/>
      <c r="AU221" s="77"/>
      <c r="AV221" s="77"/>
      <c r="AW221" s="77"/>
      <c r="AX221" s="77"/>
      <c r="AY221" s="77"/>
      <c r="AZ221" s="77"/>
      <c r="BA221" s="77"/>
      <c r="BB221" s="77"/>
    </row>
    <row r="222" spans="1:54" s="78" customFormat="1" ht="22.5" customHeight="1" thickBot="1">
      <c r="A222" s="257" t="s">
        <v>1928</v>
      </c>
      <c r="B222" s="554">
        <v>0.8</v>
      </c>
      <c r="C222" s="244">
        <f>B222+D222+E222+F222+G222+I222+H222+J222+K222+L222+M222+N222+O222</f>
        <v>0.94000000000000017</v>
      </c>
      <c r="D222" s="525">
        <v>0.03</v>
      </c>
      <c r="E222" s="525">
        <v>0.03</v>
      </c>
      <c r="F222" s="525">
        <v>0.03</v>
      </c>
      <c r="G222" s="525">
        <v>0.01</v>
      </c>
      <c r="H222" s="525">
        <v>0.01</v>
      </c>
      <c r="I222" s="525">
        <v>0.01</v>
      </c>
      <c r="J222" s="525">
        <v>0.01</v>
      </c>
      <c r="K222" s="525">
        <v>0.01</v>
      </c>
      <c r="L222" s="525"/>
      <c r="M222" s="525"/>
      <c r="N222" s="525"/>
      <c r="O222" s="525"/>
      <c r="P222" s="490" t="s">
        <v>1931</v>
      </c>
      <c r="Q222" s="490" t="s">
        <v>1932</v>
      </c>
      <c r="R222" s="553" t="s">
        <v>1929</v>
      </c>
      <c r="S222" s="520" t="s">
        <v>1930</v>
      </c>
      <c r="T222" s="521" t="s">
        <v>1864</v>
      </c>
      <c r="U222" s="522">
        <f>BK222/1100000</f>
        <v>0</v>
      </c>
      <c r="V222" s="523" t="s">
        <v>1865</v>
      </c>
      <c r="W222" s="524" t="e">
        <f>U222*0.75-(#REF!+W223)</f>
        <v>#REF!</v>
      </c>
      <c r="X222" s="299" t="s">
        <v>1868</v>
      </c>
      <c r="Y222" s="547" t="s">
        <v>1869</v>
      </c>
      <c r="Z222" s="260" t="s">
        <v>1933</v>
      </c>
      <c r="AA222" s="260"/>
      <c r="AB222" s="80" t="s">
        <v>1864</v>
      </c>
      <c r="AC222" s="81">
        <v>152632000</v>
      </c>
      <c r="AD222" s="82" t="s">
        <v>1871</v>
      </c>
      <c r="AE222" s="83">
        <f>SUM(AF222:BB222)</f>
        <v>0</v>
      </c>
      <c r="AF222" s="91" t="s">
        <v>1872</v>
      </c>
      <c r="AG222" s="92"/>
      <c r="AH222" s="92" t="s">
        <v>1873</v>
      </c>
      <c r="AI222" s="92"/>
      <c r="AJ222" s="92" t="s">
        <v>1856</v>
      </c>
      <c r="AK222" s="92"/>
      <c r="AL222" s="92" t="s">
        <v>1856</v>
      </c>
      <c r="AM222" s="92"/>
      <c r="AN222" s="92" t="s">
        <v>1856</v>
      </c>
      <c r="AO222" s="92"/>
      <c r="AP222" s="92"/>
      <c r="AQ222" s="92"/>
      <c r="AR222" s="92"/>
      <c r="AS222" s="92"/>
      <c r="AT222" s="92"/>
      <c r="AU222" s="92"/>
      <c r="AV222" s="92"/>
      <c r="AW222" s="92"/>
      <c r="AX222" s="92"/>
      <c r="AY222" s="92"/>
      <c r="AZ222" s="92"/>
      <c r="BA222" s="92"/>
      <c r="BB222" s="92"/>
    </row>
    <row r="223" spans="1:54" s="78" customFormat="1" ht="22.5" customHeight="1" thickBot="1">
      <c r="A223" s="258"/>
      <c r="B223" s="558"/>
      <c r="C223" s="245"/>
      <c r="D223" s="560"/>
      <c r="E223" s="560"/>
      <c r="F223" s="560"/>
      <c r="G223" s="560"/>
      <c r="H223" s="560"/>
      <c r="I223" s="560"/>
      <c r="J223" s="560"/>
      <c r="K223" s="560"/>
      <c r="L223" s="560"/>
      <c r="M223" s="560"/>
      <c r="N223" s="560"/>
      <c r="O223" s="560"/>
      <c r="P223" s="502"/>
      <c r="Q223" s="495"/>
      <c r="R223" s="557"/>
      <c r="S223" s="531" t="s">
        <v>1934</v>
      </c>
      <c r="T223" s="526" t="s">
        <v>1858</v>
      </c>
      <c r="U223" s="527" t="e">
        <f>U222-#REF!</f>
        <v>#REF!</v>
      </c>
      <c r="V223" s="532" t="s">
        <v>1859</v>
      </c>
      <c r="W223" s="529" t="e">
        <f>(#REF!+BM223)/1100000</f>
        <v>#REF!</v>
      </c>
      <c r="X223" s="89"/>
      <c r="Y223" s="73"/>
      <c r="Z223" s="261"/>
      <c r="AA223" s="261"/>
      <c r="AB223" s="80" t="s">
        <v>1858</v>
      </c>
      <c r="AC223" s="81" t="e">
        <f>AC222-#REF!</f>
        <v>#REF!</v>
      </c>
      <c r="AD223" s="82" t="s">
        <v>1860</v>
      </c>
      <c r="AE223" s="83"/>
      <c r="AF223" s="77"/>
      <c r="AG223" s="77"/>
      <c r="AH223" s="77"/>
      <c r="AI223" s="77"/>
      <c r="AJ223" s="77"/>
      <c r="AK223" s="77"/>
      <c r="AL223" s="77"/>
      <c r="AM223" s="77"/>
      <c r="AN223" s="77"/>
      <c r="AO223" s="77"/>
      <c r="AP223" s="77"/>
      <c r="AQ223" s="77"/>
      <c r="AR223" s="77"/>
      <c r="AS223" s="77"/>
      <c r="AT223" s="77"/>
      <c r="AU223" s="77"/>
      <c r="AV223" s="77"/>
      <c r="AW223" s="77"/>
      <c r="AX223" s="77"/>
      <c r="AY223" s="77"/>
      <c r="AZ223" s="77"/>
      <c r="BA223" s="77"/>
      <c r="BB223" s="77"/>
    </row>
    <row r="224" spans="1:54" s="78" customFormat="1" ht="22.5" customHeight="1" thickBot="1">
      <c r="A224" s="257" t="s">
        <v>1935</v>
      </c>
      <c r="B224" s="554">
        <v>0.7</v>
      </c>
      <c r="C224" s="244">
        <f>B224+D224+E224+F224+G224+I224+H224+J224+K224+L224+M224+N224+O224</f>
        <v>0.99000000000000021</v>
      </c>
      <c r="D224" s="525">
        <v>0.03</v>
      </c>
      <c r="E224" s="525">
        <v>0.03</v>
      </c>
      <c r="F224" s="525">
        <v>0.03</v>
      </c>
      <c r="G224" s="525">
        <v>0.03</v>
      </c>
      <c r="H224" s="525">
        <v>0.01</v>
      </c>
      <c r="I224" s="525">
        <v>0.01</v>
      </c>
      <c r="J224" s="525">
        <v>0.01</v>
      </c>
      <c r="K224" s="525">
        <v>0.05</v>
      </c>
      <c r="L224" s="525">
        <v>0.05</v>
      </c>
      <c r="M224" s="525">
        <v>0.02</v>
      </c>
      <c r="N224" s="525">
        <v>0.02</v>
      </c>
      <c r="O224" s="525"/>
      <c r="P224" s="490" t="s">
        <v>1938</v>
      </c>
      <c r="Q224" s="490" t="s">
        <v>1939</v>
      </c>
      <c r="R224" s="553" t="s">
        <v>1936</v>
      </c>
      <c r="S224" s="537" t="s">
        <v>1937</v>
      </c>
      <c r="T224" s="521" t="s">
        <v>1864</v>
      </c>
      <c r="U224" s="522">
        <f>BK224/1100000</f>
        <v>0</v>
      </c>
      <c r="V224" s="523" t="s">
        <v>1865</v>
      </c>
      <c r="W224" s="524" t="e">
        <f>U224*0.75-(#REF!+W225)</f>
        <v>#REF!</v>
      </c>
      <c r="X224" s="299" t="s">
        <v>1868</v>
      </c>
      <c r="Y224" s="547" t="s">
        <v>1869</v>
      </c>
      <c r="Z224" s="260" t="s">
        <v>1940</v>
      </c>
      <c r="AA224" s="260"/>
      <c r="AB224" s="80" t="s">
        <v>1864</v>
      </c>
      <c r="AC224" s="81">
        <v>185236000</v>
      </c>
      <c r="AD224" s="82" t="s">
        <v>1871</v>
      </c>
      <c r="AE224" s="83">
        <v>0</v>
      </c>
      <c r="AF224" s="91" t="s">
        <v>1872</v>
      </c>
      <c r="AG224" s="92">
        <v>27000000</v>
      </c>
      <c r="AH224" s="92" t="s">
        <v>1873</v>
      </c>
      <c r="AI224" s="92">
        <v>40000000</v>
      </c>
      <c r="AJ224" s="92" t="s">
        <v>1856</v>
      </c>
      <c r="AK224" s="92"/>
      <c r="AL224" s="92" t="s">
        <v>1856</v>
      </c>
      <c r="AM224" s="92"/>
      <c r="AN224" s="92" t="s">
        <v>1856</v>
      </c>
      <c r="AO224" s="92"/>
      <c r="AP224" s="92"/>
      <c r="AQ224" s="92"/>
      <c r="AR224" s="92"/>
      <c r="AS224" s="92"/>
      <c r="AT224" s="92"/>
      <c r="AU224" s="92"/>
      <c r="AV224" s="92"/>
      <c r="AW224" s="92"/>
      <c r="AX224" s="92"/>
      <c r="AY224" s="92"/>
      <c r="AZ224" s="92"/>
      <c r="BA224" s="92"/>
      <c r="BB224" s="92"/>
    </row>
    <row r="225" spans="1:54" s="78" customFormat="1" ht="22.5" customHeight="1" thickBot="1">
      <c r="A225" s="258"/>
      <c r="B225" s="558"/>
      <c r="C225" s="245"/>
      <c r="D225" s="560"/>
      <c r="E225" s="560"/>
      <c r="F225" s="560"/>
      <c r="G225" s="560"/>
      <c r="H225" s="560"/>
      <c r="I225" s="560"/>
      <c r="J225" s="560"/>
      <c r="K225" s="560"/>
      <c r="L225" s="560"/>
      <c r="M225" s="560"/>
      <c r="N225" s="560"/>
      <c r="O225" s="560"/>
      <c r="P225" s="502"/>
      <c r="Q225" s="495"/>
      <c r="R225" s="557"/>
      <c r="S225" s="531" t="s">
        <v>1941</v>
      </c>
      <c r="T225" s="526" t="s">
        <v>1858</v>
      </c>
      <c r="U225" s="527" t="e">
        <f>U224-#REF!</f>
        <v>#REF!</v>
      </c>
      <c r="V225" s="532" t="s">
        <v>1859</v>
      </c>
      <c r="W225" s="529" t="e">
        <f>(#REF!+BM225)/1100000</f>
        <v>#REF!</v>
      </c>
      <c r="X225" s="89"/>
      <c r="Y225" s="73"/>
      <c r="Z225" s="261"/>
      <c r="AA225" s="261"/>
      <c r="AB225" s="80" t="s">
        <v>1858</v>
      </c>
      <c r="AC225" s="81" t="e">
        <f>AC224-#REF!</f>
        <v>#REF!</v>
      </c>
      <c r="AD225" s="82" t="s">
        <v>1860</v>
      </c>
      <c r="AE225" s="83"/>
      <c r="AF225" s="77"/>
      <c r="AG225" s="77"/>
      <c r="AH225" s="77"/>
      <c r="AI225" s="77"/>
      <c r="AJ225" s="77"/>
      <c r="AK225" s="77"/>
      <c r="AL225" s="77"/>
      <c r="AM225" s="77"/>
      <c r="AN225" s="77"/>
      <c r="AO225" s="77"/>
      <c r="AP225" s="77"/>
      <c r="AQ225" s="77"/>
      <c r="AR225" s="77"/>
      <c r="AS225" s="77"/>
      <c r="AT225" s="77"/>
      <c r="AU225" s="77"/>
      <c r="AV225" s="77"/>
      <c r="AW225" s="77"/>
      <c r="AX225" s="77"/>
      <c r="AY225" s="77"/>
      <c r="AZ225" s="77"/>
      <c r="BA225" s="77"/>
      <c r="BB225" s="77"/>
    </row>
    <row r="226" spans="1:54" s="78" customFormat="1" ht="22.5" customHeight="1" thickBot="1">
      <c r="A226" s="257" t="s">
        <v>1942</v>
      </c>
      <c r="B226" s="554">
        <v>0.97</v>
      </c>
      <c r="C226" s="244">
        <f>B226+D226+E226+F226+G226+I226+H226+J226+K226+L226+M226+N226+O226</f>
        <v>1</v>
      </c>
      <c r="D226" s="525">
        <v>0.02</v>
      </c>
      <c r="E226" s="525">
        <v>0.01</v>
      </c>
      <c r="F226" s="525"/>
      <c r="G226" s="525"/>
      <c r="H226" s="525"/>
      <c r="I226" s="525"/>
      <c r="J226" s="525"/>
      <c r="K226" s="525"/>
      <c r="L226" s="525"/>
      <c r="M226" s="525"/>
      <c r="N226" s="525"/>
      <c r="O226" s="525"/>
      <c r="P226" s="490" t="s">
        <v>1945</v>
      </c>
      <c r="Q226" s="490" t="s">
        <v>1932</v>
      </c>
      <c r="R226" s="553" t="s">
        <v>1943</v>
      </c>
      <c r="S226" s="520" t="s">
        <v>1944</v>
      </c>
      <c r="T226" s="521" t="s">
        <v>1864</v>
      </c>
      <c r="U226" s="522">
        <f>BK226/1100000</f>
        <v>0</v>
      </c>
      <c r="V226" s="523" t="s">
        <v>1865</v>
      </c>
      <c r="W226" s="524" t="e">
        <f>U226*0.75-(#REF!+W227)</f>
        <v>#REF!</v>
      </c>
      <c r="X226" s="299" t="s">
        <v>1868</v>
      </c>
      <c r="Y226" s="547" t="s">
        <v>1869</v>
      </c>
      <c r="Z226" s="260" t="s">
        <v>1946</v>
      </c>
      <c r="AA226" s="260"/>
      <c r="AB226" s="80" t="s">
        <v>1864</v>
      </c>
      <c r="AC226" s="81">
        <v>11160000</v>
      </c>
      <c r="AD226" s="82" t="s">
        <v>1871</v>
      </c>
      <c r="AE226" s="83">
        <f>SUM(AF226:BB226)</f>
        <v>0</v>
      </c>
      <c r="AF226" s="91" t="s">
        <v>1872</v>
      </c>
      <c r="AG226" s="92"/>
      <c r="AH226" s="92" t="s">
        <v>1873</v>
      </c>
      <c r="AI226" s="92"/>
      <c r="AJ226" s="92" t="s">
        <v>1856</v>
      </c>
      <c r="AK226" s="92"/>
      <c r="AL226" s="92" t="s">
        <v>1856</v>
      </c>
      <c r="AM226" s="92"/>
      <c r="AN226" s="92" t="s">
        <v>1856</v>
      </c>
      <c r="AO226" s="92"/>
      <c r="AP226" s="92"/>
      <c r="AQ226" s="92"/>
      <c r="AR226" s="92"/>
      <c r="AS226" s="92"/>
      <c r="AT226" s="92"/>
      <c r="AU226" s="92"/>
      <c r="AV226" s="92"/>
      <c r="AW226" s="92"/>
      <c r="AX226" s="92"/>
      <c r="AY226" s="92"/>
      <c r="AZ226" s="92"/>
      <c r="BA226" s="92"/>
      <c r="BB226" s="92"/>
    </row>
    <row r="227" spans="1:54" s="78" customFormat="1" ht="22.5" customHeight="1" thickBot="1">
      <c r="A227" s="258"/>
      <c r="B227" s="558"/>
      <c r="C227" s="245"/>
      <c r="D227" s="560"/>
      <c r="E227" s="560"/>
      <c r="F227" s="560"/>
      <c r="G227" s="560"/>
      <c r="H227" s="560"/>
      <c r="I227" s="560"/>
      <c r="J227" s="560"/>
      <c r="K227" s="560"/>
      <c r="L227" s="560"/>
      <c r="M227" s="560"/>
      <c r="N227" s="560"/>
      <c r="O227" s="560"/>
      <c r="P227" s="502"/>
      <c r="Q227" s="495"/>
      <c r="R227" s="557"/>
      <c r="S227" s="531"/>
      <c r="T227" s="526" t="s">
        <v>1858</v>
      </c>
      <c r="U227" s="527" t="e">
        <f>U226-#REF!</f>
        <v>#REF!</v>
      </c>
      <c r="V227" s="532" t="s">
        <v>1859</v>
      </c>
      <c r="W227" s="529" t="e">
        <f>(#REF!+BM227)/1100000</f>
        <v>#REF!</v>
      </c>
      <c r="X227" s="89"/>
      <c r="Y227" s="73"/>
      <c r="Z227" s="261"/>
      <c r="AA227" s="261"/>
      <c r="AB227" s="80" t="s">
        <v>1858</v>
      </c>
      <c r="AC227" s="81" t="e">
        <f>AC226-#REF!</f>
        <v>#REF!</v>
      </c>
      <c r="AD227" s="82" t="s">
        <v>1860</v>
      </c>
      <c r="AE227" s="83"/>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row>
    <row r="228" spans="1:54" s="78" customFormat="1" ht="22.5" customHeight="1" thickBot="1">
      <c r="A228" s="257" t="s">
        <v>1947</v>
      </c>
      <c r="B228" s="554">
        <v>1</v>
      </c>
      <c r="C228" s="244">
        <f>B228+D228+E228+F228+G228+I228+H228+J228+K228+L228+M228+N228+O228</f>
        <v>1</v>
      </c>
      <c r="D228" s="525"/>
      <c r="E228" s="525"/>
      <c r="F228" s="525"/>
      <c r="G228" s="525"/>
      <c r="H228" s="525"/>
      <c r="I228" s="525"/>
      <c r="J228" s="525"/>
      <c r="K228" s="525"/>
      <c r="L228" s="525"/>
      <c r="M228" s="525"/>
      <c r="N228" s="525"/>
      <c r="O228" s="525"/>
      <c r="P228" s="490" t="s">
        <v>1945</v>
      </c>
      <c r="Q228" s="490" t="s">
        <v>1939</v>
      </c>
      <c r="R228" s="553" t="s">
        <v>1948</v>
      </c>
      <c r="S228" s="537" t="s">
        <v>1949</v>
      </c>
      <c r="T228" s="521" t="s">
        <v>1864</v>
      </c>
      <c r="U228" s="522">
        <f>BK228/1100000</f>
        <v>0</v>
      </c>
      <c r="V228" s="523" t="s">
        <v>1865</v>
      </c>
      <c r="W228" s="524" t="e">
        <f>U228*0.75-(#REF!+W229)</f>
        <v>#REF!</v>
      </c>
      <c r="X228" s="299" t="s">
        <v>1868</v>
      </c>
      <c r="Y228" s="547" t="s">
        <v>1869</v>
      </c>
      <c r="Z228" s="260" t="s">
        <v>1951</v>
      </c>
      <c r="AA228" s="260"/>
      <c r="AB228" s="80" t="s">
        <v>1864</v>
      </c>
      <c r="AC228" s="81">
        <v>17000000</v>
      </c>
      <c r="AD228" s="82" t="s">
        <v>1871</v>
      </c>
      <c r="AE228" s="83">
        <v>0</v>
      </c>
      <c r="AF228" s="91" t="s">
        <v>1872</v>
      </c>
      <c r="AG228" s="92">
        <v>0</v>
      </c>
      <c r="AH228" s="92" t="s">
        <v>1873</v>
      </c>
      <c r="AI228" s="92">
        <v>0</v>
      </c>
      <c r="AJ228" s="92" t="s">
        <v>1856</v>
      </c>
      <c r="AK228" s="92"/>
      <c r="AL228" s="92" t="s">
        <v>1856</v>
      </c>
      <c r="AM228" s="92"/>
      <c r="AN228" s="92" t="s">
        <v>1856</v>
      </c>
      <c r="AO228" s="92"/>
      <c r="AP228" s="92"/>
      <c r="AQ228" s="92"/>
      <c r="AR228" s="92"/>
      <c r="AS228" s="92"/>
      <c r="AT228" s="92"/>
      <c r="AU228" s="92"/>
      <c r="AV228" s="92"/>
      <c r="AW228" s="92"/>
      <c r="AX228" s="92"/>
      <c r="AY228" s="92"/>
      <c r="AZ228" s="92"/>
      <c r="BA228" s="92"/>
      <c r="BB228" s="92"/>
    </row>
    <row r="229" spans="1:54" s="78" customFormat="1" ht="22.5" customHeight="1" thickBot="1">
      <c r="A229" s="258"/>
      <c r="B229" s="558"/>
      <c r="C229" s="245"/>
      <c r="D229" s="560"/>
      <c r="E229" s="560"/>
      <c r="F229" s="560"/>
      <c r="G229" s="560"/>
      <c r="H229" s="560"/>
      <c r="I229" s="560"/>
      <c r="J229" s="560"/>
      <c r="K229" s="560"/>
      <c r="L229" s="560"/>
      <c r="M229" s="560"/>
      <c r="N229" s="560"/>
      <c r="O229" s="560"/>
      <c r="P229" s="502"/>
      <c r="Q229" s="495"/>
      <c r="R229" s="557"/>
      <c r="S229" s="531"/>
      <c r="T229" s="526" t="s">
        <v>1858</v>
      </c>
      <c r="U229" s="527" t="e">
        <f>U228-#REF!</f>
        <v>#REF!</v>
      </c>
      <c r="V229" s="532" t="s">
        <v>1859</v>
      </c>
      <c r="W229" s="529" t="e">
        <f>(#REF!+BM229)/1100000</f>
        <v>#REF!</v>
      </c>
      <c r="X229" s="89"/>
      <c r="Y229" s="73"/>
      <c r="Z229" s="261"/>
      <c r="AA229" s="261"/>
      <c r="AB229" s="80" t="s">
        <v>1858</v>
      </c>
      <c r="AC229" s="81" t="e">
        <f>AC228-#REF!</f>
        <v>#REF!</v>
      </c>
      <c r="AD229" s="82" t="s">
        <v>1860</v>
      </c>
      <c r="AE229" s="83"/>
      <c r="AF229" s="77"/>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row>
    <row r="230" spans="1:54" s="78" customFormat="1" ht="22.5" customHeight="1" thickBot="1">
      <c r="A230" s="257" t="s">
        <v>1952</v>
      </c>
      <c r="B230" s="554">
        <v>1</v>
      </c>
      <c r="C230" s="244">
        <f>B230+D230+E230+F230+G230+I230+H230+J230+K230+L230+M230+N230+O230</f>
        <v>1</v>
      </c>
      <c r="D230" s="525"/>
      <c r="E230" s="525"/>
      <c r="F230" s="525"/>
      <c r="G230" s="525"/>
      <c r="H230" s="525"/>
      <c r="I230" s="525"/>
      <c r="J230" s="525"/>
      <c r="K230" s="525"/>
      <c r="L230" s="525"/>
      <c r="M230" s="525"/>
      <c r="N230" s="525"/>
      <c r="O230" s="525"/>
      <c r="P230" s="490" t="s">
        <v>1945</v>
      </c>
      <c r="Q230" s="490" t="s">
        <v>1955</v>
      </c>
      <c r="R230" s="553" t="s">
        <v>1953</v>
      </c>
      <c r="S230" s="520" t="s">
        <v>1954</v>
      </c>
      <c r="T230" s="521" t="s">
        <v>1864</v>
      </c>
      <c r="U230" s="522">
        <f>BK230/1100000</f>
        <v>0</v>
      </c>
      <c r="V230" s="523" t="s">
        <v>1865</v>
      </c>
      <c r="W230" s="524" t="e">
        <f>U230*0.75-(#REF!+W231)</f>
        <v>#REF!</v>
      </c>
      <c r="X230" s="299" t="s">
        <v>1868</v>
      </c>
      <c r="Y230" s="547" t="s">
        <v>1869</v>
      </c>
      <c r="Z230" s="260" t="s">
        <v>1956</v>
      </c>
      <c r="AA230" s="260"/>
      <c r="AB230" s="80" t="s">
        <v>1864</v>
      </c>
      <c r="AC230" s="81">
        <v>19620000</v>
      </c>
      <c r="AD230" s="82" t="s">
        <v>1871</v>
      </c>
      <c r="AE230" s="83">
        <f>SUM(AF230:BB230)</f>
        <v>0</v>
      </c>
      <c r="AF230" s="91" t="s">
        <v>1872</v>
      </c>
      <c r="AG230" s="92"/>
      <c r="AH230" s="92" t="s">
        <v>1873</v>
      </c>
      <c r="AI230" s="92"/>
      <c r="AJ230" s="92" t="s">
        <v>1856</v>
      </c>
      <c r="AK230" s="92"/>
      <c r="AL230" s="92" t="s">
        <v>1856</v>
      </c>
      <c r="AM230" s="92"/>
      <c r="AN230" s="92" t="s">
        <v>1856</v>
      </c>
      <c r="AO230" s="92"/>
      <c r="AP230" s="92"/>
      <c r="AQ230" s="92"/>
      <c r="AR230" s="92"/>
      <c r="AS230" s="92"/>
      <c r="AT230" s="92"/>
      <c r="AU230" s="92"/>
      <c r="AV230" s="92"/>
      <c r="AW230" s="92"/>
      <c r="AX230" s="92"/>
      <c r="AY230" s="92"/>
      <c r="AZ230" s="92"/>
      <c r="BA230" s="92"/>
      <c r="BB230" s="92"/>
    </row>
    <row r="231" spans="1:54" s="78" customFormat="1" ht="22.5" customHeight="1" thickBot="1">
      <c r="A231" s="258"/>
      <c r="B231" s="558"/>
      <c r="C231" s="245"/>
      <c r="D231" s="560"/>
      <c r="E231" s="560"/>
      <c r="F231" s="560"/>
      <c r="G231" s="560"/>
      <c r="H231" s="560"/>
      <c r="I231" s="560"/>
      <c r="J231" s="560"/>
      <c r="K231" s="560"/>
      <c r="L231" s="560"/>
      <c r="M231" s="560"/>
      <c r="N231" s="560"/>
      <c r="O231" s="560"/>
      <c r="P231" s="502"/>
      <c r="Q231" s="495"/>
      <c r="R231" s="557"/>
      <c r="S231" s="531"/>
      <c r="T231" s="526" t="s">
        <v>1858</v>
      </c>
      <c r="U231" s="527" t="e">
        <f>U230-#REF!</f>
        <v>#REF!</v>
      </c>
      <c r="V231" s="532" t="s">
        <v>1859</v>
      </c>
      <c r="W231" s="529" t="e">
        <f>(#REF!+BM231)/1100000</f>
        <v>#REF!</v>
      </c>
      <c r="X231" s="89"/>
      <c r="Y231" s="73"/>
      <c r="Z231" s="261"/>
      <c r="AA231" s="261"/>
      <c r="AB231" s="80" t="s">
        <v>1858</v>
      </c>
      <c r="AC231" s="81" t="e">
        <f>AC230-#REF!</f>
        <v>#REF!</v>
      </c>
      <c r="AD231" s="82" t="s">
        <v>1860</v>
      </c>
      <c r="AE231" s="83"/>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row>
    <row r="232" spans="1:54" s="78" customFormat="1" ht="22.5" customHeight="1" thickBot="1">
      <c r="A232" s="257" t="s">
        <v>1957</v>
      </c>
      <c r="B232" s="554">
        <v>1</v>
      </c>
      <c r="C232" s="244">
        <f>B232+D232+E232+F232+G232+I232+H232+J232+K232+L232+M232+N232+O232</f>
        <v>1</v>
      </c>
      <c r="D232" s="525"/>
      <c r="E232" s="525"/>
      <c r="F232" s="525"/>
      <c r="G232" s="525"/>
      <c r="H232" s="525"/>
      <c r="I232" s="525"/>
      <c r="J232" s="525"/>
      <c r="K232" s="525"/>
      <c r="L232" s="525"/>
      <c r="M232" s="525"/>
      <c r="N232" s="525"/>
      <c r="O232" s="525"/>
      <c r="P232" s="490" t="s">
        <v>1945</v>
      </c>
      <c r="Q232" s="490" t="s">
        <v>1955</v>
      </c>
      <c r="R232" s="553" t="s">
        <v>1958</v>
      </c>
      <c r="S232" s="537" t="s">
        <v>1954</v>
      </c>
      <c r="T232" s="521" t="s">
        <v>1864</v>
      </c>
      <c r="U232" s="522">
        <f>BK232/1100000</f>
        <v>0</v>
      </c>
      <c r="V232" s="523" t="s">
        <v>1865</v>
      </c>
      <c r="W232" s="524" t="e">
        <f>U232*0.75-(#REF!+W233)</f>
        <v>#REF!</v>
      </c>
      <c r="X232" s="299" t="s">
        <v>1868</v>
      </c>
      <c r="Y232" s="547" t="s">
        <v>1869</v>
      </c>
      <c r="Z232" s="260" t="s">
        <v>1959</v>
      </c>
      <c r="AA232" s="260"/>
      <c r="AB232" s="80" t="s">
        <v>1864</v>
      </c>
      <c r="AC232" s="81">
        <v>16560000</v>
      </c>
      <c r="AD232" s="82" t="s">
        <v>1871</v>
      </c>
      <c r="AE232" s="83">
        <v>0</v>
      </c>
      <c r="AF232" s="91" t="s">
        <v>1872</v>
      </c>
      <c r="AG232" s="92">
        <v>0</v>
      </c>
      <c r="AH232" s="92" t="s">
        <v>1873</v>
      </c>
      <c r="AI232" s="92">
        <v>0</v>
      </c>
      <c r="AJ232" s="92" t="s">
        <v>1856</v>
      </c>
      <c r="AK232" s="92">
        <v>10000000</v>
      </c>
      <c r="AL232" s="92" t="s">
        <v>1856</v>
      </c>
      <c r="AM232" s="92"/>
      <c r="AN232" s="92" t="s">
        <v>1856</v>
      </c>
      <c r="AO232" s="92"/>
      <c r="AP232" s="92"/>
      <c r="AQ232" s="92"/>
      <c r="AR232" s="92"/>
      <c r="AS232" s="92"/>
      <c r="AT232" s="92"/>
      <c r="AU232" s="92"/>
      <c r="AV232" s="92"/>
      <c r="AW232" s="92"/>
      <c r="AX232" s="92"/>
      <c r="AY232" s="92"/>
      <c r="AZ232" s="92"/>
      <c r="BA232" s="92"/>
      <c r="BB232" s="92"/>
    </row>
    <row r="233" spans="1:54" s="78" customFormat="1" ht="22.5" customHeight="1" thickBot="1">
      <c r="A233" s="258"/>
      <c r="B233" s="558"/>
      <c r="C233" s="245"/>
      <c r="D233" s="560"/>
      <c r="E233" s="560"/>
      <c r="F233" s="560"/>
      <c r="G233" s="560"/>
      <c r="H233" s="560"/>
      <c r="I233" s="560"/>
      <c r="J233" s="560"/>
      <c r="K233" s="560"/>
      <c r="L233" s="560"/>
      <c r="M233" s="560"/>
      <c r="N233" s="560"/>
      <c r="O233" s="560"/>
      <c r="P233" s="502"/>
      <c r="Q233" s="495"/>
      <c r="R233" s="557"/>
      <c r="S233" s="531"/>
      <c r="T233" s="526" t="s">
        <v>1858</v>
      </c>
      <c r="U233" s="527" t="e">
        <f>U232-#REF!</f>
        <v>#REF!</v>
      </c>
      <c r="V233" s="532" t="s">
        <v>1859</v>
      </c>
      <c r="W233" s="529" t="e">
        <f>(#REF!+BM233)/1100000</f>
        <v>#REF!</v>
      </c>
      <c r="X233" s="89"/>
      <c r="Y233" s="73"/>
      <c r="Z233" s="261"/>
      <c r="AA233" s="261"/>
      <c r="AB233" s="80" t="s">
        <v>1858</v>
      </c>
      <c r="AC233" s="81" t="e">
        <f>AC232-#REF!</f>
        <v>#REF!</v>
      </c>
      <c r="AD233" s="82" t="s">
        <v>1860</v>
      </c>
      <c r="AE233" s="83"/>
      <c r="AF233" s="77"/>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row>
    <row r="234" spans="1:54" s="78" customFormat="1" ht="22.5" customHeight="1" thickBot="1">
      <c r="A234" s="257" t="s">
        <v>1960</v>
      </c>
      <c r="B234" s="554">
        <v>0.18</v>
      </c>
      <c r="C234" s="244">
        <f>B234+D234+E234+F234+G234+I234+H234+J234+K234+L234+M234+N234+O234</f>
        <v>0.57999999999999996</v>
      </c>
      <c r="D234" s="525">
        <v>0.05</v>
      </c>
      <c r="E234" s="525">
        <v>0.05</v>
      </c>
      <c r="F234" s="525">
        <v>0.05</v>
      </c>
      <c r="G234" s="525">
        <v>0.05</v>
      </c>
      <c r="H234" s="525">
        <v>0.05</v>
      </c>
      <c r="I234" s="525">
        <v>0.05</v>
      </c>
      <c r="J234" s="525">
        <v>0.05</v>
      </c>
      <c r="K234" s="525">
        <v>0.05</v>
      </c>
      <c r="L234" s="525"/>
      <c r="M234" s="525"/>
      <c r="N234" s="525"/>
      <c r="O234" s="525"/>
      <c r="P234" s="490" t="s">
        <v>1963</v>
      </c>
      <c r="Q234" s="490" t="s">
        <v>1964</v>
      </c>
      <c r="R234" s="553" t="s">
        <v>1961</v>
      </c>
      <c r="S234" s="537" t="s">
        <v>1962</v>
      </c>
      <c r="T234" s="521" t="s">
        <v>1864</v>
      </c>
      <c r="U234" s="522">
        <f>BK234/1100000</f>
        <v>0</v>
      </c>
      <c r="V234" s="523" t="s">
        <v>1865</v>
      </c>
      <c r="W234" s="524" t="e">
        <f>U234*0.75-(#REF!+W235)</f>
        <v>#REF!</v>
      </c>
      <c r="X234" s="299" t="s">
        <v>1868</v>
      </c>
      <c r="Y234" s="547" t="s">
        <v>1869</v>
      </c>
      <c r="Z234" s="260" t="s">
        <v>1959</v>
      </c>
      <c r="AA234" s="260"/>
      <c r="AB234" s="80" t="s">
        <v>1864</v>
      </c>
      <c r="AC234" s="81">
        <v>346800000</v>
      </c>
      <c r="AD234" s="82" t="s">
        <v>1871</v>
      </c>
      <c r="AE234" s="83">
        <v>0</v>
      </c>
      <c r="AF234" s="91" t="s">
        <v>1872</v>
      </c>
      <c r="AG234" s="92">
        <v>0</v>
      </c>
      <c r="AH234" s="92" t="s">
        <v>1873</v>
      </c>
      <c r="AI234" s="92">
        <v>0</v>
      </c>
      <c r="AJ234" s="92" t="s">
        <v>1856</v>
      </c>
      <c r="AK234" s="92">
        <v>0</v>
      </c>
      <c r="AL234" s="92" t="s">
        <v>1856</v>
      </c>
      <c r="AM234" s="92"/>
      <c r="AN234" s="92" t="s">
        <v>1856</v>
      </c>
      <c r="AO234" s="92"/>
      <c r="AP234" s="92"/>
      <c r="AQ234" s="92"/>
      <c r="AR234" s="92"/>
      <c r="AS234" s="92"/>
      <c r="AT234" s="92"/>
      <c r="AU234" s="92"/>
      <c r="AV234" s="92"/>
      <c r="AW234" s="92"/>
      <c r="AX234" s="92"/>
      <c r="AY234" s="92"/>
      <c r="AZ234" s="92"/>
      <c r="BA234" s="92"/>
      <c r="BB234" s="92"/>
    </row>
    <row r="235" spans="1:54" s="78" customFormat="1" ht="22.5" customHeight="1" thickBot="1">
      <c r="A235" s="258"/>
      <c r="B235" s="558"/>
      <c r="C235" s="245"/>
      <c r="D235" s="560"/>
      <c r="E235" s="560"/>
      <c r="F235" s="560"/>
      <c r="G235" s="560"/>
      <c r="H235" s="560"/>
      <c r="I235" s="560"/>
      <c r="J235" s="560"/>
      <c r="K235" s="560"/>
      <c r="L235" s="560"/>
      <c r="M235" s="560"/>
      <c r="N235" s="560"/>
      <c r="O235" s="560"/>
      <c r="P235" s="502"/>
      <c r="Q235" s="495"/>
      <c r="R235" s="557"/>
      <c r="S235" s="531"/>
      <c r="T235" s="526" t="s">
        <v>1858</v>
      </c>
      <c r="U235" s="527" t="e">
        <f>U234-#REF!</f>
        <v>#REF!</v>
      </c>
      <c r="V235" s="532" t="s">
        <v>1859</v>
      </c>
      <c r="W235" s="529" t="e">
        <f>(#REF!+BM235)/1100000</f>
        <v>#REF!</v>
      </c>
      <c r="X235" s="89"/>
      <c r="Y235" s="73"/>
      <c r="Z235" s="261"/>
      <c r="AA235" s="261"/>
      <c r="AB235" s="80" t="s">
        <v>1858</v>
      </c>
      <c r="AC235" s="81" t="e">
        <f>AC234-#REF!</f>
        <v>#REF!</v>
      </c>
      <c r="AD235" s="82" t="s">
        <v>1860</v>
      </c>
      <c r="AE235" s="83"/>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row>
    <row r="236" spans="1:54" s="78" customFormat="1" ht="22.5" customHeight="1" thickBot="1">
      <c r="A236" s="257" t="s">
        <v>1965</v>
      </c>
      <c r="B236" s="554">
        <v>1</v>
      </c>
      <c r="C236" s="244">
        <f>B236+D236+E236+F236+G236+I236+H236+J236+K236+L236+M236+N236+O236</f>
        <v>1</v>
      </c>
      <c r="D236" s="525"/>
      <c r="E236" s="525"/>
      <c r="F236" s="525"/>
      <c r="G236" s="525"/>
      <c r="H236" s="525"/>
      <c r="I236" s="525"/>
      <c r="J236" s="525"/>
      <c r="K236" s="525"/>
      <c r="L236" s="525"/>
      <c r="M236" s="525"/>
      <c r="N236" s="525"/>
      <c r="O236" s="525"/>
      <c r="P236" s="490" t="s">
        <v>1945</v>
      </c>
      <c r="Q236" s="490" t="s">
        <v>1968</v>
      </c>
      <c r="R236" s="553" t="s">
        <v>1966</v>
      </c>
      <c r="S236" s="537" t="s">
        <v>1967</v>
      </c>
      <c r="T236" s="521" t="s">
        <v>1864</v>
      </c>
      <c r="U236" s="522">
        <f>BK236/1100000</f>
        <v>0</v>
      </c>
      <c r="V236" s="523" t="s">
        <v>1865</v>
      </c>
      <c r="W236" s="524" t="e">
        <f>U236*0.75-(#REF!+W237)</f>
        <v>#REF!</v>
      </c>
      <c r="X236" s="299" t="s">
        <v>1868</v>
      </c>
      <c r="Y236" s="547" t="s">
        <v>1869</v>
      </c>
      <c r="Z236" s="260" t="s">
        <v>1959</v>
      </c>
      <c r="AA236" s="260"/>
      <c r="AB236" s="80" t="s">
        <v>1864</v>
      </c>
      <c r="AC236" s="81">
        <v>13578000</v>
      </c>
      <c r="AD236" s="82" t="s">
        <v>1871</v>
      </c>
      <c r="AE236" s="83">
        <v>0</v>
      </c>
      <c r="AF236" s="91" t="s">
        <v>1872</v>
      </c>
      <c r="AG236" s="92">
        <v>0</v>
      </c>
      <c r="AH236" s="92" t="s">
        <v>1873</v>
      </c>
      <c r="AI236" s="92">
        <v>0</v>
      </c>
      <c r="AJ236" s="92" t="s">
        <v>1856</v>
      </c>
      <c r="AK236" s="92">
        <v>0</v>
      </c>
      <c r="AL236" s="92" t="s">
        <v>1856</v>
      </c>
      <c r="AM236" s="92"/>
      <c r="AN236" s="92" t="s">
        <v>1856</v>
      </c>
      <c r="AO236" s="92"/>
      <c r="AP236" s="92"/>
      <c r="AQ236" s="92"/>
      <c r="AR236" s="92"/>
      <c r="AS236" s="92"/>
      <c r="AT236" s="92"/>
      <c r="AU236" s="92"/>
      <c r="AV236" s="92"/>
      <c r="AW236" s="92"/>
      <c r="AX236" s="92"/>
      <c r="AY236" s="92"/>
      <c r="AZ236" s="92"/>
      <c r="BA236" s="92"/>
      <c r="BB236" s="92"/>
    </row>
    <row r="237" spans="1:54" s="78" customFormat="1" ht="22.5" customHeight="1" thickBot="1">
      <c r="A237" s="258"/>
      <c r="B237" s="558"/>
      <c r="C237" s="245"/>
      <c r="D237" s="560"/>
      <c r="E237" s="560"/>
      <c r="F237" s="560"/>
      <c r="G237" s="560"/>
      <c r="H237" s="560"/>
      <c r="I237" s="560"/>
      <c r="J237" s="560"/>
      <c r="K237" s="560"/>
      <c r="L237" s="560"/>
      <c r="M237" s="560"/>
      <c r="N237" s="560"/>
      <c r="O237" s="560"/>
      <c r="P237" s="502"/>
      <c r="Q237" s="495"/>
      <c r="R237" s="557"/>
      <c r="S237" s="531"/>
      <c r="T237" s="526" t="s">
        <v>1858</v>
      </c>
      <c r="U237" s="527" t="e">
        <f>U236-#REF!</f>
        <v>#REF!</v>
      </c>
      <c r="V237" s="532" t="s">
        <v>1859</v>
      </c>
      <c r="W237" s="529" t="e">
        <f>(#REF!+BM237)/1100000</f>
        <v>#REF!</v>
      </c>
      <c r="X237" s="89"/>
      <c r="Y237" s="73"/>
      <c r="Z237" s="261"/>
      <c r="AA237" s="261"/>
      <c r="AB237" s="80" t="s">
        <v>1858</v>
      </c>
      <c r="AC237" s="81" t="e">
        <f>AC236-#REF!</f>
        <v>#REF!</v>
      </c>
      <c r="AD237" s="82" t="s">
        <v>1860</v>
      </c>
      <c r="AE237" s="83"/>
      <c r="AF237" s="77"/>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row>
    <row r="238" spans="1:54" s="78" customFormat="1" ht="22.5" customHeight="1" thickBot="1">
      <c r="A238" s="257" t="s">
        <v>1969</v>
      </c>
      <c r="B238" s="554">
        <v>0.1</v>
      </c>
      <c r="C238" s="244">
        <f>B238+D238+E238+F238+G238+I238+H238+J238+K238+L238+M238+N238+O238</f>
        <v>0.3600000000000001</v>
      </c>
      <c r="D238" s="525">
        <v>0.05</v>
      </c>
      <c r="E238" s="525">
        <v>0.05</v>
      </c>
      <c r="F238" s="525">
        <v>0.05</v>
      </c>
      <c r="G238" s="525">
        <v>0.03</v>
      </c>
      <c r="H238" s="525">
        <v>0.03</v>
      </c>
      <c r="I238" s="525">
        <v>0.01</v>
      </c>
      <c r="J238" s="525">
        <v>0.01</v>
      </c>
      <c r="K238" s="525">
        <v>0.01</v>
      </c>
      <c r="L238" s="525">
        <v>0.01</v>
      </c>
      <c r="M238" s="525">
        <v>0.01</v>
      </c>
      <c r="N238" s="525"/>
      <c r="O238" s="525"/>
      <c r="P238" s="490" t="s">
        <v>1972</v>
      </c>
      <c r="Q238" s="490" t="s">
        <v>1973</v>
      </c>
      <c r="R238" s="553" t="s">
        <v>1970</v>
      </c>
      <c r="S238" s="537" t="s">
        <v>1971</v>
      </c>
      <c r="T238" s="521" t="s">
        <v>1864</v>
      </c>
      <c r="U238" s="522">
        <f>BK238/1100000</f>
        <v>0</v>
      </c>
      <c r="V238" s="523" t="s">
        <v>1865</v>
      </c>
      <c r="W238" s="524" t="e">
        <f>U238*0.75-(#REF!+W239)</f>
        <v>#REF!</v>
      </c>
      <c r="X238" s="299" t="s">
        <v>1868</v>
      </c>
      <c r="Y238" s="547" t="s">
        <v>1869</v>
      </c>
      <c r="Z238" s="261"/>
      <c r="AA238" s="261"/>
      <c r="AB238" s="80" t="s">
        <v>1864</v>
      </c>
      <c r="AC238" s="81">
        <v>315371370</v>
      </c>
      <c r="AD238" s="82" t="s">
        <v>1871</v>
      </c>
      <c r="AE238" s="83">
        <v>0</v>
      </c>
      <c r="AF238" s="91" t="s">
        <v>1872</v>
      </c>
      <c r="AG238" s="92">
        <v>0</v>
      </c>
      <c r="AH238" s="92" t="s">
        <v>1873</v>
      </c>
      <c r="AI238" s="92">
        <v>0</v>
      </c>
      <c r="AJ238" s="92" t="s">
        <v>1856</v>
      </c>
      <c r="AK238" s="92">
        <v>0</v>
      </c>
      <c r="AL238" s="92" t="s">
        <v>1856</v>
      </c>
      <c r="AM238" s="92"/>
      <c r="AN238" s="92" t="s">
        <v>1856</v>
      </c>
      <c r="AO238" s="92"/>
      <c r="AP238" s="92"/>
      <c r="AQ238" s="92"/>
      <c r="AR238" s="92"/>
      <c r="AS238" s="92"/>
      <c r="AT238" s="92"/>
      <c r="AU238" s="92"/>
      <c r="AV238" s="92"/>
      <c r="AW238" s="92"/>
      <c r="AX238" s="92"/>
      <c r="AY238" s="92"/>
      <c r="AZ238" s="92"/>
      <c r="BA238" s="92"/>
      <c r="BB238" s="77"/>
    </row>
    <row r="239" spans="1:54" s="78" customFormat="1" ht="22.5" customHeight="1" thickBot="1">
      <c r="A239" s="258"/>
      <c r="B239" s="558"/>
      <c r="C239" s="245"/>
      <c r="D239" s="560"/>
      <c r="E239" s="560"/>
      <c r="F239" s="560"/>
      <c r="G239" s="560"/>
      <c r="H239" s="560"/>
      <c r="I239" s="560"/>
      <c r="J239" s="560"/>
      <c r="K239" s="560"/>
      <c r="L239" s="560"/>
      <c r="M239" s="560"/>
      <c r="N239" s="560"/>
      <c r="O239" s="560"/>
      <c r="P239" s="502"/>
      <c r="Q239" s="495"/>
      <c r="R239" s="557"/>
      <c r="S239" s="531"/>
      <c r="T239" s="526" t="s">
        <v>1858</v>
      </c>
      <c r="U239" s="527" t="e">
        <f>U238-#REF!</f>
        <v>#REF!</v>
      </c>
      <c r="V239" s="532" t="s">
        <v>1859</v>
      </c>
      <c r="W239" s="529" t="e">
        <f>(#REF!+BM239)/1100000</f>
        <v>#REF!</v>
      </c>
      <c r="X239" s="89"/>
      <c r="Y239" s="73"/>
      <c r="Z239" s="261"/>
      <c r="AA239" s="261"/>
      <c r="AB239" s="80" t="s">
        <v>1858</v>
      </c>
      <c r="AC239" s="81" t="e">
        <f>AC238-#REF!</f>
        <v>#REF!</v>
      </c>
      <c r="AD239" s="82" t="s">
        <v>1860</v>
      </c>
      <c r="AE239" s="83"/>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row>
    <row r="240" spans="1:54" s="78" customFormat="1" ht="22.5" customHeight="1" thickBot="1">
      <c r="A240" s="257" t="s">
        <v>1974</v>
      </c>
      <c r="B240" s="554">
        <v>0.15</v>
      </c>
      <c r="C240" s="244">
        <f>B240+D240+E240+F240+G240+I240+H240+J240+K240+L240+M240+N240+O240</f>
        <v>1</v>
      </c>
      <c r="D240" s="525">
        <v>0.1</v>
      </c>
      <c r="E240" s="525">
        <v>0.1</v>
      </c>
      <c r="F240" s="525">
        <v>0.55000000000000004</v>
      </c>
      <c r="G240" s="525">
        <v>0.1</v>
      </c>
      <c r="H240" s="525"/>
      <c r="I240" s="525"/>
      <c r="J240" s="525"/>
      <c r="K240" s="525"/>
      <c r="L240" s="525"/>
      <c r="M240" s="525"/>
      <c r="N240" s="525"/>
      <c r="O240" s="525"/>
      <c r="P240" s="490" t="s">
        <v>1866</v>
      </c>
      <c r="Q240" s="490" t="s">
        <v>1977</v>
      </c>
      <c r="R240" s="553" t="s">
        <v>1975</v>
      </c>
      <c r="S240" s="537" t="s">
        <v>1976</v>
      </c>
      <c r="T240" s="521" t="s">
        <v>1864</v>
      </c>
      <c r="U240" s="522">
        <f>BK240/1100000</f>
        <v>0</v>
      </c>
      <c r="V240" s="523" t="s">
        <v>1865</v>
      </c>
      <c r="W240" s="524" t="e">
        <f>U240*0.75-(#REF!+W241)</f>
        <v>#REF!</v>
      </c>
      <c r="X240" s="299" t="s">
        <v>1868</v>
      </c>
      <c r="Y240" s="547" t="s">
        <v>1869</v>
      </c>
      <c r="Z240" s="261"/>
      <c r="AA240" s="261"/>
      <c r="AB240" s="80" t="s">
        <v>1864</v>
      </c>
      <c r="AC240" s="81">
        <v>40270000</v>
      </c>
      <c r="AD240" s="82" t="s">
        <v>1871</v>
      </c>
      <c r="AE240" s="83">
        <v>0</v>
      </c>
      <c r="AF240" s="91" t="s">
        <v>1872</v>
      </c>
      <c r="AG240" s="92">
        <v>0</v>
      </c>
      <c r="AH240" s="92" t="s">
        <v>1873</v>
      </c>
      <c r="AI240" s="92">
        <v>0</v>
      </c>
      <c r="AJ240" s="92" t="s">
        <v>1856</v>
      </c>
      <c r="AK240" s="92">
        <v>0</v>
      </c>
      <c r="AL240" s="92" t="s">
        <v>1856</v>
      </c>
      <c r="AM240" s="92"/>
      <c r="AN240" s="92" t="s">
        <v>1856</v>
      </c>
      <c r="AO240" s="92"/>
      <c r="AP240" s="92"/>
      <c r="AQ240" s="92"/>
      <c r="AR240" s="92"/>
      <c r="AS240" s="92"/>
      <c r="AT240" s="92"/>
      <c r="AU240" s="92"/>
      <c r="AV240" s="92"/>
      <c r="AW240" s="92"/>
      <c r="AX240" s="92"/>
      <c r="AY240" s="92"/>
      <c r="AZ240" s="92"/>
      <c r="BA240" s="92"/>
      <c r="BB240" s="77"/>
    </row>
    <row r="241" spans="1:54" s="78" customFormat="1" ht="22.5" customHeight="1" thickBot="1">
      <c r="A241" s="258"/>
      <c r="B241" s="558"/>
      <c r="C241" s="245"/>
      <c r="D241" s="560"/>
      <c r="E241" s="560"/>
      <c r="F241" s="560"/>
      <c r="G241" s="560"/>
      <c r="H241" s="560"/>
      <c r="I241" s="560"/>
      <c r="J241" s="560"/>
      <c r="K241" s="560"/>
      <c r="L241" s="560"/>
      <c r="M241" s="560"/>
      <c r="N241" s="560"/>
      <c r="O241" s="560"/>
      <c r="P241" s="502"/>
      <c r="Q241" s="495"/>
      <c r="R241" s="557"/>
      <c r="S241" s="531"/>
      <c r="T241" s="526" t="s">
        <v>1858</v>
      </c>
      <c r="U241" s="527" t="e">
        <f>U240-#REF!</f>
        <v>#REF!</v>
      </c>
      <c r="V241" s="532" t="s">
        <v>1859</v>
      </c>
      <c r="W241" s="529" t="e">
        <f>(#REF!+BM241)/1100000</f>
        <v>#REF!</v>
      </c>
      <c r="X241" s="89"/>
      <c r="Y241" s="73"/>
      <c r="Z241" s="261"/>
      <c r="AA241" s="261"/>
      <c r="AB241" s="80" t="s">
        <v>1858</v>
      </c>
      <c r="AC241" s="81" t="e">
        <f>AC240-#REF!</f>
        <v>#REF!</v>
      </c>
      <c r="AD241" s="82" t="s">
        <v>1860</v>
      </c>
      <c r="AE241" s="83"/>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row>
    <row r="242" spans="1:54" s="78" customFormat="1" ht="22.5" customHeight="1" thickBot="1">
      <c r="A242" s="257" t="s">
        <v>1978</v>
      </c>
      <c r="B242" s="554">
        <v>0.6</v>
      </c>
      <c r="C242" s="244">
        <f>B242+D242+E242+F242+G242+I242+H242+J242+K242+L242+M242+N242+O242</f>
        <v>1</v>
      </c>
      <c r="D242" s="525">
        <v>0.4</v>
      </c>
      <c r="E242" s="525"/>
      <c r="F242" s="525"/>
      <c r="G242" s="525"/>
      <c r="H242" s="525"/>
      <c r="I242" s="525"/>
      <c r="J242" s="525"/>
      <c r="K242" s="525"/>
      <c r="L242" s="525"/>
      <c r="M242" s="525"/>
      <c r="N242" s="525"/>
      <c r="O242" s="525"/>
      <c r="P242" s="490" t="s">
        <v>1866</v>
      </c>
      <c r="Q242" s="490" t="s">
        <v>1981</v>
      </c>
      <c r="R242" s="553" t="s">
        <v>1979</v>
      </c>
      <c r="S242" s="537" t="s">
        <v>1980</v>
      </c>
      <c r="T242" s="521" t="s">
        <v>1864</v>
      </c>
      <c r="U242" s="522">
        <f>BK242/1100000</f>
        <v>0</v>
      </c>
      <c r="V242" s="523" t="s">
        <v>1865</v>
      </c>
      <c r="W242" s="524" t="e">
        <f>U242*0.75-(#REF!+W243)</f>
        <v>#REF!</v>
      </c>
      <c r="X242" s="299" t="s">
        <v>1868</v>
      </c>
      <c r="Y242" s="547" t="s">
        <v>1869</v>
      </c>
      <c r="Z242" s="261"/>
      <c r="AA242" s="261"/>
      <c r="AB242" s="80" t="s">
        <v>1864</v>
      </c>
      <c r="AC242" s="81">
        <v>90221000</v>
      </c>
      <c r="AD242" s="82" t="s">
        <v>1871</v>
      </c>
      <c r="AE242" s="83">
        <v>0</v>
      </c>
      <c r="AF242" s="91" t="s">
        <v>1872</v>
      </c>
      <c r="AG242" s="92">
        <v>0</v>
      </c>
      <c r="AH242" s="92" t="s">
        <v>1873</v>
      </c>
      <c r="AI242" s="92">
        <v>0</v>
      </c>
      <c r="AJ242" s="92" t="s">
        <v>1856</v>
      </c>
      <c r="AK242" s="92">
        <v>0</v>
      </c>
      <c r="AL242" s="92" t="s">
        <v>1856</v>
      </c>
      <c r="AM242" s="92"/>
      <c r="AN242" s="92" t="s">
        <v>1856</v>
      </c>
      <c r="AO242" s="92"/>
      <c r="AP242" s="92"/>
      <c r="AQ242" s="92"/>
      <c r="AR242" s="92"/>
      <c r="AS242" s="92"/>
      <c r="AT242" s="92"/>
      <c r="AU242" s="92"/>
      <c r="AV242" s="92"/>
      <c r="AW242" s="92"/>
      <c r="AX242" s="92"/>
      <c r="AY242" s="92"/>
      <c r="AZ242" s="92"/>
      <c r="BA242" s="92"/>
      <c r="BB242" s="77"/>
    </row>
    <row r="243" spans="1:54" s="77" customFormat="1" ht="22.5" customHeight="1" thickBot="1">
      <c r="A243" s="258"/>
      <c r="B243" s="558"/>
      <c r="C243" s="245"/>
      <c r="D243" s="560"/>
      <c r="E243" s="560"/>
      <c r="F243" s="560"/>
      <c r="G243" s="560"/>
      <c r="H243" s="560"/>
      <c r="I243" s="560"/>
      <c r="J243" s="560"/>
      <c r="K243" s="560"/>
      <c r="L243" s="560"/>
      <c r="M243" s="560"/>
      <c r="N243" s="560"/>
      <c r="O243" s="560"/>
      <c r="P243" s="502"/>
      <c r="Q243" s="495"/>
      <c r="R243" s="557"/>
      <c r="S243" s="531"/>
      <c r="T243" s="526" t="s">
        <v>1858</v>
      </c>
      <c r="U243" s="527" t="e">
        <f>U242-#REF!</f>
        <v>#REF!</v>
      </c>
      <c r="V243" s="532" t="s">
        <v>1859</v>
      </c>
      <c r="W243" s="529" t="e">
        <f>(#REF!+BM243)/1100000</f>
        <v>#REF!</v>
      </c>
      <c r="X243" s="89"/>
      <c r="Y243" s="73"/>
      <c r="Z243" s="261"/>
      <c r="AA243" s="261"/>
      <c r="AB243" s="80" t="s">
        <v>1858</v>
      </c>
      <c r="AC243" s="81" t="e">
        <f>AC242-#REF!</f>
        <v>#REF!</v>
      </c>
      <c r="AD243" s="82" t="s">
        <v>1860</v>
      </c>
      <c r="AE243" s="83"/>
    </row>
    <row r="244" spans="1:54" s="77" customFormat="1" ht="22.5" customHeight="1" thickBot="1">
      <c r="A244" s="257" t="s">
        <v>1982</v>
      </c>
      <c r="B244" s="554">
        <v>0</v>
      </c>
      <c r="C244" s="244">
        <f>B244+D244+E244+F244+G244+I244+H244+J244+K244+L244+M244+N244+O244</f>
        <v>0.16000000000000003</v>
      </c>
      <c r="D244" s="525"/>
      <c r="E244" s="525"/>
      <c r="F244" s="525">
        <v>0.03</v>
      </c>
      <c r="G244" s="525">
        <v>0.03</v>
      </c>
      <c r="H244" s="525">
        <v>0.03</v>
      </c>
      <c r="I244" s="525">
        <v>0.03</v>
      </c>
      <c r="J244" s="525">
        <v>0.01</v>
      </c>
      <c r="K244" s="525">
        <v>0.01</v>
      </c>
      <c r="L244" s="525">
        <v>0.01</v>
      </c>
      <c r="M244" s="525">
        <v>0.01</v>
      </c>
      <c r="N244" s="525"/>
      <c r="O244" s="525"/>
      <c r="P244" s="490" t="s">
        <v>1985</v>
      </c>
      <c r="Q244" s="490" t="s">
        <v>1986</v>
      </c>
      <c r="R244" s="553" t="s">
        <v>1983</v>
      </c>
      <c r="S244" s="537" t="s">
        <v>1984</v>
      </c>
      <c r="T244" s="521" t="s">
        <v>1864</v>
      </c>
      <c r="U244" s="522">
        <f>BK244/1100000</f>
        <v>0</v>
      </c>
      <c r="V244" s="523" t="s">
        <v>1865</v>
      </c>
      <c r="W244" s="524" t="e">
        <f>U244*0.75-(#REF!+W245)</f>
        <v>#REF!</v>
      </c>
      <c r="X244" s="299" t="s">
        <v>1868</v>
      </c>
      <c r="Y244" s="547" t="s">
        <v>1869</v>
      </c>
      <c r="Z244" s="261"/>
      <c r="AA244" s="261"/>
      <c r="AB244" s="80" t="s">
        <v>1864</v>
      </c>
      <c r="AC244" s="81">
        <v>170752000</v>
      </c>
      <c r="AD244" s="82" t="s">
        <v>1871</v>
      </c>
      <c r="AE244" s="83">
        <v>0</v>
      </c>
      <c r="AF244" s="91" t="s">
        <v>1872</v>
      </c>
      <c r="AG244" s="92">
        <v>0</v>
      </c>
      <c r="AH244" s="92" t="s">
        <v>1873</v>
      </c>
      <c r="AI244" s="92">
        <v>0</v>
      </c>
      <c r="AJ244" s="92" t="s">
        <v>1856</v>
      </c>
      <c r="AK244" s="92">
        <v>0</v>
      </c>
      <c r="AL244" s="92" t="s">
        <v>1856</v>
      </c>
      <c r="AM244" s="92"/>
      <c r="AN244" s="92" t="s">
        <v>1856</v>
      </c>
      <c r="AO244" s="92"/>
      <c r="AP244" s="92"/>
      <c r="AQ244" s="92"/>
      <c r="AR244" s="92"/>
      <c r="AS244" s="92"/>
      <c r="AT244" s="92"/>
      <c r="AU244" s="92"/>
      <c r="AV244" s="92"/>
      <c r="AW244" s="92"/>
      <c r="AX244" s="92"/>
      <c r="AY244" s="92"/>
      <c r="AZ244" s="92"/>
      <c r="BA244" s="92"/>
    </row>
    <row r="245" spans="1:54" s="77" customFormat="1" ht="22.5" customHeight="1" thickBot="1">
      <c r="A245" s="258"/>
      <c r="B245" s="558"/>
      <c r="C245" s="245"/>
      <c r="D245" s="560"/>
      <c r="E245" s="560"/>
      <c r="F245" s="560"/>
      <c r="G245" s="560"/>
      <c r="H245" s="560"/>
      <c r="I245" s="560"/>
      <c r="J245" s="560"/>
      <c r="K245" s="560"/>
      <c r="L245" s="560"/>
      <c r="M245" s="560"/>
      <c r="N245" s="560"/>
      <c r="O245" s="560"/>
      <c r="P245" s="502"/>
      <c r="Q245" s="495"/>
      <c r="R245" s="557"/>
      <c r="S245" s="531"/>
      <c r="T245" s="526" t="s">
        <v>1858</v>
      </c>
      <c r="U245" s="527" t="e">
        <f>U244-#REF!</f>
        <v>#REF!</v>
      </c>
      <c r="V245" s="532" t="s">
        <v>1859</v>
      </c>
      <c r="W245" s="529" t="e">
        <f>(#REF!+BM245)/1100000</f>
        <v>#REF!</v>
      </c>
      <c r="X245" s="89"/>
      <c r="Y245" s="73"/>
      <c r="Z245" s="261"/>
      <c r="AA245" s="261"/>
      <c r="AB245" s="80" t="s">
        <v>1858</v>
      </c>
      <c r="AC245" s="81" t="e">
        <f>AC244-#REF!</f>
        <v>#REF!</v>
      </c>
      <c r="AD245" s="82" t="s">
        <v>1860</v>
      </c>
      <c r="AE245" s="83"/>
    </row>
    <row r="246" spans="1:54" s="77" customFormat="1" ht="22.5" customHeight="1" thickBot="1">
      <c r="A246" s="257" t="s">
        <v>1987</v>
      </c>
      <c r="B246" s="554">
        <v>0</v>
      </c>
      <c r="C246" s="244">
        <f>B246+D246+E246+F246+G246+I246+H246+J246+K246+L246+M246+N246+O246</f>
        <v>0.18000000000000005</v>
      </c>
      <c r="D246" s="525"/>
      <c r="E246" s="525"/>
      <c r="F246" s="525">
        <v>0.01</v>
      </c>
      <c r="G246" s="525">
        <v>0.05</v>
      </c>
      <c r="H246" s="525">
        <v>0.05</v>
      </c>
      <c r="I246" s="525">
        <v>0.05</v>
      </c>
      <c r="J246" s="525">
        <v>0.01</v>
      </c>
      <c r="K246" s="525">
        <v>0.01</v>
      </c>
      <c r="L246" s="525"/>
      <c r="M246" s="525"/>
      <c r="N246" s="525"/>
      <c r="O246" s="525"/>
      <c r="P246" s="490" t="s">
        <v>1963</v>
      </c>
      <c r="Q246" s="490" t="s">
        <v>1990</v>
      </c>
      <c r="R246" s="553" t="s">
        <v>1988</v>
      </c>
      <c r="S246" s="537" t="s">
        <v>1989</v>
      </c>
      <c r="T246" s="521" t="s">
        <v>1864</v>
      </c>
      <c r="U246" s="522">
        <f>BK246/1100000</f>
        <v>0</v>
      </c>
      <c r="V246" s="523" t="s">
        <v>1865</v>
      </c>
      <c r="W246" s="524" t="e">
        <f>U246*0.75-(#REF!+W247)</f>
        <v>#REF!</v>
      </c>
      <c r="X246" s="299" t="s">
        <v>1868</v>
      </c>
      <c r="Y246" s="547" t="s">
        <v>1869</v>
      </c>
      <c r="Z246" s="261"/>
      <c r="AA246" s="261"/>
      <c r="AB246" s="80" t="s">
        <v>1864</v>
      </c>
      <c r="AC246" s="81">
        <v>310272550</v>
      </c>
      <c r="AD246" s="82" t="s">
        <v>1871</v>
      </c>
      <c r="AE246" s="83">
        <v>0</v>
      </c>
      <c r="AF246" s="91" t="s">
        <v>1872</v>
      </c>
      <c r="AG246" s="92">
        <v>0</v>
      </c>
      <c r="AH246" s="92" t="s">
        <v>1873</v>
      </c>
      <c r="AI246" s="92">
        <v>0</v>
      </c>
      <c r="AJ246" s="92" t="s">
        <v>1856</v>
      </c>
      <c r="AK246" s="92">
        <v>0</v>
      </c>
      <c r="AL246" s="92" t="s">
        <v>1856</v>
      </c>
      <c r="AM246" s="92"/>
      <c r="AN246" s="92" t="s">
        <v>1856</v>
      </c>
      <c r="AO246" s="92"/>
      <c r="AP246" s="92"/>
      <c r="AQ246" s="92"/>
      <c r="AR246" s="92"/>
      <c r="AS246" s="92"/>
      <c r="AT246" s="92"/>
      <c r="AU246" s="92"/>
      <c r="AV246" s="92"/>
      <c r="AW246" s="92"/>
      <c r="AX246" s="92"/>
      <c r="AY246" s="92"/>
      <c r="AZ246" s="92"/>
      <c r="BA246" s="92"/>
    </row>
    <row r="247" spans="1:54" s="77" customFormat="1" ht="22.5" customHeight="1" thickBot="1">
      <c r="A247" s="258"/>
      <c r="B247" s="558"/>
      <c r="C247" s="245"/>
      <c r="D247" s="560"/>
      <c r="E247" s="560"/>
      <c r="F247" s="560"/>
      <c r="G247" s="560"/>
      <c r="H247" s="560"/>
      <c r="I247" s="560"/>
      <c r="J247" s="560"/>
      <c r="K247" s="560"/>
      <c r="L247" s="560"/>
      <c r="M247" s="560"/>
      <c r="N247" s="560"/>
      <c r="O247" s="560"/>
      <c r="P247" s="502"/>
      <c r="Q247" s="495"/>
      <c r="R247" s="557"/>
      <c r="S247" s="531"/>
      <c r="T247" s="526" t="s">
        <v>1858</v>
      </c>
      <c r="U247" s="527" t="e">
        <f>U246-#REF!</f>
        <v>#REF!</v>
      </c>
      <c r="V247" s="532" t="s">
        <v>1859</v>
      </c>
      <c r="W247" s="529" t="e">
        <f>(#REF!+BM247)/1100000</f>
        <v>#REF!</v>
      </c>
      <c r="X247" s="89"/>
      <c r="Y247" s="73"/>
      <c r="Z247" s="261"/>
      <c r="AA247" s="261"/>
      <c r="AB247" s="80" t="s">
        <v>1858</v>
      </c>
      <c r="AC247" s="81" t="e">
        <f>AC246-#REF!</f>
        <v>#REF!</v>
      </c>
      <c r="AD247" s="82" t="s">
        <v>1860</v>
      </c>
      <c r="AE247" s="83"/>
    </row>
    <row r="248" spans="1:54" s="77" customFormat="1" ht="22.5" customHeight="1" thickBot="1">
      <c r="A248" s="257" t="s">
        <v>1991</v>
      </c>
      <c r="B248" s="554">
        <v>0</v>
      </c>
      <c r="C248" s="244">
        <f>B248+D248+E248+F248+G248+I248+H248+J248+K248+L248+M248+N248+O248</f>
        <v>0.31</v>
      </c>
      <c r="D248" s="525"/>
      <c r="E248" s="525"/>
      <c r="F248" s="525">
        <v>0.01</v>
      </c>
      <c r="G248" s="525">
        <v>0.05</v>
      </c>
      <c r="H248" s="525">
        <v>0.05</v>
      </c>
      <c r="I248" s="525">
        <v>0.05</v>
      </c>
      <c r="J248" s="525">
        <v>0.05</v>
      </c>
      <c r="K248" s="525">
        <v>0.05</v>
      </c>
      <c r="L248" s="525">
        <v>0.05</v>
      </c>
      <c r="M248" s="525"/>
      <c r="N248" s="525"/>
      <c r="O248" s="525"/>
      <c r="P248" s="490" t="s">
        <v>1993</v>
      </c>
      <c r="Q248" s="490" t="s">
        <v>1994</v>
      </c>
      <c r="R248" s="553" t="s">
        <v>1992</v>
      </c>
      <c r="S248" s="537" t="s">
        <v>1989</v>
      </c>
      <c r="T248" s="521" t="s">
        <v>1864</v>
      </c>
      <c r="U248" s="522">
        <f>BK248/1100000</f>
        <v>0</v>
      </c>
      <c r="V248" s="523" t="s">
        <v>1865</v>
      </c>
      <c r="W248" s="524" t="e">
        <f>U248*0.75-(#REF!+W249)</f>
        <v>#REF!</v>
      </c>
      <c r="X248" s="299" t="s">
        <v>1868</v>
      </c>
      <c r="Y248" s="547" t="s">
        <v>1869</v>
      </c>
      <c r="Z248" s="261"/>
      <c r="AA248" s="261"/>
      <c r="AB248" s="80" t="s">
        <v>1864</v>
      </c>
      <c r="AC248" s="81">
        <v>304606400</v>
      </c>
      <c r="AD248" s="82" t="s">
        <v>1871</v>
      </c>
      <c r="AE248" s="83">
        <v>0</v>
      </c>
      <c r="AF248" s="91" t="s">
        <v>1872</v>
      </c>
      <c r="AG248" s="92">
        <v>0</v>
      </c>
      <c r="AH248" s="92" t="s">
        <v>1873</v>
      </c>
      <c r="AI248" s="92">
        <v>0</v>
      </c>
      <c r="AJ248" s="92" t="s">
        <v>1856</v>
      </c>
      <c r="AK248" s="92">
        <v>0</v>
      </c>
      <c r="AL248" s="92" t="s">
        <v>1856</v>
      </c>
      <c r="AM248" s="92"/>
      <c r="AN248" s="92" t="s">
        <v>1856</v>
      </c>
      <c r="AO248" s="92"/>
      <c r="AP248" s="92"/>
      <c r="AQ248" s="92"/>
      <c r="AR248" s="92"/>
      <c r="AS248" s="92"/>
      <c r="AT248" s="92"/>
      <c r="AU248" s="92"/>
      <c r="AV248" s="92"/>
      <c r="AW248" s="92"/>
      <c r="AX248" s="92"/>
      <c r="AY248" s="92"/>
      <c r="AZ248" s="92"/>
      <c r="BA248" s="92"/>
    </row>
    <row r="249" spans="1:54" s="77" customFormat="1" ht="22.5" customHeight="1" thickBot="1">
      <c r="A249" s="258"/>
      <c r="B249" s="558"/>
      <c r="C249" s="245"/>
      <c r="D249" s="560"/>
      <c r="E249" s="560"/>
      <c r="F249" s="560"/>
      <c r="G249" s="560"/>
      <c r="H249" s="560"/>
      <c r="I249" s="560"/>
      <c r="J249" s="560"/>
      <c r="K249" s="560"/>
      <c r="L249" s="560"/>
      <c r="M249" s="560"/>
      <c r="N249" s="560"/>
      <c r="O249" s="560"/>
      <c r="P249" s="502"/>
      <c r="Q249" s="495"/>
      <c r="R249" s="557"/>
      <c r="S249" s="531"/>
      <c r="T249" s="526" t="s">
        <v>1858</v>
      </c>
      <c r="U249" s="527" t="e">
        <f>U248-#REF!</f>
        <v>#REF!</v>
      </c>
      <c r="V249" s="532" t="s">
        <v>1859</v>
      </c>
      <c r="W249" s="529" t="e">
        <f>(#REF!+BM249)/1100000</f>
        <v>#REF!</v>
      </c>
      <c r="X249" s="89"/>
      <c r="Y249" s="73"/>
      <c r="Z249" s="261"/>
      <c r="AA249" s="261"/>
      <c r="AB249" s="80" t="s">
        <v>1858</v>
      </c>
      <c r="AC249" s="81" t="e">
        <f>AC248-#REF!</f>
        <v>#REF!</v>
      </c>
      <c r="AD249" s="82" t="s">
        <v>1860</v>
      </c>
      <c r="AE249" s="83"/>
    </row>
    <row r="250" spans="1:54" s="77" customFormat="1" ht="22.5" customHeight="1" thickBot="1">
      <c r="A250" s="257" t="s">
        <v>1995</v>
      </c>
      <c r="B250" s="554">
        <v>0</v>
      </c>
      <c r="C250" s="244">
        <f>B250+D250+E250+F250+G250+I250+H250+J250+K250+L250+M250+N250+O250</f>
        <v>0.45999999999999996</v>
      </c>
      <c r="D250" s="525"/>
      <c r="E250" s="525"/>
      <c r="F250" s="525">
        <v>0.05</v>
      </c>
      <c r="G250" s="525">
        <v>0.1</v>
      </c>
      <c r="H250" s="525">
        <v>0.1</v>
      </c>
      <c r="I250" s="525">
        <v>0.1</v>
      </c>
      <c r="J250" s="525">
        <v>0.1</v>
      </c>
      <c r="K250" s="525">
        <v>0.01</v>
      </c>
      <c r="L250" s="525"/>
      <c r="M250" s="525"/>
      <c r="N250" s="525"/>
      <c r="O250" s="525"/>
      <c r="P250" s="490" t="s">
        <v>1998</v>
      </c>
      <c r="Q250" s="490" t="s">
        <v>1999</v>
      </c>
      <c r="R250" s="553" t="s">
        <v>1996</v>
      </c>
      <c r="S250" s="537" t="s">
        <v>1997</v>
      </c>
      <c r="T250" s="521" t="s">
        <v>1864</v>
      </c>
      <c r="U250" s="522">
        <f>BK250/1100000</f>
        <v>0</v>
      </c>
      <c r="V250" s="523" t="s">
        <v>1865</v>
      </c>
      <c r="W250" s="524" t="e">
        <f>U250*0.75-(#REF!+W251)</f>
        <v>#REF!</v>
      </c>
      <c r="X250" s="299" t="s">
        <v>1868</v>
      </c>
      <c r="Y250" s="547" t="s">
        <v>1869</v>
      </c>
      <c r="Z250" s="261"/>
      <c r="AA250" s="261"/>
      <c r="AB250" s="80" t="s">
        <v>1864</v>
      </c>
      <c r="AC250" s="81">
        <v>41088000</v>
      </c>
      <c r="AD250" s="82" t="s">
        <v>1871</v>
      </c>
      <c r="AE250" s="83">
        <v>0</v>
      </c>
      <c r="AF250" s="91" t="s">
        <v>1872</v>
      </c>
      <c r="AG250" s="92">
        <v>0</v>
      </c>
      <c r="AH250" s="92" t="s">
        <v>1873</v>
      </c>
      <c r="AI250" s="92">
        <v>0</v>
      </c>
      <c r="AJ250" s="92" t="s">
        <v>1856</v>
      </c>
      <c r="AK250" s="92">
        <v>0</v>
      </c>
      <c r="AL250" s="92" t="s">
        <v>1856</v>
      </c>
      <c r="AM250" s="92"/>
      <c r="AN250" s="92" t="s">
        <v>1856</v>
      </c>
      <c r="AO250" s="92"/>
      <c r="AP250" s="92"/>
      <c r="AQ250" s="92"/>
      <c r="AR250" s="92"/>
      <c r="AS250" s="92"/>
      <c r="AT250" s="92"/>
      <c r="AU250" s="92"/>
      <c r="AV250" s="92"/>
      <c r="AW250" s="92"/>
      <c r="AX250" s="92"/>
      <c r="AY250" s="92"/>
      <c r="AZ250" s="92"/>
      <c r="BA250" s="92"/>
    </row>
    <row r="251" spans="1:54" s="77" customFormat="1" ht="22.5" customHeight="1" thickBot="1">
      <c r="A251" s="258"/>
      <c r="B251" s="558"/>
      <c r="C251" s="245"/>
      <c r="D251" s="560"/>
      <c r="E251" s="560"/>
      <c r="F251" s="560"/>
      <c r="G251" s="560"/>
      <c r="H251" s="560"/>
      <c r="I251" s="560"/>
      <c r="J251" s="560"/>
      <c r="K251" s="560"/>
      <c r="L251" s="560"/>
      <c r="M251" s="560"/>
      <c r="N251" s="560"/>
      <c r="O251" s="560"/>
      <c r="P251" s="502"/>
      <c r="Q251" s="495"/>
      <c r="R251" s="557"/>
      <c r="S251" s="531" t="s">
        <v>1857</v>
      </c>
      <c r="T251" s="526" t="s">
        <v>1858</v>
      </c>
      <c r="U251" s="527" t="e">
        <f>U250-#REF!</f>
        <v>#REF!</v>
      </c>
      <c r="V251" s="532" t="s">
        <v>1859</v>
      </c>
      <c r="W251" s="529" t="e">
        <f>(#REF!+BM251)/1100000</f>
        <v>#REF!</v>
      </c>
      <c r="X251" s="89"/>
      <c r="Y251" s="73"/>
      <c r="Z251" s="261"/>
      <c r="AA251" s="261"/>
      <c r="AB251" s="80" t="s">
        <v>1858</v>
      </c>
      <c r="AC251" s="81" t="e">
        <f>AC250-#REF!</f>
        <v>#REF!</v>
      </c>
      <c r="AD251" s="82" t="s">
        <v>1860</v>
      </c>
      <c r="AE251" s="83"/>
    </row>
    <row r="252" spans="1:54" s="77" customFormat="1" ht="22.5" customHeight="1" thickBot="1">
      <c r="A252" s="257" t="s">
        <v>2000</v>
      </c>
      <c r="B252" s="554">
        <v>0</v>
      </c>
      <c r="C252" s="244">
        <f>B252+D252+E252+F252+G252+I252+H252+J252+K252+L252+M252+N252+O252</f>
        <v>0.95000000000000018</v>
      </c>
      <c r="D252" s="525"/>
      <c r="E252" s="525"/>
      <c r="F252" s="525"/>
      <c r="G252" s="525">
        <v>0.1</v>
      </c>
      <c r="H252" s="525">
        <v>0.1</v>
      </c>
      <c r="I252" s="525">
        <v>0.1</v>
      </c>
      <c r="J252" s="525">
        <v>0.3</v>
      </c>
      <c r="K252" s="525">
        <v>0.2</v>
      </c>
      <c r="L252" s="525">
        <v>0.05</v>
      </c>
      <c r="M252" s="525">
        <v>0.05</v>
      </c>
      <c r="N252" s="525">
        <v>0.05</v>
      </c>
      <c r="O252" s="525"/>
      <c r="P252" s="490" t="s">
        <v>2003</v>
      </c>
      <c r="Q252" s="490" t="s">
        <v>1999</v>
      </c>
      <c r="R252" s="553" t="s">
        <v>2001</v>
      </c>
      <c r="S252" s="537" t="s">
        <v>2002</v>
      </c>
      <c r="T252" s="521" t="s">
        <v>1864</v>
      </c>
      <c r="U252" s="522">
        <f>BK252/1100000</f>
        <v>0</v>
      </c>
      <c r="V252" s="523" t="s">
        <v>1865</v>
      </c>
      <c r="W252" s="524" t="e">
        <f>U252*0.75-(#REF!+W253)</f>
        <v>#REF!</v>
      </c>
      <c r="X252" s="299" t="s">
        <v>1868</v>
      </c>
      <c r="Y252" s="547" t="s">
        <v>1869</v>
      </c>
      <c r="Z252" s="261"/>
      <c r="AA252" s="261"/>
      <c r="AB252" s="80" t="s">
        <v>1864</v>
      </c>
      <c r="AC252" s="81">
        <v>41831000</v>
      </c>
      <c r="AD252" s="82" t="s">
        <v>1871</v>
      </c>
      <c r="AE252" s="83">
        <v>0</v>
      </c>
      <c r="AF252" s="91" t="s">
        <v>1872</v>
      </c>
      <c r="AG252" s="92">
        <v>0</v>
      </c>
      <c r="AH252" s="92" t="s">
        <v>1873</v>
      </c>
      <c r="AI252" s="92">
        <v>0</v>
      </c>
      <c r="AJ252" s="92" t="s">
        <v>1856</v>
      </c>
      <c r="AK252" s="92">
        <v>0</v>
      </c>
      <c r="AL252" s="92" t="s">
        <v>1856</v>
      </c>
      <c r="AM252" s="92"/>
      <c r="AN252" s="92" t="s">
        <v>1856</v>
      </c>
      <c r="AO252" s="92"/>
      <c r="AP252" s="92"/>
      <c r="AQ252" s="92"/>
      <c r="AR252" s="92"/>
      <c r="AS252" s="92"/>
      <c r="AT252" s="92"/>
      <c r="AU252" s="92"/>
      <c r="AV252" s="92"/>
      <c r="AW252" s="92"/>
      <c r="AX252" s="92"/>
      <c r="AY252" s="92"/>
      <c r="AZ252" s="92"/>
      <c r="BA252" s="92"/>
    </row>
    <row r="253" spans="1:54" s="77" customFormat="1" ht="22.5" customHeight="1" thickBot="1">
      <c r="A253" s="258"/>
      <c r="B253" s="558"/>
      <c r="C253" s="245"/>
      <c r="D253" s="560"/>
      <c r="E253" s="560"/>
      <c r="F253" s="560"/>
      <c r="G253" s="560"/>
      <c r="H253" s="560"/>
      <c r="I253" s="560"/>
      <c r="J253" s="560"/>
      <c r="K253" s="560"/>
      <c r="L253" s="560"/>
      <c r="M253" s="560"/>
      <c r="N253" s="560"/>
      <c r="O253" s="560"/>
      <c r="P253" s="502"/>
      <c r="Q253" s="495"/>
      <c r="R253" s="557"/>
      <c r="S253" s="531" t="s">
        <v>2004</v>
      </c>
      <c r="T253" s="526" t="s">
        <v>1858</v>
      </c>
      <c r="U253" s="527" t="e">
        <f>U252-#REF!</f>
        <v>#REF!</v>
      </c>
      <c r="V253" s="532" t="s">
        <v>1859</v>
      </c>
      <c r="W253" s="529" t="e">
        <f>(#REF!+BM253)/1100000</f>
        <v>#REF!</v>
      </c>
      <c r="X253" s="89"/>
      <c r="Y253" s="73"/>
      <c r="Z253" s="261"/>
      <c r="AA253" s="261"/>
      <c r="AB253" s="80" t="s">
        <v>1858</v>
      </c>
      <c r="AC253" s="81" t="e">
        <f>AC252-#REF!</f>
        <v>#REF!</v>
      </c>
      <c r="AD253" s="82" t="s">
        <v>1860</v>
      </c>
      <c r="AE253" s="83"/>
    </row>
    <row r="254" spans="1:54" s="77" customFormat="1" ht="22.5" customHeight="1" thickBot="1">
      <c r="A254" s="257" t="s">
        <v>2005</v>
      </c>
      <c r="B254" s="554">
        <v>0</v>
      </c>
      <c r="C254" s="244">
        <f>B254+D254+E254+F254+G254+I254+H254+J254+K254+L254+M254+N254+O254</f>
        <v>1</v>
      </c>
      <c r="D254" s="525"/>
      <c r="E254" s="525"/>
      <c r="F254" s="525"/>
      <c r="G254" s="525">
        <v>0.2</v>
      </c>
      <c r="H254" s="525">
        <v>0.3</v>
      </c>
      <c r="I254" s="525">
        <v>0.3</v>
      </c>
      <c r="J254" s="525">
        <v>0.1</v>
      </c>
      <c r="K254" s="525">
        <v>0.1</v>
      </c>
      <c r="L254" s="525"/>
      <c r="M254" s="525"/>
      <c r="N254" s="525"/>
      <c r="O254" s="525"/>
      <c r="P254" s="490" t="s">
        <v>1945</v>
      </c>
      <c r="Q254" s="490" t="s">
        <v>1999</v>
      </c>
      <c r="R254" s="553" t="s">
        <v>2006</v>
      </c>
      <c r="S254" s="537" t="s">
        <v>2007</v>
      </c>
      <c r="T254" s="521" t="s">
        <v>1864</v>
      </c>
      <c r="U254" s="522">
        <f>BK254/1100000</f>
        <v>0</v>
      </c>
      <c r="V254" s="523" t="s">
        <v>1865</v>
      </c>
      <c r="W254" s="524" t="e">
        <f>U254*0.75-(#REF!+W255)</f>
        <v>#REF!</v>
      </c>
      <c r="X254" s="299" t="s">
        <v>1868</v>
      </c>
      <c r="Y254" s="547" t="s">
        <v>1869</v>
      </c>
      <c r="Z254" s="261"/>
      <c r="AA254" s="261"/>
      <c r="AB254" s="80" t="s">
        <v>1864</v>
      </c>
      <c r="AC254" s="81">
        <v>18900000</v>
      </c>
      <c r="AD254" s="82" t="s">
        <v>1871</v>
      </c>
      <c r="AE254" s="83">
        <v>0</v>
      </c>
      <c r="AF254" s="91" t="s">
        <v>1872</v>
      </c>
      <c r="AG254" s="92">
        <v>0</v>
      </c>
      <c r="AH254" s="92" t="s">
        <v>1873</v>
      </c>
      <c r="AI254" s="92">
        <v>0</v>
      </c>
      <c r="AJ254" s="92" t="s">
        <v>1856</v>
      </c>
      <c r="AK254" s="92">
        <v>0</v>
      </c>
      <c r="AL254" s="92" t="s">
        <v>1856</v>
      </c>
      <c r="AM254" s="92"/>
      <c r="AN254" s="92" t="s">
        <v>1856</v>
      </c>
      <c r="AO254" s="92"/>
      <c r="AP254" s="92"/>
      <c r="AQ254" s="92"/>
      <c r="AR254" s="92"/>
      <c r="AS254" s="92"/>
      <c r="AT254" s="92"/>
      <c r="AU254" s="92"/>
      <c r="AV254" s="92"/>
      <c r="AW254" s="92"/>
      <c r="AX254" s="92"/>
      <c r="AY254" s="92"/>
      <c r="AZ254" s="92"/>
      <c r="BA254" s="92"/>
    </row>
    <row r="255" spans="1:54" s="77" customFormat="1" ht="22.5" customHeight="1" thickBot="1">
      <c r="A255" s="258"/>
      <c r="B255" s="558"/>
      <c r="C255" s="245"/>
      <c r="D255" s="560"/>
      <c r="E255" s="560"/>
      <c r="F255" s="560"/>
      <c r="G255" s="560"/>
      <c r="H255" s="560"/>
      <c r="I255" s="560"/>
      <c r="J255" s="560"/>
      <c r="K255" s="560"/>
      <c r="L255" s="560"/>
      <c r="M255" s="560"/>
      <c r="N255" s="560"/>
      <c r="O255" s="560"/>
      <c r="P255" s="502"/>
      <c r="Q255" s="495"/>
      <c r="R255" s="557"/>
      <c r="S255" s="531"/>
      <c r="T255" s="526" t="s">
        <v>1858</v>
      </c>
      <c r="U255" s="527" t="e">
        <f>U254-#REF!</f>
        <v>#REF!</v>
      </c>
      <c r="V255" s="532" t="s">
        <v>1859</v>
      </c>
      <c r="W255" s="529" t="e">
        <f>(#REF!+BM255)/1100000</f>
        <v>#REF!</v>
      </c>
      <c r="X255" s="89"/>
      <c r="Y255" s="73"/>
      <c r="Z255" s="261"/>
      <c r="AA255" s="261"/>
      <c r="AB255" s="80" t="s">
        <v>1858</v>
      </c>
      <c r="AC255" s="81" t="e">
        <f>AC254-#REF!</f>
        <v>#REF!</v>
      </c>
      <c r="AD255" s="82" t="s">
        <v>1860</v>
      </c>
      <c r="AE255" s="83"/>
    </row>
    <row r="256" spans="1:54" s="77" customFormat="1" ht="22.5" customHeight="1" thickBot="1">
      <c r="A256" s="257" t="s">
        <v>2008</v>
      </c>
      <c r="B256" s="554">
        <v>0</v>
      </c>
      <c r="C256" s="244">
        <f>B256+D256+E256+F256+G256+I256+H256+J256+K256+L256+M256+N256+O256</f>
        <v>0.49999999999999994</v>
      </c>
      <c r="D256" s="525"/>
      <c r="E256" s="525"/>
      <c r="F256" s="525"/>
      <c r="G256" s="525">
        <v>0.05</v>
      </c>
      <c r="H256" s="525">
        <v>0.1</v>
      </c>
      <c r="I256" s="525">
        <v>0.1</v>
      </c>
      <c r="J256" s="525">
        <v>0.1</v>
      </c>
      <c r="K256" s="525">
        <v>0.1</v>
      </c>
      <c r="L256" s="525">
        <v>0.05</v>
      </c>
      <c r="M256" s="525"/>
      <c r="N256" s="525"/>
      <c r="O256" s="525"/>
      <c r="P256" s="490" t="s">
        <v>2011</v>
      </c>
      <c r="Q256" s="490" t="s">
        <v>2012</v>
      </c>
      <c r="R256" s="553" t="s">
        <v>2009</v>
      </c>
      <c r="S256" s="537" t="s">
        <v>2010</v>
      </c>
      <c r="T256" s="521" t="s">
        <v>1864</v>
      </c>
      <c r="U256" s="522">
        <f>BK256/1100000</f>
        <v>0</v>
      </c>
      <c r="V256" s="523" t="s">
        <v>1865</v>
      </c>
      <c r="W256" s="524" t="e">
        <f>U256*0.75-(#REF!+W257)</f>
        <v>#REF!</v>
      </c>
      <c r="X256" s="299" t="s">
        <v>1868</v>
      </c>
      <c r="Y256" s="547" t="s">
        <v>1869</v>
      </c>
      <c r="Z256" s="261"/>
      <c r="AA256" s="261"/>
      <c r="AB256" s="80" t="s">
        <v>1864</v>
      </c>
      <c r="AC256" s="81">
        <v>18500000</v>
      </c>
      <c r="AD256" s="82" t="s">
        <v>1871</v>
      </c>
      <c r="AE256" s="83">
        <v>0</v>
      </c>
      <c r="AF256" s="91" t="s">
        <v>1872</v>
      </c>
      <c r="AG256" s="92">
        <v>0</v>
      </c>
      <c r="AH256" s="92" t="s">
        <v>1873</v>
      </c>
      <c r="AI256" s="92">
        <v>0</v>
      </c>
      <c r="AJ256" s="92" t="s">
        <v>1856</v>
      </c>
      <c r="AK256" s="92">
        <v>0</v>
      </c>
      <c r="AL256" s="92" t="s">
        <v>1856</v>
      </c>
      <c r="AM256" s="92"/>
      <c r="AN256" s="92" t="s">
        <v>1856</v>
      </c>
      <c r="AO256" s="92"/>
      <c r="AP256" s="92"/>
      <c r="AQ256" s="92"/>
      <c r="AR256" s="92"/>
      <c r="AS256" s="92"/>
      <c r="AT256" s="92"/>
      <c r="AU256" s="92"/>
      <c r="AV256" s="92"/>
      <c r="AW256" s="92"/>
      <c r="AX256" s="92"/>
      <c r="AY256" s="92"/>
      <c r="AZ256" s="92"/>
      <c r="BA256" s="92"/>
    </row>
    <row r="257" spans="1:61" s="77" customFormat="1" ht="22.5" customHeight="1" thickBot="1">
      <c r="A257" s="258"/>
      <c r="B257" s="558"/>
      <c r="C257" s="245"/>
      <c r="D257" s="560"/>
      <c r="E257" s="560"/>
      <c r="F257" s="560"/>
      <c r="G257" s="560"/>
      <c r="H257" s="560"/>
      <c r="I257" s="560"/>
      <c r="J257" s="560"/>
      <c r="K257" s="560"/>
      <c r="L257" s="560"/>
      <c r="M257" s="560"/>
      <c r="N257" s="560"/>
      <c r="O257" s="560"/>
      <c r="P257" s="502"/>
      <c r="Q257" s="495"/>
      <c r="R257" s="557"/>
      <c r="S257" s="531" t="s">
        <v>2013</v>
      </c>
      <c r="T257" s="526" t="s">
        <v>1858</v>
      </c>
      <c r="U257" s="527" t="e">
        <f>U256-#REF!</f>
        <v>#REF!</v>
      </c>
      <c r="V257" s="532" t="s">
        <v>1859</v>
      </c>
      <c r="W257" s="529" t="e">
        <f>(#REF!+BM257)/1100000</f>
        <v>#REF!</v>
      </c>
      <c r="X257" s="89"/>
      <c r="Y257" s="73"/>
      <c r="Z257" s="261"/>
      <c r="AA257" s="261"/>
      <c r="AB257" s="80" t="s">
        <v>1858</v>
      </c>
      <c r="AC257" s="81" t="e">
        <f>AC256-#REF!</f>
        <v>#REF!</v>
      </c>
      <c r="AD257" s="82" t="s">
        <v>1860</v>
      </c>
      <c r="AE257" s="83"/>
    </row>
    <row r="258" spans="1:61" s="77" customFormat="1" ht="22.5" customHeight="1" thickBot="1">
      <c r="A258" s="257" t="s">
        <v>2014</v>
      </c>
      <c r="B258" s="554">
        <v>0</v>
      </c>
      <c r="C258" s="244">
        <f>B258+D258+E258+F258+G258+I258+H258+J258+K258+L258+M258+N258+O258</f>
        <v>0.39999999999999997</v>
      </c>
      <c r="D258" s="525"/>
      <c r="E258" s="525"/>
      <c r="F258" s="525"/>
      <c r="G258" s="525">
        <v>0.05</v>
      </c>
      <c r="H258" s="525">
        <v>0.05</v>
      </c>
      <c r="I258" s="525">
        <v>0.05</v>
      </c>
      <c r="J258" s="525">
        <v>0.05</v>
      </c>
      <c r="K258" s="525">
        <v>0.05</v>
      </c>
      <c r="L258" s="525">
        <v>0.05</v>
      </c>
      <c r="M258" s="525">
        <v>0.05</v>
      </c>
      <c r="N258" s="525">
        <v>0.05</v>
      </c>
      <c r="O258" s="525"/>
      <c r="P258" s="490" t="s">
        <v>2016</v>
      </c>
      <c r="Q258" s="490" t="s">
        <v>2017</v>
      </c>
      <c r="R258" s="553" t="s">
        <v>2015</v>
      </c>
      <c r="S258" s="537" t="s">
        <v>2010</v>
      </c>
      <c r="T258" s="521" t="s">
        <v>1864</v>
      </c>
      <c r="U258" s="522">
        <f>BK258/1100000</f>
        <v>0</v>
      </c>
      <c r="V258" s="523" t="s">
        <v>1865</v>
      </c>
      <c r="W258" s="524" t="e">
        <f>U258*0.75-(#REF!+W259)</f>
        <v>#REF!</v>
      </c>
      <c r="X258" s="299" t="s">
        <v>1868</v>
      </c>
      <c r="Y258" s="547" t="s">
        <v>1869</v>
      </c>
      <c r="Z258" s="261"/>
      <c r="AA258" s="261"/>
      <c r="AB258" s="80" t="s">
        <v>1864</v>
      </c>
      <c r="AC258" s="81">
        <v>255560000</v>
      </c>
      <c r="AD258" s="82" t="s">
        <v>1871</v>
      </c>
      <c r="AE258" s="83">
        <v>0</v>
      </c>
      <c r="AF258" s="91" t="s">
        <v>1872</v>
      </c>
      <c r="AG258" s="92">
        <v>0</v>
      </c>
      <c r="AH258" s="92" t="s">
        <v>1873</v>
      </c>
      <c r="AI258" s="92">
        <v>0</v>
      </c>
      <c r="AJ258" s="92" t="s">
        <v>1856</v>
      </c>
      <c r="AK258" s="92">
        <v>0</v>
      </c>
      <c r="AL258" s="92" t="s">
        <v>1856</v>
      </c>
      <c r="AM258" s="92"/>
      <c r="AN258" s="92" t="s">
        <v>1856</v>
      </c>
      <c r="AO258" s="92"/>
      <c r="AP258" s="92"/>
      <c r="AQ258" s="92"/>
      <c r="AR258" s="92"/>
      <c r="AS258" s="92"/>
      <c r="AT258" s="92"/>
      <c r="AU258" s="92"/>
      <c r="AV258" s="92"/>
      <c r="AW258" s="92"/>
      <c r="AX258" s="92"/>
      <c r="AY258" s="92"/>
      <c r="AZ258" s="92"/>
      <c r="BA258" s="92"/>
    </row>
    <row r="259" spans="1:61" s="78" customFormat="1" ht="22.5" customHeight="1" thickBot="1">
      <c r="A259" s="258"/>
      <c r="B259" s="558"/>
      <c r="C259" s="245"/>
      <c r="D259" s="560"/>
      <c r="E259" s="560"/>
      <c r="F259" s="560"/>
      <c r="G259" s="560"/>
      <c r="H259" s="560"/>
      <c r="I259" s="560"/>
      <c r="J259" s="560"/>
      <c r="K259" s="560"/>
      <c r="L259" s="560"/>
      <c r="M259" s="560"/>
      <c r="N259" s="560"/>
      <c r="O259" s="560"/>
      <c r="P259" s="502"/>
      <c r="Q259" s="495"/>
      <c r="R259" s="557"/>
      <c r="S259" s="531"/>
      <c r="T259" s="526" t="s">
        <v>1858</v>
      </c>
      <c r="U259" s="527" t="e">
        <f>U258-#REF!</f>
        <v>#REF!</v>
      </c>
      <c r="V259" s="532" t="s">
        <v>1859</v>
      </c>
      <c r="W259" s="529" t="e">
        <f>(#REF!+BM259)/1100000</f>
        <v>#REF!</v>
      </c>
      <c r="X259" s="89"/>
      <c r="Y259" s="73"/>
      <c r="Z259" s="261"/>
      <c r="AA259" s="261"/>
      <c r="AB259" s="80" t="s">
        <v>1858</v>
      </c>
      <c r="AC259" s="81" t="e">
        <f>AC258-#REF!</f>
        <v>#REF!</v>
      </c>
      <c r="AD259" s="82" t="s">
        <v>1860</v>
      </c>
      <c r="AE259" s="83"/>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row>
    <row r="260" spans="1:61" s="78" customFormat="1" ht="22.5" customHeight="1" thickBot="1">
      <c r="A260" s="257" t="s">
        <v>2018</v>
      </c>
      <c r="B260" s="554">
        <v>0</v>
      </c>
      <c r="C260" s="244">
        <f>B260+D260+E260+F260+G260+I260+H260+J260+K260+L260+M260+N260+O260</f>
        <v>0.89999999999999991</v>
      </c>
      <c r="D260" s="525"/>
      <c r="E260" s="525"/>
      <c r="F260" s="525"/>
      <c r="G260" s="525">
        <v>0.05</v>
      </c>
      <c r="H260" s="525">
        <v>0.05</v>
      </c>
      <c r="I260" s="525">
        <v>0.05</v>
      </c>
      <c r="J260" s="525">
        <v>0.1</v>
      </c>
      <c r="K260" s="525">
        <v>0.1</v>
      </c>
      <c r="L260" s="525">
        <v>0.05</v>
      </c>
      <c r="M260" s="525">
        <v>0.05</v>
      </c>
      <c r="N260" s="525">
        <v>0.45</v>
      </c>
      <c r="O260" s="525"/>
      <c r="P260" s="490" t="s">
        <v>2022</v>
      </c>
      <c r="Q260" s="490" t="s">
        <v>2023</v>
      </c>
      <c r="R260" s="553" t="s">
        <v>2019</v>
      </c>
      <c r="S260" s="537" t="s">
        <v>2021</v>
      </c>
      <c r="T260" s="521" t="s">
        <v>1864</v>
      </c>
      <c r="U260" s="522">
        <f>BK260/1100000</f>
        <v>0</v>
      </c>
      <c r="V260" s="523" t="s">
        <v>1865</v>
      </c>
      <c r="W260" s="524" t="e">
        <f>U260*0.75-(#REF!+W261)</f>
        <v>#REF!</v>
      </c>
      <c r="X260" s="299" t="s">
        <v>1868</v>
      </c>
      <c r="Y260" s="547" t="s">
        <v>1869</v>
      </c>
      <c r="Z260" s="261"/>
      <c r="AA260" s="261"/>
      <c r="AB260" s="80" t="s">
        <v>1864</v>
      </c>
      <c r="AC260" s="81">
        <v>31570000</v>
      </c>
      <c r="AD260" s="82" t="s">
        <v>1871</v>
      </c>
      <c r="AE260" s="83">
        <v>0</v>
      </c>
      <c r="AF260" s="91" t="s">
        <v>1872</v>
      </c>
      <c r="AG260" s="92">
        <v>0</v>
      </c>
      <c r="AH260" s="92" t="s">
        <v>1873</v>
      </c>
      <c r="AI260" s="92">
        <v>0</v>
      </c>
      <c r="AJ260" s="92" t="s">
        <v>1856</v>
      </c>
      <c r="AK260" s="92">
        <v>0</v>
      </c>
      <c r="AL260" s="92" t="s">
        <v>1856</v>
      </c>
      <c r="AM260" s="92"/>
      <c r="AN260" s="92" t="s">
        <v>1856</v>
      </c>
      <c r="AO260" s="92"/>
      <c r="AP260" s="92"/>
      <c r="AQ260" s="92"/>
      <c r="AR260" s="92"/>
      <c r="AS260" s="92"/>
      <c r="AT260" s="92"/>
      <c r="AU260" s="92"/>
      <c r="AV260" s="92"/>
      <c r="AW260" s="92"/>
      <c r="AX260" s="92"/>
      <c r="AY260" s="92"/>
      <c r="AZ260" s="92"/>
      <c r="BA260" s="92"/>
      <c r="BB260" s="77"/>
    </row>
    <row r="261" spans="1:61" s="78" customFormat="1" ht="22.5" customHeight="1" thickBot="1">
      <c r="A261" s="258"/>
      <c r="B261" s="558"/>
      <c r="C261" s="245"/>
      <c r="D261" s="560"/>
      <c r="E261" s="560"/>
      <c r="F261" s="560"/>
      <c r="G261" s="560"/>
      <c r="H261" s="560"/>
      <c r="I261" s="560"/>
      <c r="J261" s="560"/>
      <c r="K261" s="560"/>
      <c r="L261" s="560"/>
      <c r="M261" s="560"/>
      <c r="N261" s="560"/>
      <c r="O261" s="560"/>
      <c r="P261" s="502"/>
      <c r="Q261" s="495"/>
      <c r="R261" s="557"/>
      <c r="S261" s="531"/>
      <c r="T261" s="526" t="s">
        <v>1858</v>
      </c>
      <c r="U261" s="527" t="e">
        <f>U260-#REF!</f>
        <v>#REF!</v>
      </c>
      <c r="V261" s="532" t="s">
        <v>1859</v>
      </c>
      <c r="W261" s="529" t="e">
        <f>(#REF!+BM261)/1100000</f>
        <v>#REF!</v>
      </c>
      <c r="X261" s="89"/>
      <c r="Y261" s="73"/>
      <c r="Z261" s="261"/>
      <c r="AA261" s="261"/>
      <c r="AB261" s="80" t="s">
        <v>1858</v>
      </c>
      <c r="AC261" s="81" t="e">
        <f>AC260-#REF!</f>
        <v>#REF!</v>
      </c>
      <c r="AD261" s="82" t="s">
        <v>1860</v>
      </c>
      <c r="AE261" s="83"/>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row>
    <row r="262" spans="1:61" s="78" customFormat="1" ht="22.5" customHeight="1" thickBot="1">
      <c r="A262" s="257" t="s">
        <v>2024</v>
      </c>
      <c r="B262" s="554">
        <v>0</v>
      </c>
      <c r="C262" s="244">
        <f>B262+D262+E262+F262+G262+I262+H262+J262+K262+L262+M262+N262+O262</f>
        <v>0.19999999999999998</v>
      </c>
      <c r="D262" s="525"/>
      <c r="E262" s="525"/>
      <c r="F262" s="525"/>
      <c r="G262" s="525"/>
      <c r="H262" s="525">
        <v>0.05</v>
      </c>
      <c r="I262" s="525">
        <v>0.05</v>
      </c>
      <c r="J262" s="525">
        <v>0.02</v>
      </c>
      <c r="K262" s="525">
        <v>0.02</v>
      </c>
      <c r="L262" s="525">
        <v>0.02</v>
      </c>
      <c r="M262" s="525">
        <v>0.02</v>
      </c>
      <c r="N262" s="525">
        <v>0.02</v>
      </c>
      <c r="O262" s="525"/>
      <c r="P262" s="490" t="s">
        <v>2027</v>
      </c>
      <c r="Q262" s="490" t="s">
        <v>2028</v>
      </c>
      <c r="R262" s="553" t="s">
        <v>2025</v>
      </c>
      <c r="S262" s="537" t="s">
        <v>2026</v>
      </c>
      <c r="T262" s="521" t="s">
        <v>1864</v>
      </c>
      <c r="U262" s="522">
        <f>BK262/1100000</f>
        <v>0</v>
      </c>
      <c r="V262" s="523" t="s">
        <v>1865</v>
      </c>
      <c r="W262" s="524" t="e">
        <f>U262*0.75-(#REF!+W263)</f>
        <v>#REF!</v>
      </c>
      <c r="X262" s="299" t="s">
        <v>1868</v>
      </c>
      <c r="Y262" s="547" t="s">
        <v>1869</v>
      </c>
      <c r="Z262" s="261"/>
      <c r="AA262" s="261"/>
      <c r="AB262" s="80" t="s">
        <v>1864</v>
      </c>
      <c r="AC262" s="81">
        <v>362180000</v>
      </c>
      <c r="AD262" s="82" t="s">
        <v>1871</v>
      </c>
      <c r="AE262" s="83">
        <v>0</v>
      </c>
      <c r="AF262" s="91" t="s">
        <v>1872</v>
      </c>
      <c r="AG262" s="92">
        <v>0</v>
      </c>
      <c r="AH262" s="92" t="s">
        <v>1873</v>
      </c>
      <c r="AI262" s="92">
        <v>0</v>
      </c>
      <c r="AJ262" s="92" t="s">
        <v>1856</v>
      </c>
      <c r="AK262" s="92">
        <v>0</v>
      </c>
      <c r="AL262" s="92" t="s">
        <v>1856</v>
      </c>
      <c r="AM262" s="92"/>
      <c r="AN262" s="92" t="s">
        <v>1856</v>
      </c>
      <c r="AO262" s="92"/>
      <c r="AP262" s="92"/>
      <c r="AQ262" s="92"/>
      <c r="AR262" s="92"/>
      <c r="AS262" s="92"/>
      <c r="AT262" s="92"/>
      <c r="AU262" s="92"/>
      <c r="AV262" s="92"/>
      <c r="AW262" s="92"/>
      <c r="AX262" s="92"/>
      <c r="AY262" s="92"/>
      <c r="AZ262" s="92"/>
      <c r="BA262" s="92"/>
      <c r="BB262" s="77"/>
    </row>
    <row r="263" spans="1:61" s="78" customFormat="1" ht="22.5" customHeight="1" thickBot="1">
      <c r="A263" s="258"/>
      <c r="B263" s="558"/>
      <c r="C263" s="245"/>
      <c r="D263" s="560"/>
      <c r="E263" s="560"/>
      <c r="F263" s="560"/>
      <c r="G263" s="560"/>
      <c r="H263" s="560"/>
      <c r="I263" s="560"/>
      <c r="J263" s="560"/>
      <c r="K263" s="560"/>
      <c r="L263" s="560"/>
      <c r="M263" s="560"/>
      <c r="N263" s="560"/>
      <c r="O263" s="560"/>
      <c r="P263" s="502"/>
      <c r="Q263" s="495"/>
      <c r="R263" s="557"/>
      <c r="S263" s="531"/>
      <c r="T263" s="526" t="s">
        <v>1858</v>
      </c>
      <c r="U263" s="527" t="e">
        <f>U262-#REF!</f>
        <v>#REF!</v>
      </c>
      <c r="V263" s="532" t="s">
        <v>1859</v>
      </c>
      <c r="W263" s="529" t="e">
        <f>(#REF!+BM263)/1100000</f>
        <v>#REF!</v>
      </c>
      <c r="X263" s="89"/>
      <c r="Y263" s="73"/>
      <c r="Z263" s="261"/>
      <c r="AA263" s="261"/>
      <c r="AB263" s="80" t="s">
        <v>1858</v>
      </c>
      <c r="AC263" s="81" t="e">
        <f>AC262-#REF!</f>
        <v>#REF!</v>
      </c>
      <c r="AD263" s="82" t="s">
        <v>1860</v>
      </c>
      <c r="AE263" s="83"/>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row>
    <row r="264" spans="1:61" s="78" customFormat="1" ht="22.5" customHeight="1" thickBot="1">
      <c r="A264" s="490" t="s">
        <v>2220</v>
      </c>
      <c r="B264" s="554">
        <v>0.83</v>
      </c>
      <c r="C264" s="555">
        <f>B264+D264+E264+F264+G264+H264+I264+J264+K264+L264+M264+N264+O264</f>
        <v>0.98000000000000009</v>
      </c>
      <c r="D264" s="525"/>
      <c r="E264" s="525"/>
      <c r="F264" s="525"/>
      <c r="G264" s="525"/>
      <c r="H264" s="525">
        <v>0.02</v>
      </c>
      <c r="I264" s="525">
        <v>0.01</v>
      </c>
      <c r="J264" s="525">
        <v>0.04</v>
      </c>
      <c r="K264" s="525">
        <v>0.02</v>
      </c>
      <c r="L264" s="525">
        <v>0.02</v>
      </c>
      <c r="M264" s="525">
        <v>0.02</v>
      </c>
      <c r="N264" s="525">
        <v>0.02</v>
      </c>
      <c r="O264" s="525"/>
      <c r="P264" s="490"/>
      <c r="Q264" s="490" t="s">
        <v>2225</v>
      </c>
      <c r="R264" s="553" t="s">
        <v>2221</v>
      </c>
      <c r="S264" s="556" t="s">
        <v>2222</v>
      </c>
      <c r="T264" s="521" t="s">
        <v>2223</v>
      </c>
      <c r="U264" s="522">
        <f>BK264/1100000</f>
        <v>0</v>
      </c>
      <c r="V264" s="523" t="s">
        <v>2224</v>
      </c>
      <c r="W264" s="524" t="e">
        <f>U264*0.75-(#REF!+W265)</f>
        <v>#REF!</v>
      </c>
      <c r="X264" s="299" t="s">
        <v>2226</v>
      </c>
      <c r="Y264" s="79" t="s">
        <v>2227</v>
      </c>
      <c r="Z264" s="260" t="s">
        <v>2228</v>
      </c>
      <c r="AA264" s="260"/>
      <c r="AB264" s="80" t="s">
        <v>2223</v>
      </c>
      <c r="AC264" s="81">
        <v>66000000</v>
      </c>
      <c r="AD264" s="82" t="s">
        <v>2229</v>
      </c>
      <c r="AE264" s="83">
        <f>SUM(AF264:BB264)</f>
        <v>0</v>
      </c>
      <c r="AF264" s="91" t="s">
        <v>1078</v>
      </c>
      <c r="AG264" s="92">
        <v>0</v>
      </c>
      <c r="AH264" s="92" t="s">
        <v>1079</v>
      </c>
      <c r="AI264" s="92">
        <v>0</v>
      </c>
      <c r="AJ264" s="92" t="s">
        <v>1080</v>
      </c>
      <c r="AK264" s="92"/>
      <c r="AL264" s="92" t="s">
        <v>1080</v>
      </c>
      <c r="AM264" s="92"/>
      <c r="AN264" s="92" t="s">
        <v>1080</v>
      </c>
      <c r="AO264" s="92"/>
      <c r="AP264" s="92"/>
      <c r="AQ264" s="92"/>
      <c r="AR264" s="92"/>
      <c r="AS264" s="92"/>
      <c r="AT264" s="92" t="s">
        <v>2499</v>
      </c>
      <c r="AU264" s="92"/>
      <c r="AV264" s="92"/>
      <c r="AW264" s="92"/>
      <c r="AX264" s="92"/>
      <c r="AY264" s="92"/>
      <c r="AZ264" s="92"/>
      <c r="BA264" s="92"/>
      <c r="BB264" s="92"/>
    </row>
    <row r="265" spans="1:61" s="78" customFormat="1" ht="22.5" customHeight="1" thickBot="1">
      <c r="A265" s="495"/>
      <c r="B265" s="558"/>
      <c r="C265" s="559"/>
      <c r="D265" s="813" t="s">
        <v>2231</v>
      </c>
      <c r="E265" s="560" t="s">
        <v>2232</v>
      </c>
      <c r="F265" s="560" t="s">
        <v>2232</v>
      </c>
      <c r="G265" s="813" t="s">
        <v>2233</v>
      </c>
      <c r="H265" s="813" t="s">
        <v>2234</v>
      </c>
      <c r="I265" s="813" t="s">
        <v>2234</v>
      </c>
      <c r="J265" s="813" t="s">
        <v>2231</v>
      </c>
      <c r="K265" s="813" t="s">
        <v>2231</v>
      </c>
      <c r="L265" s="813" t="s">
        <v>2231</v>
      </c>
      <c r="M265" s="813" t="s">
        <v>2231</v>
      </c>
      <c r="N265" s="813" t="s">
        <v>2231</v>
      </c>
      <c r="O265" s="813" t="s">
        <v>2231</v>
      </c>
      <c r="P265" s="502"/>
      <c r="Q265" s="495"/>
      <c r="R265" s="557"/>
      <c r="S265" s="531" t="s">
        <v>2230</v>
      </c>
      <c r="T265" s="526" t="s">
        <v>817</v>
      </c>
      <c r="U265" s="527" t="e">
        <f>U264-#REF!</f>
        <v>#REF!</v>
      </c>
      <c r="V265" s="532" t="s">
        <v>818</v>
      </c>
      <c r="W265" s="529" t="e">
        <f>(#REF!+BM265)/1100000</f>
        <v>#REF!</v>
      </c>
      <c r="X265" s="85"/>
      <c r="Y265" s="69"/>
      <c r="Z265" s="261"/>
      <c r="AA265" s="261"/>
      <c r="AB265" s="80" t="s">
        <v>817</v>
      </c>
      <c r="AC265" s="81" t="e">
        <f>AC264-#REF!</f>
        <v>#REF!</v>
      </c>
      <c r="AD265" s="82" t="s">
        <v>824</v>
      </c>
      <c r="AE265" s="83"/>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68"/>
      <c r="BD265" s="68"/>
      <c r="BE265" s="68"/>
      <c r="BF265" s="68"/>
      <c r="BG265" s="68"/>
      <c r="BH265" s="68"/>
      <c r="BI265" s="68"/>
    </row>
    <row r="266" spans="1:61" s="78" customFormat="1" ht="22.5" customHeight="1" thickBot="1">
      <c r="A266" s="490" t="s">
        <v>2235</v>
      </c>
      <c r="B266" s="554">
        <v>0.4</v>
      </c>
      <c r="C266" s="555">
        <f>B266+D266+E266+F266+G266+H266+I266+J266+K266+L266+M266+N266+O266</f>
        <v>0.4</v>
      </c>
      <c r="D266" s="525"/>
      <c r="E266" s="525"/>
      <c r="F266" s="525"/>
      <c r="G266" s="525"/>
      <c r="H266" s="525"/>
      <c r="I266" s="525"/>
      <c r="J266" s="525"/>
      <c r="K266" s="525"/>
      <c r="L266" s="525"/>
      <c r="M266" s="525"/>
      <c r="N266" s="525"/>
      <c r="O266" s="525"/>
      <c r="P266" s="490"/>
      <c r="Q266" s="490" t="s">
        <v>2225</v>
      </c>
      <c r="R266" s="553" t="s">
        <v>2236</v>
      </c>
      <c r="S266" s="556" t="s">
        <v>2237</v>
      </c>
      <c r="T266" s="521" t="s">
        <v>814</v>
      </c>
      <c r="U266" s="522">
        <f>BK266/1100000</f>
        <v>0</v>
      </c>
      <c r="V266" s="523" t="s">
        <v>832</v>
      </c>
      <c r="W266" s="524" t="e">
        <f>U266*0.75-(#REF!+W267)</f>
        <v>#REF!</v>
      </c>
      <c r="X266" s="299" t="s">
        <v>812</v>
      </c>
      <c r="Y266" s="79" t="s">
        <v>813</v>
      </c>
      <c r="Z266" s="260"/>
      <c r="AA266" s="260"/>
      <c r="AB266" s="80" t="s">
        <v>814</v>
      </c>
      <c r="AC266" s="81">
        <v>82500000</v>
      </c>
      <c r="AD266" s="82" t="s">
        <v>35</v>
      </c>
      <c r="AE266" s="83">
        <f>SUM(AF266:BB266)</f>
        <v>0</v>
      </c>
      <c r="AF266" s="91" t="s">
        <v>1078</v>
      </c>
      <c r="AG266" s="92"/>
      <c r="AH266" s="92" t="s">
        <v>1079</v>
      </c>
      <c r="AI266" s="92"/>
      <c r="AJ266" s="92" t="s">
        <v>1080</v>
      </c>
      <c r="AK266" s="92"/>
      <c r="AL266" s="92" t="s">
        <v>1080</v>
      </c>
      <c r="AM266" s="92"/>
      <c r="AN266" s="92" t="s">
        <v>1080</v>
      </c>
      <c r="AO266" s="92"/>
      <c r="AP266" s="92"/>
      <c r="AQ266" s="92"/>
      <c r="AR266" s="92"/>
      <c r="AS266" s="92"/>
      <c r="AT266" s="92"/>
      <c r="AU266" s="92"/>
      <c r="AV266" s="92"/>
      <c r="AW266" s="92"/>
      <c r="AX266" s="92"/>
      <c r="AY266" s="92"/>
      <c r="AZ266" s="92"/>
      <c r="BA266" s="92"/>
      <c r="BB266" s="92"/>
    </row>
    <row r="267" spans="1:61" s="78" customFormat="1" ht="22.5" customHeight="1" thickBot="1">
      <c r="A267" s="495"/>
      <c r="B267" s="558"/>
      <c r="C267" s="559"/>
      <c r="D267" s="560" t="s">
        <v>2241</v>
      </c>
      <c r="E267" s="560" t="s">
        <v>2241</v>
      </c>
      <c r="F267" s="560" t="s">
        <v>2241</v>
      </c>
      <c r="G267" s="560" t="s">
        <v>2241</v>
      </c>
      <c r="H267" s="560" t="s">
        <v>2241</v>
      </c>
      <c r="I267" s="560" t="s">
        <v>2241</v>
      </c>
      <c r="J267" s="560" t="s">
        <v>2241</v>
      </c>
      <c r="K267" s="560" t="s">
        <v>2241</v>
      </c>
      <c r="L267" s="560" t="s">
        <v>2241</v>
      </c>
      <c r="M267" s="560" t="s">
        <v>2241</v>
      </c>
      <c r="N267" s="560" t="s">
        <v>2241</v>
      </c>
      <c r="O267" s="560" t="s">
        <v>2241</v>
      </c>
      <c r="P267" s="502"/>
      <c r="Q267" s="495"/>
      <c r="R267" s="557"/>
      <c r="S267" s="531" t="s">
        <v>2238</v>
      </c>
      <c r="T267" s="526" t="s">
        <v>2239</v>
      </c>
      <c r="U267" s="527" t="e">
        <f>U266-#REF!</f>
        <v>#REF!</v>
      </c>
      <c r="V267" s="532" t="s">
        <v>2240</v>
      </c>
      <c r="W267" s="529" t="e">
        <f>(#REF!+BM267)/1100000</f>
        <v>#REF!</v>
      </c>
      <c r="X267" s="85"/>
      <c r="Y267" s="69"/>
      <c r="Z267" s="261"/>
      <c r="AA267" s="261"/>
      <c r="AB267" s="80" t="s">
        <v>2239</v>
      </c>
      <c r="AC267" s="81" t="e">
        <f>AC266-#REF!</f>
        <v>#REF!</v>
      </c>
      <c r="AD267" s="82" t="s">
        <v>2243</v>
      </c>
      <c r="AE267" s="83"/>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68"/>
      <c r="BD267" s="68"/>
      <c r="BE267" s="68"/>
      <c r="BF267" s="68"/>
      <c r="BG267" s="68"/>
      <c r="BH267" s="68"/>
      <c r="BI267" s="68"/>
    </row>
    <row r="268" spans="1:61" s="78" customFormat="1" ht="22.5" customHeight="1" thickBot="1">
      <c r="A268" s="490" t="s">
        <v>2244</v>
      </c>
      <c r="B268" s="554">
        <v>0.51</v>
      </c>
      <c r="C268" s="555">
        <f>B268+D268+E268+F268+G268+H268+I268+J268+K268+L268+M268+N268+O268</f>
        <v>0.7200000000000002</v>
      </c>
      <c r="D268" s="525">
        <v>0.01</v>
      </c>
      <c r="E268" s="525">
        <v>0.02</v>
      </c>
      <c r="F268" s="525">
        <v>0.02</v>
      </c>
      <c r="G268" s="525">
        <v>0.02</v>
      </c>
      <c r="H268" s="525">
        <v>0.02</v>
      </c>
      <c r="I268" s="525">
        <v>0.02</v>
      </c>
      <c r="J268" s="525">
        <v>0.02</v>
      </c>
      <c r="K268" s="525">
        <v>0.02</v>
      </c>
      <c r="L268" s="525">
        <v>0.02</v>
      </c>
      <c r="M268" s="525">
        <v>0.02</v>
      </c>
      <c r="N268" s="525">
        <v>0.02</v>
      </c>
      <c r="O268" s="525"/>
      <c r="P268" s="814"/>
      <c r="Q268" s="490" t="s">
        <v>2249</v>
      </c>
      <c r="R268" s="553" t="s">
        <v>2245</v>
      </c>
      <c r="S268" s="556" t="s">
        <v>2246</v>
      </c>
      <c r="T268" s="521" t="s">
        <v>2247</v>
      </c>
      <c r="U268" s="522">
        <f>BK268/1100000</f>
        <v>0</v>
      </c>
      <c r="V268" s="523" t="s">
        <v>2248</v>
      </c>
      <c r="W268" s="524" t="e">
        <f>U268*0.75-(#REF!+W269)</f>
        <v>#REF!</v>
      </c>
      <c r="X268" s="299" t="s">
        <v>2250</v>
      </c>
      <c r="Y268" s="79" t="s">
        <v>2251</v>
      </c>
      <c r="Z268" s="260"/>
      <c r="AA268" s="260"/>
      <c r="AB268" s="80" t="s">
        <v>2247</v>
      </c>
      <c r="AC268" s="81">
        <v>798856500</v>
      </c>
      <c r="AD268" s="82" t="s">
        <v>2252</v>
      </c>
      <c r="AE268" s="83">
        <f>SUM(AF268:BB268)</f>
        <v>0</v>
      </c>
      <c r="AF268" s="91" t="s">
        <v>2253</v>
      </c>
      <c r="AG268" s="92"/>
      <c r="AH268" s="92" t="s">
        <v>2254</v>
      </c>
      <c r="AI268" s="92"/>
      <c r="AJ268" s="92" t="s">
        <v>2255</v>
      </c>
      <c r="AK268" s="92"/>
      <c r="AL268" s="92" t="s">
        <v>2255</v>
      </c>
      <c r="AM268" s="92"/>
      <c r="AN268" s="92" t="s">
        <v>2255</v>
      </c>
      <c r="AO268" s="92"/>
      <c r="AP268" s="92"/>
      <c r="AQ268" s="92"/>
      <c r="AR268" s="92"/>
      <c r="AS268" s="92"/>
      <c r="AT268" s="92"/>
      <c r="AU268" s="92"/>
      <c r="AV268" s="92"/>
      <c r="AW268" s="92"/>
      <c r="AX268" s="92"/>
      <c r="AY268" s="92"/>
      <c r="AZ268" s="92"/>
      <c r="BA268" s="92"/>
      <c r="BB268" s="92"/>
    </row>
    <row r="269" spans="1:61" s="78" customFormat="1" ht="22.5" customHeight="1" thickBot="1">
      <c r="A269" s="495"/>
      <c r="B269" s="558"/>
      <c r="C269" s="559"/>
      <c r="D269" s="813" t="s">
        <v>2257</v>
      </c>
      <c r="E269" s="813" t="s">
        <v>2257</v>
      </c>
      <c r="F269" s="813" t="s">
        <v>2257</v>
      </c>
      <c r="G269" s="815" t="s">
        <v>2258</v>
      </c>
      <c r="H269" s="815" t="s">
        <v>2258</v>
      </c>
      <c r="I269" s="815" t="s">
        <v>2259</v>
      </c>
      <c r="J269" s="813" t="s">
        <v>2260</v>
      </c>
      <c r="K269" s="813" t="s">
        <v>2261</v>
      </c>
      <c r="L269" s="813" t="s">
        <v>2261</v>
      </c>
      <c r="M269" s="813" t="s">
        <v>2261</v>
      </c>
      <c r="N269" s="813" t="s">
        <v>2261</v>
      </c>
      <c r="O269" s="813" t="s">
        <v>2262</v>
      </c>
      <c r="P269" s="816"/>
      <c r="Q269" s="495"/>
      <c r="R269" s="557"/>
      <c r="S269" s="531" t="s">
        <v>2256</v>
      </c>
      <c r="T269" s="526" t="s">
        <v>2239</v>
      </c>
      <c r="U269" s="527" t="e">
        <f>U268-#REF!</f>
        <v>#REF!</v>
      </c>
      <c r="V269" s="532" t="s">
        <v>2240</v>
      </c>
      <c r="W269" s="529" t="e">
        <f>(#REF!+BM269)/1100000</f>
        <v>#REF!</v>
      </c>
      <c r="X269" s="85"/>
      <c r="Y269" s="69"/>
      <c r="Z269" s="261"/>
      <c r="AA269" s="261"/>
      <c r="AB269" s="80" t="s">
        <v>2239</v>
      </c>
      <c r="AC269" s="81" t="e">
        <f>AC268-#REF!</f>
        <v>#REF!</v>
      </c>
      <c r="AD269" s="82" t="s">
        <v>2243</v>
      </c>
      <c r="AE269" s="83"/>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68"/>
      <c r="BD269" s="68"/>
      <c r="BE269" s="68"/>
      <c r="BF269" s="68"/>
      <c r="BG269" s="68"/>
      <c r="BH269" s="68"/>
      <c r="BI269" s="68"/>
    </row>
    <row r="270" spans="1:61" s="78" customFormat="1" ht="22.5" customHeight="1" thickBot="1">
      <c r="A270" s="490" t="s">
        <v>2263</v>
      </c>
      <c r="B270" s="554">
        <v>0.5</v>
      </c>
      <c r="C270" s="555">
        <f>B270+D270+E270+F270+G270+H270+I270+J270+K270+L270+M270+N270+O270</f>
        <v>0.5</v>
      </c>
      <c r="D270" s="525"/>
      <c r="E270" s="525"/>
      <c r="F270" s="525"/>
      <c r="G270" s="525"/>
      <c r="H270" s="525"/>
      <c r="I270" s="525"/>
      <c r="J270" s="525"/>
      <c r="K270" s="525"/>
      <c r="L270" s="525"/>
      <c r="M270" s="525"/>
      <c r="N270" s="525"/>
      <c r="O270" s="525"/>
      <c r="P270" s="566"/>
      <c r="Q270" s="490" t="s">
        <v>2225</v>
      </c>
      <c r="R270" s="700" t="s">
        <v>2264</v>
      </c>
      <c r="S270" s="556" t="s">
        <v>2265</v>
      </c>
      <c r="T270" s="521" t="s">
        <v>2247</v>
      </c>
      <c r="U270" s="522">
        <f>BK270/1100000</f>
        <v>0</v>
      </c>
      <c r="V270" s="523" t="s">
        <v>2248</v>
      </c>
      <c r="W270" s="524" t="e">
        <f>U270*0.75-(#REF!+W271)</f>
        <v>#REF!</v>
      </c>
      <c r="X270" s="299" t="s">
        <v>2250</v>
      </c>
      <c r="Y270" s="79" t="s">
        <v>2251</v>
      </c>
      <c r="Z270" s="260"/>
      <c r="AA270" s="260"/>
      <c r="AB270" s="80" t="s">
        <v>2247</v>
      </c>
      <c r="AC270" s="81">
        <v>187000000</v>
      </c>
      <c r="AD270" s="82" t="s">
        <v>2252</v>
      </c>
      <c r="AE270" s="83">
        <f>SUM(AF270:BB270)</f>
        <v>0</v>
      </c>
      <c r="AF270" s="91" t="s">
        <v>2253</v>
      </c>
      <c r="AG270" s="92"/>
      <c r="AH270" s="92" t="s">
        <v>2254</v>
      </c>
      <c r="AI270" s="92"/>
      <c r="AJ270" s="92" t="s">
        <v>2255</v>
      </c>
      <c r="AK270" s="92"/>
      <c r="AL270" s="92" t="s">
        <v>2255</v>
      </c>
      <c r="AM270" s="92"/>
      <c r="AN270" s="92" t="s">
        <v>2255</v>
      </c>
      <c r="AO270" s="92"/>
      <c r="AP270" s="92"/>
      <c r="AQ270" s="92"/>
      <c r="AR270" s="92"/>
      <c r="AS270" s="92"/>
      <c r="AT270" s="92"/>
      <c r="AU270" s="92"/>
      <c r="AV270" s="92"/>
      <c r="AW270" s="92"/>
      <c r="AX270" s="92"/>
      <c r="AY270" s="92"/>
      <c r="AZ270" s="92"/>
      <c r="BA270" s="92"/>
      <c r="BB270" s="92"/>
    </row>
    <row r="271" spans="1:61" s="78" customFormat="1" ht="22.5" customHeight="1" thickBot="1">
      <c r="A271" s="495"/>
      <c r="B271" s="558"/>
      <c r="C271" s="559"/>
      <c r="D271" s="560" t="s">
        <v>2266</v>
      </c>
      <c r="E271" s="560" t="s">
        <v>2266</v>
      </c>
      <c r="F271" s="560" t="s">
        <v>2266</v>
      </c>
      <c r="G271" s="560" t="s">
        <v>2266</v>
      </c>
      <c r="H271" s="560" t="s">
        <v>2266</v>
      </c>
      <c r="I271" s="560" t="s">
        <v>2266</v>
      </c>
      <c r="J271" s="560" t="s">
        <v>2266</v>
      </c>
      <c r="K271" s="560" t="s">
        <v>2266</v>
      </c>
      <c r="L271" s="817" t="s">
        <v>2267</v>
      </c>
      <c r="M271" s="817" t="s">
        <v>2267</v>
      </c>
      <c r="N271" s="560" t="s">
        <v>2266</v>
      </c>
      <c r="O271" s="560" t="s">
        <v>2266</v>
      </c>
      <c r="P271" s="602"/>
      <c r="Q271" s="495"/>
      <c r="R271" s="784"/>
      <c r="S271" s="531" t="s">
        <v>1422</v>
      </c>
      <c r="T271" s="526" t="s">
        <v>1423</v>
      </c>
      <c r="U271" s="527" t="e">
        <f>U270-#REF!</f>
        <v>#REF!</v>
      </c>
      <c r="V271" s="532" t="s">
        <v>1424</v>
      </c>
      <c r="W271" s="529" t="e">
        <f>(#REF!+BM271)/1100000</f>
        <v>#REF!</v>
      </c>
      <c r="X271" s="85"/>
      <c r="Y271" s="69"/>
      <c r="Z271" s="261"/>
      <c r="AA271" s="261"/>
      <c r="AB271" s="80" t="s">
        <v>1423</v>
      </c>
      <c r="AC271" s="81" t="e">
        <f>AC270-#REF!</f>
        <v>#REF!</v>
      </c>
      <c r="AD271" s="82" t="s">
        <v>1434</v>
      </c>
      <c r="AE271" s="83"/>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68"/>
      <c r="BD271" s="68"/>
      <c r="BE271" s="68"/>
      <c r="BF271" s="68"/>
      <c r="BG271" s="68"/>
      <c r="BH271" s="68"/>
      <c r="BI271" s="68"/>
    </row>
    <row r="272" spans="1:61" s="78" customFormat="1" ht="22.5" customHeight="1" thickBot="1">
      <c r="A272" s="490" t="s">
        <v>2268</v>
      </c>
      <c r="B272" s="554">
        <v>0.99</v>
      </c>
      <c r="C272" s="555">
        <f>B272+D272+E272+F272+G272+H272+I272+J272+K272+L272+M272+N272+O272</f>
        <v>0.99</v>
      </c>
      <c r="D272" s="525"/>
      <c r="E272" s="525"/>
      <c r="F272" s="525"/>
      <c r="G272" s="525"/>
      <c r="H272" s="525"/>
      <c r="I272" s="525"/>
      <c r="J272" s="525"/>
      <c r="K272" s="525"/>
      <c r="L272" s="525"/>
      <c r="M272" s="525"/>
      <c r="N272" s="525"/>
      <c r="O272" s="525"/>
      <c r="P272" s="566" t="s">
        <v>2271</v>
      </c>
      <c r="Q272" s="490" t="s">
        <v>2272</v>
      </c>
      <c r="R272" s="700" t="s">
        <v>2269</v>
      </c>
      <c r="S272" s="556" t="s">
        <v>2270</v>
      </c>
      <c r="T272" s="521" t="s">
        <v>1439</v>
      </c>
      <c r="U272" s="522">
        <f>BK272/1100000</f>
        <v>0</v>
      </c>
      <c r="V272" s="523" t="s">
        <v>1440</v>
      </c>
      <c r="W272" s="524" t="e">
        <f>U272*0.75-(#REF!+W273)</f>
        <v>#REF!</v>
      </c>
      <c r="X272" s="299" t="s">
        <v>1443</v>
      </c>
      <c r="Y272" s="79" t="s">
        <v>1444</v>
      </c>
      <c r="Z272" s="260"/>
      <c r="AA272" s="260"/>
      <c r="AB272" s="80" t="s">
        <v>1439</v>
      </c>
      <c r="AC272" s="81">
        <v>44000000</v>
      </c>
      <c r="AD272" s="82" t="s">
        <v>1446</v>
      </c>
      <c r="AE272" s="83">
        <f>SUM(AF272:BB272)</f>
        <v>0</v>
      </c>
      <c r="AF272" s="91" t="s">
        <v>2253</v>
      </c>
      <c r="AG272" s="92"/>
      <c r="AH272" s="92" t="s">
        <v>2254</v>
      </c>
      <c r="AI272" s="92"/>
      <c r="AJ272" s="92" t="s">
        <v>2255</v>
      </c>
      <c r="AK272" s="92"/>
      <c r="AL272" s="92" t="s">
        <v>2255</v>
      </c>
      <c r="AM272" s="92"/>
      <c r="AN272" s="92" t="s">
        <v>2255</v>
      </c>
      <c r="AO272" s="92"/>
      <c r="AP272" s="92"/>
      <c r="AQ272" s="92"/>
      <c r="AR272" s="92"/>
      <c r="AS272" s="92"/>
      <c r="AT272" s="92"/>
      <c r="AU272" s="92"/>
      <c r="AV272" s="92"/>
      <c r="AW272" s="92"/>
      <c r="AX272" s="92"/>
      <c r="AY272" s="92"/>
      <c r="AZ272" s="92"/>
      <c r="BA272" s="92"/>
      <c r="BB272" s="92"/>
    </row>
    <row r="273" spans="1:61" s="78" customFormat="1" ht="22.5" customHeight="1" thickBot="1">
      <c r="A273" s="495"/>
      <c r="B273" s="558"/>
      <c r="C273" s="559"/>
      <c r="D273" s="813" t="s">
        <v>2273</v>
      </c>
      <c r="E273" s="813" t="s">
        <v>2274</v>
      </c>
      <c r="F273" s="813" t="s">
        <v>2274</v>
      </c>
      <c r="G273" s="818" t="s">
        <v>2266</v>
      </c>
      <c r="H273" s="818" t="s">
        <v>2275</v>
      </c>
      <c r="I273" s="560" t="s">
        <v>2266</v>
      </c>
      <c r="J273" s="560" t="s">
        <v>2266</v>
      </c>
      <c r="K273" s="780" t="s">
        <v>2266</v>
      </c>
      <c r="L273" s="780" t="s">
        <v>2276</v>
      </c>
      <c r="M273" s="780" t="s">
        <v>2276</v>
      </c>
      <c r="N273" s="780" t="s">
        <v>2276</v>
      </c>
      <c r="O273" s="813" t="s">
        <v>2273</v>
      </c>
      <c r="P273" s="602"/>
      <c r="Q273" s="495"/>
      <c r="R273" s="784"/>
      <c r="S273" s="531" t="s">
        <v>1422</v>
      </c>
      <c r="T273" s="526" t="s">
        <v>1423</v>
      </c>
      <c r="U273" s="527" t="e">
        <f>U272-#REF!</f>
        <v>#REF!</v>
      </c>
      <c r="V273" s="532" t="s">
        <v>1424</v>
      </c>
      <c r="W273" s="529" t="e">
        <f>(#REF!+BM273)/1100000</f>
        <v>#REF!</v>
      </c>
      <c r="X273" s="85"/>
      <c r="Y273" s="69"/>
      <c r="Z273" s="261"/>
      <c r="AA273" s="261"/>
      <c r="AB273" s="80" t="s">
        <v>1423</v>
      </c>
      <c r="AC273" s="81" t="e">
        <f>AC272-#REF!</f>
        <v>#REF!</v>
      </c>
      <c r="AD273" s="82" t="s">
        <v>1434</v>
      </c>
      <c r="AE273" s="83"/>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68"/>
      <c r="BD273" s="68"/>
      <c r="BE273" s="68"/>
      <c r="BF273" s="68"/>
      <c r="BG273" s="68"/>
      <c r="BH273" s="68"/>
      <c r="BI273" s="68"/>
    </row>
    <row r="274" spans="1:61" s="78" customFormat="1" ht="22.5" customHeight="1" thickBot="1">
      <c r="A274" s="490" t="s">
        <v>2277</v>
      </c>
      <c r="B274" s="554">
        <v>0.93</v>
      </c>
      <c r="C274" s="555">
        <f>B274+D274+E274+F274+G274+H274+I274+J274+K274+L274+M274+N274+O274</f>
        <v>1</v>
      </c>
      <c r="D274" s="525"/>
      <c r="E274" s="525"/>
      <c r="F274" s="525"/>
      <c r="G274" s="525"/>
      <c r="H274" s="525"/>
      <c r="I274" s="525">
        <v>7.0000000000000007E-2</v>
      </c>
      <c r="J274" s="525"/>
      <c r="K274" s="525"/>
      <c r="L274" s="525"/>
      <c r="M274" s="525"/>
      <c r="N274" s="525"/>
      <c r="O274" s="525"/>
      <c r="P274" s="566"/>
      <c r="Q274" s="490" t="s">
        <v>2280</v>
      </c>
      <c r="R274" s="700" t="s">
        <v>2278</v>
      </c>
      <c r="S274" s="556" t="s">
        <v>2279</v>
      </c>
      <c r="T274" s="521" t="s">
        <v>1439</v>
      </c>
      <c r="U274" s="522">
        <f>BK274/1100000</f>
        <v>0</v>
      </c>
      <c r="V274" s="523" t="s">
        <v>1440</v>
      </c>
      <c r="W274" s="524" t="e">
        <f>U274*0.75-(#REF!+W275)</f>
        <v>#REF!</v>
      </c>
      <c r="X274" s="299" t="s">
        <v>1443</v>
      </c>
      <c r="Y274" s="79" t="s">
        <v>1444</v>
      </c>
      <c r="Z274" s="260"/>
      <c r="AA274" s="260"/>
      <c r="AB274" s="80" t="s">
        <v>1439</v>
      </c>
      <c r="AC274" s="81">
        <v>126500000</v>
      </c>
      <c r="AD274" s="82" t="s">
        <v>1446</v>
      </c>
      <c r="AE274" s="83">
        <f>SUM(AF274:BB274)</f>
        <v>0</v>
      </c>
      <c r="AF274" s="91" t="s">
        <v>2281</v>
      </c>
      <c r="AG274" s="92"/>
      <c r="AH274" s="92" t="s">
        <v>2254</v>
      </c>
      <c r="AI274" s="92"/>
      <c r="AJ274" s="92" t="s">
        <v>2255</v>
      </c>
      <c r="AK274" s="92"/>
      <c r="AL274" s="92" t="s">
        <v>2255</v>
      </c>
      <c r="AM274" s="92"/>
      <c r="AN274" s="92" t="s">
        <v>2255</v>
      </c>
      <c r="AO274" s="92"/>
      <c r="AP274" s="92"/>
      <c r="AQ274" s="92"/>
      <c r="AR274" s="92"/>
      <c r="AS274" s="92"/>
      <c r="AT274" s="92"/>
      <c r="AU274" s="92"/>
      <c r="AV274" s="92"/>
      <c r="AW274" s="92"/>
      <c r="AX274" s="92"/>
      <c r="AY274" s="92"/>
      <c r="AZ274" s="92"/>
      <c r="BA274" s="92"/>
      <c r="BB274" s="92"/>
    </row>
    <row r="275" spans="1:61" s="78" customFormat="1" ht="22.5" customHeight="1" thickBot="1">
      <c r="A275" s="495"/>
      <c r="B275" s="558"/>
      <c r="C275" s="559"/>
      <c r="D275" s="780" t="s">
        <v>2282</v>
      </c>
      <c r="E275" s="818" t="s">
        <v>2283</v>
      </c>
      <c r="F275" s="818" t="s">
        <v>2284</v>
      </c>
      <c r="G275" s="818" t="s">
        <v>2285</v>
      </c>
      <c r="H275" s="780" t="s">
        <v>2286</v>
      </c>
      <c r="I275" s="780" t="s">
        <v>2287</v>
      </c>
      <c r="J275" s="780"/>
      <c r="K275" s="780"/>
      <c r="L275" s="780"/>
      <c r="M275" s="780"/>
      <c r="N275" s="780"/>
      <c r="O275" s="780" t="s">
        <v>2282</v>
      </c>
      <c r="P275" s="602"/>
      <c r="Q275" s="495"/>
      <c r="R275" s="784"/>
      <c r="S275" s="531" t="s">
        <v>1422</v>
      </c>
      <c r="T275" s="526" t="s">
        <v>1423</v>
      </c>
      <c r="U275" s="527" t="e">
        <f>U274-#REF!</f>
        <v>#REF!</v>
      </c>
      <c r="V275" s="532" t="s">
        <v>1424</v>
      </c>
      <c r="W275" s="529" t="e">
        <f>(#REF!+BM275)/1100000</f>
        <v>#REF!</v>
      </c>
      <c r="X275" s="85"/>
      <c r="Y275" s="69"/>
      <c r="Z275" s="261"/>
      <c r="AA275" s="261"/>
      <c r="AB275" s="80" t="s">
        <v>1423</v>
      </c>
      <c r="AC275" s="81" t="e">
        <f>AC274-#REF!</f>
        <v>#REF!</v>
      </c>
      <c r="AD275" s="82" t="s">
        <v>1434</v>
      </c>
      <c r="AE275" s="83"/>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68"/>
      <c r="BD275" s="68"/>
      <c r="BE275" s="68"/>
      <c r="BF275" s="68"/>
      <c r="BG275" s="68"/>
      <c r="BH275" s="68"/>
      <c r="BI275" s="68"/>
    </row>
    <row r="276" spans="1:61" s="78" customFormat="1" ht="22.5" customHeight="1" thickBot="1">
      <c r="A276" s="490" t="s">
        <v>2288</v>
      </c>
      <c r="B276" s="554">
        <v>0.17</v>
      </c>
      <c r="C276" s="555">
        <f>B276+D276+E276+F276+G276+H276+I276+J276+K276+L276+M276+N276+O276</f>
        <v>0.17</v>
      </c>
      <c r="D276" s="525"/>
      <c r="E276" s="525"/>
      <c r="F276" s="525"/>
      <c r="G276" s="525"/>
      <c r="H276" s="525"/>
      <c r="I276" s="525"/>
      <c r="J276" s="525"/>
      <c r="K276" s="525"/>
      <c r="L276" s="525"/>
      <c r="M276" s="525"/>
      <c r="N276" s="525"/>
      <c r="O276" s="525"/>
      <c r="P276" s="566" t="s">
        <v>2291</v>
      </c>
      <c r="Q276" s="490" t="s">
        <v>2292</v>
      </c>
      <c r="R276" s="700" t="s">
        <v>2289</v>
      </c>
      <c r="S276" s="556" t="s">
        <v>2290</v>
      </c>
      <c r="T276" s="521" t="s">
        <v>1439</v>
      </c>
      <c r="U276" s="522">
        <f>BK276/1100000</f>
        <v>0</v>
      </c>
      <c r="V276" s="523" t="s">
        <v>1440</v>
      </c>
      <c r="W276" s="524" t="e">
        <f>U276*0.75-(#REF!+W277)</f>
        <v>#REF!</v>
      </c>
      <c r="X276" s="299" t="s">
        <v>1443</v>
      </c>
      <c r="Y276" s="79" t="s">
        <v>1444</v>
      </c>
      <c r="Z276" s="260"/>
      <c r="AA276" s="260"/>
      <c r="AB276" s="80" t="s">
        <v>1439</v>
      </c>
      <c r="AC276" s="81">
        <v>165000000</v>
      </c>
      <c r="AD276" s="82" t="s">
        <v>1446</v>
      </c>
      <c r="AE276" s="83">
        <f>SUM(AF276:BB276)</f>
        <v>0</v>
      </c>
      <c r="AF276" s="91" t="s">
        <v>2281</v>
      </c>
      <c r="AG276" s="92"/>
      <c r="AH276" s="92" t="s">
        <v>2254</v>
      </c>
      <c r="AI276" s="92"/>
      <c r="AJ276" s="92" t="s">
        <v>2255</v>
      </c>
      <c r="AK276" s="92"/>
      <c r="AL276" s="92" t="s">
        <v>2255</v>
      </c>
      <c r="AM276" s="92"/>
      <c r="AN276" s="92" t="s">
        <v>2255</v>
      </c>
      <c r="AO276" s="92"/>
      <c r="AP276" s="92"/>
      <c r="AQ276" s="92"/>
      <c r="AR276" s="92"/>
      <c r="AS276" s="92"/>
      <c r="AT276" s="92"/>
      <c r="AU276" s="92"/>
      <c r="AV276" s="92"/>
      <c r="AW276" s="92"/>
      <c r="AX276" s="92"/>
      <c r="AY276" s="92"/>
      <c r="AZ276" s="92"/>
      <c r="BA276" s="92"/>
      <c r="BB276" s="92"/>
    </row>
    <row r="277" spans="1:61" s="78" customFormat="1" ht="22.5" customHeight="1" thickBot="1">
      <c r="A277" s="495"/>
      <c r="B277" s="558"/>
      <c r="C277" s="559"/>
      <c r="D277" s="560" t="s">
        <v>2266</v>
      </c>
      <c r="E277" s="560" t="s">
        <v>2266</v>
      </c>
      <c r="F277" s="560" t="s">
        <v>2266</v>
      </c>
      <c r="G277" s="560" t="s">
        <v>2266</v>
      </c>
      <c r="H277" s="560" t="s">
        <v>2266</v>
      </c>
      <c r="I277" s="560" t="s">
        <v>2266</v>
      </c>
      <c r="J277" s="560" t="s">
        <v>2266</v>
      </c>
      <c r="K277" s="560" t="s">
        <v>2266</v>
      </c>
      <c r="L277" s="560" t="s">
        <v>2266</v>
      </c>
      <c r="M277" s="560" t="s">
        <v>2266</v>
      </c>
      <c r="N277" s="560" t="s">
        <v>2266</v>
      </c>
      <c r="O277" s="560" t="s">
        <v>2266</v>
      </c>
      <c r="P277" s="602"/>
      <c r="Q277" s="495"/>
      <c r="R277" s="784"/>
      <c r="S277" s="531" t="s">
        <v>1422</v>
      </c>
      <c r="T277" s="526" t="s">
        <v>1423</v>
      </c>
      <c r="U277" s="527" t="e">
        <f>U276-#REF!</f>
        <v>#REF!</v>
      </c>
      <c r="V277" s="532" t="s">
        <v>1424</v>
      </c>
      <c r="W277" s="529" t="e">
        <f>(#REF!+BM277)/1100000</f>
        <v>#REF!</v>
      </c>
      <c r="X277" s="85"/>
      <c r="Y277" s="69"/>
      <c r="Z277" s="261"/>
      <c r="AA277" s="261"/>
      <c r="AB277" s="80" t="s">
        <v>1423</v>
      </c>
      <c r="AC277" s="81" t="e">
        <f>AC276-#REF!</f>
        <v>#REF!</v>
      </c>
      <c r="AD277" s="82" t="s">
        <v>1434</v>
      </c>
      <c r="AE277" s="83"/>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68"/>
      <c r="BD277" s="68"/>
      <c r="BE277" s="68"/>
      <c r="BF277" s="68"/>
      <c r="BG277" s="68"/>
      <c r="BH277" s="68"/>
      <c r="BI277" s="68"/>
    </row>
    <row r="278" spans="1:61" s="78" customFormat="1" ht="22.5" customHeight="1" thickBot="1">
      <c r="A278" s="490" t="s">
        <v>2293</v>
      </c>
      <c r="B278" s="554">
        <v>0.8</v>
      </c>
      <c r="C278" s="555">
        <f>B278+D278+E278+F278+G278+H278+I278+J278+K278+L278+M278+N278+O278</f>
        <v>0.84000000000000008</v>
      </c>
      <c r="D278" s="525"/>
      <c r="E278" s="525"/>
      <c r="F278" s="525"/>
      <c r="G278" s="525"/>
      <c r="H278" s="525"/>
      <c r="I278" s="525">
        <v>0.01</v>
      </c>
      <c r="J278" s="525">
        <v>0.01</v>
      </c>
      <c r="K278" s="525">
        <v>0.01</v>
      </c>
      <c r="L278" s="525">
        <v>0.01</v>
      </c>
      <c r="M278" s="525"/>
      <c r="N278" s="525"/>
      <c r="O278" s="525"/>
      <c r="P278" s="566"/>
      <c r="Q278" s="490" t="s">
        <v>2296</v>
      </c>
      <c r="R278" s="700" t="s">
        <v>2294</v>
      </c>
      <c r="S278" s="556" t="s">
        <v>2295</v>
      </c>
      <c r="T278" s="521" t="s">
        <v>1439</v>
      </c>
      <c r="U278" s="522">
        <f>BK278/1100000</f>
        <v>0</v>
      </c>
      <c r="V278" s="523" t="s">
        <v>1440</v>
      </c>
      <c r="W278" s="524" t="e">
        <f>U278*0.75-(#REF!+W279)</f>
        <v>#REF!</v>
      </c>
      <c r="X278" s="299" t="s">
        <v>1443</v>
      </c>
      <c r="Y278" s="79" t="s">
        <v>1444</v>
      </c>
      <c r="Z278" s="260"/>
      <c r="AA278" s="260"/>
      <c r="AB278" s="80" t="s">
        <v>1439</v>
      </c>
      <c r="AC278" s="81">
        <v>237600000</v>
      </c>
      <c r="AD278" s="82" t="s">
        <v>1446</v>
      </c>
      <c r="AE278" s="83">
        <f>SUM(AF278:BB278)</f>
        <v>33750000</v>
      </c>
      <c r="AF278" s="91" t="s">
        <v>2297</v>
      </c>
      <c r="AG278" s="92">
        <v>26250000</v>
      </c>
      <c r="AH278" s="92" t="s">
        <v>2298</v>
      </c>
      <c r="AI278" s="92">
        <v>3750000</v>
      </c>
      <c r="AJ278" s="92" t="s">
        <v>2299</v>
      </c>
      <c r="AK278" s="92">
        <v>3750000</v>
      </c>
      <c r="AL278" s="92" t="s">
        <v>2255</v>
      </c>
      <c r="AM278" s="92"/>
      <c r="AN278" s="92" t="s">
        <v>2255</v>
      </c>
      <c r="AO278" s="92"/>
      <c r="AP278" s="92"/>
      <c r="AQ278" s="92"/>
      <c r="AR278" s="92"/>
      <c r="AS278" s="92"/>
      <c r="AT278" s="92"/>
      <c r="AU278" s="92"/>
      <c r="AV278" s="92"/>
      <c r="AW278" s="92"/>
      <c r="AX278" s="92"/>
      <c r="AY278" s="92"/>
      <c r="AZ278" s="92"/>
      <c r="BA278" s="92"/>
      <c r="BB278" s="92"/>
    </row>
    <row r="279" spans="1:61" s="78" customFormat="1" ht="22.5" customHeight="1" thickBot="1">
      <c r="A279" s="495"/>
      <c r="B279" s="558"/>
      <c r="C279" s="559"/>
      <c r="D279" s="560" t="s">
        <v>2266</v>
      </c>
      <c r="E279" s="560" t="s">
        <v>2266</v>
      </c>
      <c r="F279" s="560" t="s">
        <v>2266</v>
      </c>
      <c r="G279" s="560" t="s">
        <v>2266</v>
      </c>
      <c r="H279" s="560" t="s">
        <v>2266</v>
      </c>
      <c r="I279" s="560" t="s">
        <v>2300</v>
      </c>
      <c r="J279" s="560" t="s">
        <v>2266</v>
      </c>
      <c r="K279" s="560" t="s">
        <v>2266</v>
      </c>
      <c r="L279" s="560" t="s">
        <v>2301</v>
      </c>
      <c r="M279" s="560" t="s">
        <v>2266</v>
      </c>
      <c r="N279" s="560" t="s">
        <v>2266</v>
      </c>
      <c r="O279" s="560" t="s">
        <v>2266</v>
      </c>
      <c r="P279" s="602"/>
      <c r="Q279" s="495"/>
      <c r="R279" s="784"/>
      <c r="S279" s="531" t="s">
        <v>1422</v>
      </c>
      <c r="T279" s="526" t="s">
        <v>1423</v>
      </c>
      <c r="U279" s="527" t="e">
        <f>U278-#REF!</f>
        <v>#REF!</v>
      </c>
      <c r="V279" s="532" t="s">
        <v>1424</v>
      </c>
      <c r="W279" s="529" t="e">
        <f>(#REF!+BM279)/1100000</f>
        <v>#REF!</v>
      </c>
      <c r="X279" s="85"/>
      <c r="Y279" s="69"/>
      <c r="Z279" s="261"/>
      <c r="AA279" s="261"/>
      <c r="AB279" s="80" t="s">
        <v>1423</v>
      </c>
      <c r="AC279" s="81" t="e">
        <f>AC278-#REF!</f>
        <v>#REF!</v>
      </c>
      <c r="AD279" s="82" t="s">
        <v>1434</v>
      </c>
      <c r="AE279" s="83"/>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68"/>
      <c r="BD279" s="68"/>
      <c r="BE279" s="68"/>
      <c r="BF279" s="68"/>
      <c r="BG279" s="68"/>
      <c r="BH279" s="68"/>
      <c r="BI279" s="68"/>
    </row>
    <row r="280" spans="1:61" s="78" customFormat="1" ht="22.5" customHeight="1" thickBot="1">
      <c r="A280" s="490" t="s">
        <v>2302</v>
      </c>
      <c r="B280" s="554">
        <v>0.55000000000000004</v>
      </c>
      <c r="C280" s="555">
        <f>B280+D280+E280+F280+G280+H280+I280+J280+K280+L280+M280+N280+O280</f>
        <v>0.65000000000000013</v>
      </c>
      <c r="D280" s="525"/>
      <c r="E280" s="525"/>
      <c r="F280" s="525"/>
      <c r="G280" s="525"/>
      <c r="H280" s="525"/>
      <c r="I280" s="525"/>
      <c r="J280" s="525">
        <v>0.02</v>
      </c>
      <c r="K280" s="525">
        <v>0.02</v>
      </c>
      <c r="L280" s="525">
        <v>0.01</v>
      </c>
      <c r="M280" s="525">
        <v>0.03</v>
      </c>
      <c r="N280" s="525">
        <v>0.02</v>
      </c>
      <c r="O280" s="525"/>
      <c r="P280" s="566" t="s">
        <v>2305</v>
      </c>
      <c r="Q280" s="490" t="s">
        <v>2306</v>
      </c>
      <c r="R280" s="700" t="s">
        <v>2303</v>
      </c>
      <c r="S280" s="556" t="s">
        <v>2304</v>
      </c>
      <c r="T280" s="521" t="s">
        <v>1439</v>
      </c>
      <c r="U280" s="522">
        <f>BK280/1100000</f>
        <v>0</v>
      </c>
      <c r="V280" s="523" t="s">
        <v>1440</v>
      </c>
      <c r="W280" s="524" t="e">
        <f>U280*0.75-(#REF!+W281)</f>
        <v>#REF!</v>
      </c>
      <c r="X280" s="299" t="s">
        <v>1443</v>
      </c>
      <c r="Y280" s="79" t="s">
        <v>1444</v>
      </c>
      <c r="Z280" s="260"/>
      <c r="AA280" s="260"/>
      <c r="AB280" s="80" t="s">
        <v>1439</v>
      </c>
      <c r="AC280" s="81">
        <v>418000000</v>
      </c>
      <c r="AD280" s="82" t="s">
        <v>1446</v>
      </c>
      <c r="AE280" s="83">
        <f>SUM(AF280:BB280)</f>
        <v>30000000</v>
      </c>
      <c r="AF280" s="91" t="s">
        <v>2307</v>
      </c>
      <c r="AG280" s="92">
        <v>30000000</v>
      </c>
      <c r="AH280" s="92" t="s">
        <v>2298</v>
      </c>
      <c r="AI280" s="92"/>
      <c r="AJ280" s="92" t="s">
        <v>2299</v>
      </c>
      <c r="AK280" s="92"/>
      <c r="AL280" s="92" t="s">
        <v>2255</v>
      </c>
      <c r="AM280" s="92"/>
      <c r="AN280" s="92"/>
      <c r="AO280" s="92"/>
      <c r="AP280" s="92"/>
      <c r="AQ280" s="92"/>
      <c r="AR280" s="92"/>
      <c r="AS280" s="92"/>
      <c r="AT280" s="92"/>
      <c r="AU280" s="92"/>
      <c r="AV280" s="92"/>
      <c r="AW280" s="92"/>
      <c r="AX280" s="92"/>
      <c r="AY280" s="92"/>
      <c r="AZ280" s="92"/>
      <c r="BA280" s="92"/>
      <c r="BB280" s="92"/>
    </row>
    <row r="281" spans="1:61" s="78" customFormat="1" ht="22.5" customHeight="1" thickBot="1">
      <c r="A281" s="495"/>
      <c r="B281" s="558"/>
      <c r="C281" s="559"/>
      <c r="D281" s="560" t="s">
        <v>2266</v>
      </c>
      <c r="E281" s="818" t="s">
        <v>2308</v>
      </c>
      <c r="F281" s="818" t="s">
        <v>2308</v>
      </c>
      <c r="G281" s="818" t="s">
        <v>2309</v>
      </c>
      <c r="H281" s="818" t="s">
        <v>2309</v>
      </c>
      <c r="I281" s="818" t="s">
        <v>2309</v>
      </c>
      <c r="J281" s="818" t="s">
        <v>2309</v>
      </c>
      <c r="K281" s="818" t="s">
        <v>2309</v>
      </c>
      <c r="L281" s="818" t="s">
        <v>2309</v>
      </c>
      <c r="M281" s="780" t="s">
        <v>2310</v>
      </c>
      <c r="N281" s="780" t="s">
        <v>2310</v>
      </c>
      <c r="O281" s="560" t="s">
        <v>2266</v>
      </c>
      <c r="P281" s="602"/>
      <c r="Q281" s="495"/>
      <c r="R281" s="784"/>
      <c r="S281" s="531" t="s">
        <v>1422</v>
      </c>
      <c r="T281" s="526" t="s">
        <v>1423</v>
      </c>
      <c r="U281" s="527" t="e">
        <f>U280-#REF!</f>
        <v>#REF!</v>
      </c>
      <c r="V281" s="532" t="s">
        <v>1424</v>
      </c>
      <c r="W281" s="529" t="e">
        <f>(#REF!+BM281)/1100000</f>
        <v>#REF!</v>
      </c>
      <c r="X281" s="85"/>
      <c r="Y281" s="69"/>
      <c r="Z281" s="261"/>
      <c r="AA281" s="261"/>
      <c r="AB281" s="80" t="s">
        <v>1423</v>
      </c>
      <c r="AC281" s="81" t="e">
        <f>AC280-#REF!</f>
        <v>#REF!</v>
      </c>
      <c r="AD281" s="82" t="s">
        <v>1434</v>
      </c>
      <c r="AE281" s="83"/>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68"/>
      <c r="BD281" s="68"/>
      <c r="BE281" s="68"/>
      <c r="BF281" s="68"/>
      <c r="BG281" s="68"/>
      <c r="BH281" s="68"/>
      <c r="BI281" s="68"/>
    </row>
    <row r="282" spans="1:61" s="78" customFormat="1" ht="22.5" customHeight="1" thickBot="1">
      <c r="A282" s="490" t="s">
        <v>2311</v>
      </c>
      <c r="B282" s="554">
        <v>0.13</v>
      </c>
      <c r="C282" s="555">
        <f>B282+D282+E282+F282+G282+H282+I282+J282+K282+L282+M282+N282+O282</f>
        <v>0.74</v>
      </c>
      <c r="D282" s="525"/>
      <c r="E282" s="525">
        <v>0.03</v>
      </c>
      <c r="F282" s="525">
        <v>0.04</v>
      </c>
      <c r="G282" s="525">
        <v>0.06</v>
      </c>
      <c r="H282" s="525">
        <v>0.09</v>
      </c>
      <c r="I282" s="525">
        <v>0.09</v>
      </c>
      <c r="J282" s="525">
        <v>0.06</v>
      </c>
      <c r="K282" s="525">
        <v>0.08</v>
      </c>
      <c r="L282" s="525">
        <v>0.1</v>
      </c>
      <c r="M282" s="525">
        <v>0.02</v>
      </c>
      <c r="N282" s="525">
        <v>0.04</v>
      </c>
      <c r="O282" s="525"/>
      <c r="P282" s="566"/>
      <c r="Q282" s="490" t="s">
        <v>2314</v>
      </c>
      <c r="R282" s="700" t="s">
        <v>2312</v>
      </c>
      <c r="S282" s="556" t="s">
        <v>2313</v>
      </c>
      <c r="T282" s="521" t="s">
        <v>1439</v>
      </c>
      <c r="U282" s="522">
        <f>BK282/1100000</f>
        <v>0</v>
      </c>
      <c r="V282" s="523" t="s">
        <v>1440</v>
      </c>
      <c r="W282" s="524" t="e">
        <f>U282*0.75-(#REF!+W283)</f>
        <v>#REF!</v>
      </c>
      <c r="X282" s="299" t="s">
        <v>1443</v>
      </c>
      <c r="Y282" s="79" t="s">
        <v>1444</v>
      </c>
      <c r="Z282" s="260"/>
      <c r="AA282" s="260"/>
      <c r="AB282" s="80" t="s">
        <v>1439</v>
      </c>
      <c r="AC282" s="81">
        <v>185083418</v>
      </c>
      <c r="AD282" s="82" t="s">
        <v>1446</v>
      </c>
      <c r="AE282" s="83">
        <f>SUM(AF282:BB282)</f>
        <v>0</v>
      </c>
      <c r="AF282" s="91" t="s">
        <v>2307</v>
      </c>
      <c r="AG282" s="92"/>
      <c r="AH282" s="92" t="s">
        <v>2298</v>
      </c>
      <c r="AI282" s="92"/>
      <c r="AJ282" s="92" t="s">
        <v>2299</v>
      </c>
      <c r="AK282" s="92"/>
      <c r="AL282" s="92" t="s">
        <v>2255</v>
      </c>
      <c r="AM282" s="92"/>
      <c r="AN282" s="92"/>
      <c r="AO282" s="92"/>
      <c r="AP282" s="92"/>
      <c r="AQ282" s="92"/>
      <c r="AR282" s="92"/>
      <c r="AS282" s="92"/>
      <c r="AT282" s="92"/>
      <c r="AU282" s="92"/>
      <c r="AV282" s="92"/>
      <c r="AW282" s="92"/>
      <c r="AX282" s="92"/>
      <c r="AY282" s="92"/>
      <c r="AZ282" s="92"/>
      <c r="BA282" s="92"/>
      <c r="BB282" s="92"/>
    </row>
    <row r="283" spans="1:61" s="78" customFormat="1" ht="22.5" customHeight="1" thickBot="1">
      <c r="A283" s="495"/>
      <c r="B283" s="558"/>
      <c r="C283" s="559"/>
      <c r="D283" s="560" t="s">
        <v>2315</v>
      </c>
      <c r="E283" s="560" t="s">
        <v>2315</v>
      </c>
      <c r="F283" s="818" t="s">
        <v>2316</v>
      </c>
      <c r="G283" s="818" t="s">
        <v>2317</v>
      </c>
      <c r="H283" s="818" t="s">
        <v>2318</v>
      </c>
      <c r="I283" s="818" t="s">
        <v>2318</v>
      </c>
      <c r="J283" s="818" t="s">
        <v>2318</v>
      </c>
      <c r="K283" s="818" t="s">
        <v>2319</v>
      </c>
      <c r="L283" s="780" t="s">
        <v>2320</v>
      </c>
      <c r="M283" s="780" t="s">
        <v>2310</v>
      </c>
      <c r="N283" s="780" t="s">
        <v>2310</v>
      </c>
      <c r="O283" s="560" t="s">
        <v>2321</v>
      </c>
      <c r="P283" s="602"/>
      <c r="Q283" s="495"/>
      <c r="R283" s="784"/>
      <c r="S283" s="531" t="s">
        <v>1422</v>
      </c>
      <c r="T283" s="526" t="s">
        <v>1423</v>
      </c>
      <c r="U283" s="527" t="e">
        <f>U282-#REF!</f>
        <v>#REF!</v>
      </c>
      <c r="V283" s="532" t="s">
        <v>1424</v>
      </c>
      <c r="W283" s="529" t="e">
        <f>(#REF!+BM283)/1100000</f>
        <v>#REF!</v>
      </c>
      <c r="X283" s="85"/>
      <c r="Y283" s="69"/>
      <c r="Z283" s="261"/>
      <c r="AA283" s="261"/>
      <c r="AB283" s="80" t="s">
        <v>1423</v>
      </c>
      <c r="AC283" s="81" t="e">
        <f>AC282-#REF!</f>
        <v>#REF!</v>
      </c>
      <c r="AD283" s="82" t="s">
        <v>1434</v>
      </c>
      <c r="AE283" s="83"/>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68"/>
      <c r="BD283" s="68"/>
      <c r="BE283" s="68"/>
      <c r="BF283" s="68"/>
      <c r="BG283" s="68"/>
      <c r="BH283" s="68"/>
      <c r="BI283" s="68"/>
    </row>
    <row r="284" spans="1:61" s="78" customFormat="1" ht="22.5" customHeight="1" thickBot="1">
      <c r="A284" s="490" t="s">
        <v>2322</v>
      </c>
      <c r="B284" s="819">
        <v>0.5</v>
      </c>
      <c r="C284" s="555">
        <f>B284+D284+E284+F284+G284+H284+I284+J284+K284+L284+M284+N284+O284</f>
        <v>1</v>
      </c>
      <c r="D284" s="525">
        <v>0.45</v>
      </c>
      <c r="E284" s="525">
        <v>0.05</v>
      </c>
      <c r="F284" s="525"/>
      <c r="G284" s="525"/>
      <c r="H284" s="525"/>
      <c r="I284" s="525"/>
      <c r="J284" s="525"/>
      <c r="K284" s="525"/>
      <c r="L284" s="525"/>
      <c r="M284" s="525"/>
      <c r="N284" s="525"/>
      <c r="O284" s="525"/>
      <c r="P284" s="566" t="s">
        <v>2325</v>
      </c>
      <c r="Q284" s="490" t="s">
        <v>2326</v>
      </c>
      <c r="R284" s="700" t="s">
        <v>2323</v>
      </c>
      <c r="S284" s="556" t="s">
        <v>2324</v>
      </c>
      <c r="T284" s="521" t="s">
        <v>1439</v>
      </c>
      <c r="U284" s="522">
        <f>BK284/1100000</f>
        <v>0</v>
      </c>
      <c r="V284" s="523" t="s">
        <v>1440</v>
      </c>
      <c r="W284" s="524" t="e">
        <f>U284*0.75-(#REF!+W285)</f>
        <v>#REF!</v>
      </c>
      <c r="X284" s="299" t="s">
        <v>1443</v>
      </c>
      <c r="Y284" s="79" t="s">
        <v>1444</v>
      </c>
      <c r="Z284" s="260"/>
      <c r="AA284" s="260"/>
      <c r="AB284" s="80" t="s">
        <v>1439</v>
      </c>
      <c r="AC284" s="81">
        <v>523600000</v>
      </c>
      <c r="AD284" s="82" t="s">
        <v>1446</v>
      </c>
      <c r="AE284" s="83">
        <f>SUM(AF284:BB284)</f>
        <v>0</v>
      </c>
      <c r="AF284" s="91" t="s">
        <v>2307</v>
      </c>
      <c r="AG284" s="92"/>
      <c r="AH284" s="92" t="s">
        <v>2298</v>
      </c>
      <c r="AI284" s="92"/>
      <c r="AJ284" s="92" t="s">
        <v>2299</v>
      </c>
      <c r="AK284" s="92"/>
      <c r="AL284" s="92" t="s">
        <v>2255</v>
      </c>
      <c r="AM284" s="92"/>
      <c r="AN284" s="92"/>
      <c r="AO284" s="92"/>
      <c r="AP284" s="92"/>
      <c r="AQ284" s="92"/>
      <c r="AR284" s="92"/>
      <c r="AS284" s="92"/>
      <c r="AT284" s="92"/>
      <c r="AU284" s="92"/>
      <c r="AV284" s="92"/>
      <c r="AW284" s="92"/>
      <c r="AX284" s="92"/>
      <c r="AY284" s="92"/>
      <c r="AZ284" s="92"/>
      <c r="BA284" s="92"/>
      <c r="BB284" s="92"/>
    </row>
    <row r="285" spans="1:61" s="78" customFormat="1" ht="22.5" customHeight="1" thickBot="1">
      <c r="A285" s="495"/>
      <c r="B285" s="820"/>
      <c r="C285" s="559"/>
      <c r="D285" s="780" t="s">
        <v>2327</v>
      </c>
      <c r="E285" s="780" t="s">
        <v>2327</v>
      </c>
      <c r="F285" s="818"/>
      <c r="G285" s="818"/>
      <c r="H285" s="818"/>
      <c r="I285" s="818"/>
      <c r="J285" s="818"/>
      <c r="K285" s="818"/>
      <c r="L285" s="780"/>
      <c r="M285" s="780"/>
      <c r="N285" s="780"/>
      <c r="O285" s="780" t="s">
        <v>2328</v>
      </c>
      <c r="P285" s="602"/>
      <c r="Q285" s="495"/>
      <c r="R285" s="784"/>
      <c r="S285" s="531" t="s">
        <v>1422</v>
      </c>
      <c r="T285" s="526" t="s">
        <v>1423</v>
      </c>
      <c r="U285" s="527" t="e">
        <f>U284-#REF!</f>
        <v>#REF!</v>
      </c>
      <c r="V285" s="532" t="s">
        <v>1424</v>
      </c>
      <c r="W285" s="529" t="e">
        <f>(#REF!+BM285)/1100000</f>
        <v>#REF!</v>
      </c>
      <c r="X285" s="85"/>
      <c r="Y285" s="69"/>
      <c r="Z285" s="261"/>
      <c r="AA285" s="261"/>
      <c r="AB285" s="80" t="s">
        <v>1423</v>
      </c>
      <c r="AC285" s="81" t="e">
        <f>AC284-#REF!</f>
        <v>#REF!</v>
      </c>
      <c r="AD285" s="82" t="s">
        <v>1434</v>
      </c>
      <c r="AE285" s="83"/>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68"/>
      <c r="BD285" s="68"/>
      <c r="BE285" s="68"/>
      <c r="BF285" s="68"/>
      <c r="BG285" s="68"/>
      <c r="BH285" s="68"/>
      <c r="BI285" s="68"/>
    </row>
    <row r="286" spans="1:61" s="78" customFormat="1" ht="22.5" customHeight="1" thickBot="1">
      <c r="A286" s="490" t="s">
        <v>2329</v>
      </c>
      <c r="B286" s="554">
        <v>0</v>
      </c>
      <c r="C286" s="555">
        <f>B286+D286+E286+F286+G286+H286+I286+J286+K286+L286+M286+N286+O286</f>
        <v>0</v>
      </c>
      <c r="D286" s="525"/>
      <c r="E286" s="525"/>
      <c r="F286" s="525"/>
      <c r="G286" s="525"/>
      <c r="H286" s="525"/>
      <c r="I286" s="525"/>
      <c r="J286" s="525"/>
      <c r="K286" s="525"/>
      <c r="L286" s="525"/>
      <c r="M286" s="525"/>
      <c r="N286" s="525"/>
      <c r="O286" s="525"/>
      <c r="P286" s="566" t="s">
        <v>2332</v>
      </c>
      <c r="Q286" s="490" t="s">
        <v>2333</v>
      </c>
      <c r="R286" s="700" t="s">
        <v>2330</v>
      </c>
      <c r="S286" s="556" t="s">
        <v>2331</v>
      </c>
      <c r="T286" s="521" t="s">
        <v>1439</v>
      </c>
      <c r="U286" s="522">
        <f>BK286/1100000</f>
        <v>0</v>
      </c>
      <c r="V286" s="523" t="s">
        <v>1440</v>
      </c>
      <c r="W286" s="524" t="e">
        <f>U286*0.75-(#REF!+W287)</f>
        <v>#REF!</v>
      </c>
      <c r="X286" s="299" t="s">
        <v>1443</v>
      </c>
      <c r="Y286" s="79" t="s">
        <v>1444</v>
      </c>
      <c r="Z286" s="260"/>
      <c r="AA286" s="260"/>
      <c r="AB286" s="80" t="s">
        <v>1439</v>
      </c>
      <c r="AC286" s="81">
        <v>89009000</v>
      </c>
      <c r="AD286" s="82" t="s">
        <v>1446</v>
      </c>
      <c r="AE286" s="83">
        <f>SUM(AF286:BB286)</f>
        <v>0</v>
      </c>
      <c r="AF286" s="91" t="s">
        <v>2307</v>
      </c>
      <c r="AG286" s="92"/>
      <c r="AH286" s="92" t="s">
        <v>2298</v>
      </c>
      <c r="AI286" s="92"/>
      <c r="AJ286" s="92" t="s">
        <v>2299</v>
      </c>
      <c r="AK286" s="92"/>
      <c r="AL286" s="92" t="s">
        <v>2255</v>
      </c>
      <c r="AM286" s="92"/>
      <c r="AN286" s="92"/>
      <c r="AO286" s="92"/>
      <c r="AP286" s="92"/>
      <c r="AQ286" s="92"/>
      <c r="AR286" s="92"/>
      <c r="AS286" s="92"/>
      <c r="AT286" s="92"/>
      <c r="AU286" s="92"/>
      <c r="AV286" s="92"/>
      <c r="AW286" s="92"/>
      <c r="AX286" s="92"/>
      <c r="AY286" s="92"/>
      <c r="AZ286" s="92"/>
      <c r="BA286" s="92"/>
      <c r="BB286" s="92"/>
    </row>
    <row r="287" spans="1:61" s="78" customFormat="1" ht="22.5" customHeight="1" thickBot="1">
      <c r="A287" s="495"/>
      <c r="B287" s="558"/>
      <c r="C287" s="559"/>
      <c r="D287" s="560" t="s">
        <v>2334</v>
      </c>
      <c r="E287" s="560" t="s">
        <v>2334</v>
      </c>
      <c r="F287" s="560" t="s">
        <v>2334</v>
      </c>
      <c r="G287" s="818" t="s">
        <v>2266</v>
      </c>
      <c r="H287" s="818" t="s">
        <v>2266</v>
      </c>
      <c r="I287" s="818" t="s">
        <v>2266</v>
      </c>
      <c r="J287" s="818" t="s">
        <v>2266</v>
      </c>
      <c r="K287" s="818" t="s">
        <v>2266</v>
      </c>
      <c r="L287" s="818" t="s">
        <v>2266</v>
      </c>
      <c r="M287" s="780"/>
      <c r="N287" s="780"/>
      <c r="O287" s="560" t="s">
        <v>2266</v>
      </c>
      <c r="P287" s="602"/>
      <c r="Q287" s="495"/>
      <c r="R287" s="784"/>
      <c r="S287" s="531" t="s">
        <v>1422</v>
      </c>
      <c r="T287" s="526" t="s">
        <v>1423</v>
      </c>
      <c r="U287" s="527" t="e">
        <f>U286-#REF!</f>
        <v>#REF!</v>
      </c>
      <c r="V287" s="532" t="s">
        <v>1424</v>
      </c>
      <c r="W287" s="529" t="e">
        <f>(#REF!+BM287)/1100000</f>
        <v>#REF!</v>
      </c>
      <c r="X287" s="85"/>
      <c r="Y287" s="69"/>
      <c r="Z287" s="261"/>
      <c r="AA287" s="261"/>
      <c r="AB287" s="80" t="s">
        <v>1423</v>
      </c>
      <c r="AC287" s="81" t="e">
        <f>AC286-#REF!</f>
        <v>#REF!</v>
      </c>
      <c r="AD287" s="82" t="s">
        <v>1434</v>
      </c>
      <c r="AE287" s="83"/>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68"/>
      <c r="BD287" s="68"/>
      <c r="BE287" s="68"/>
      <c r="BF287" s="68"/>
      <c r="BG287" s="68"/>
      <c r="BH287" s="68"/>
      <c r="BI287" s="68"/>
    </row>
    <row r="288" spans="1:61" s="78" customFormat="1" ht="22.5" customHeight="1" thickBot="1">
      <c r="A288" s="563" t="s">
        <v>2335</v>
      </c>
      <c r="B288" s="554">
        <v>0</v>
      </c>
      <c r="C288" s="555">
        <f>B288+D288+E288+F288+G288+H288+I288+J288+K288+L288+M288+N288+O288</f>
        <v>0</v>
      </c>
      <c r="D288" s="525"/>
      <c r="E288" s="525"/>
      <c r="F288" s="525"/>
      <c r="G288" s="525"/>
      <c r="H288" s="525"/>
      <c r="I288" s="525"/>
      <c r="J288" s="525"/>
      <c r="K288" s="525"/>
      <c r="L288" s="525"/>
      <c r="M288" s="525"/>
      <c r="N288" s="525"/>
      <c r="O288" s="525"/>
      <c r="P288" s="566"/>
      <c r="Q288" s="490" t="s">
        <v>2338</v>
      </c>
      <c r="R288" s="700" t="s">
        <v>2336</v>
      </c>
      <c r="S288" s="556" t="s">
        <v>2337</v>
      </c>
      <c r="T288" s="521" t="s">
        <v>1439</v>
      </c>
      <c r="U288" s="522">
        <f>BK288/1100000</f>
        <v>0</v>
      </c>
      <c r="V288" s="523" t="s">
        <v>1440</v>
      </c>
      <c r="W288" s="524" t="e">
        <f>U288*0.75-(#REF!+W289)</f>
        <v>#REF!</v>
      </c>
      <c r="X288" s="299" t="s">
        <v>1443</v>
      </c>
      <c r="Y288" s="79" t="s">
        <v>1444</v>
      </c>
      <c r="Z288" s="260"/>
      <c r="AA288" s="260"/>
      <c r="AB288" s="80" t="s">
        <v>1439</v>
      </c>
      <c r="AC288" s="81">
        <v>20190000</v>
      </c>
      <c r="AD288" s="82" t="s">
        <v>1446</v>
      </c>
      <c r="AE288" s="83">
        <f>SUM(AF288:BB288)</f>
        <v>0</v>
      </c>
      <c r="AF288" s="91" t="s">
        <v>2307</v>
      </c>
      <c r="AG288" s="92"/>
      <c r="AH288" s="92" t="s">
        <v>2298</v>
      </c>
      <c r="AI288" s="92"/>
      <c r="AJ288" s="92" t="s">
        <v>2299</v>
      </c>
      <c r="AK288" s="92"/>
      <c r="AL288" s="92" t="s">
        <v>2255</v>
      </c>
      <c r="AM288" s="92"/>
      <c r="AN288" s="92"/>
      <c r="AO288" s="92"/>
      <c r="AP288" s="92"/>
      <c r="AQ288" s="92"/>
      <c r="AR288" s="92"/>
      <c r="AS288" s="92"/>
      <c r="AT288" s="92"/>
      <c r="AU288" s="92"/>
      <c r="AV288" s="92"/>
      <c r="AW288" s="92"/>
      <c r="AX288" s="92"/>
      <c r="AY288" s="92"/>
      <c r="AZ288" s="92"/>
      <c r="BA288" s="92"/>
      <c r="BB288" s="92"/>
    </row>
    <row r="289" spans="1:61" s="78" customFormat="1" ht="22.5" customHeight="1" thickBot="1">
      <c r="A289" s="564"/>
      <c r="B289" s="558"/>
      <c r="C289" s="559"/>
      <c r="D289" s="560" t="s">
        <v>2334</v>
      </c>
      <c r="E289" s="560" t="s">
        <v>2334</v>
      </c>
      <c r="F289" s="560" t="s">
        <v>2334</v>
      </c>
      <c r="G289" s="818" t="s">
        <v>2266</v>
      </c>
      <c r="H289" s="818" t="s">
        <v>2266</v>
      </c>
      <c r="I289" s="818" t="s">
        <v>2266</v>
      </c>
      <c r="J289" s="818" t="s">
        <v>2266</v>
      </c>
      <c r="K289" s="818" t="s">
        <v>2266</v>
      </c>
      <c r="L289" s="818" t="s">
        <v>2266</v>
      </c>
      <c r="M289" s="780"/>
      <c r="N289" s="780"/>
      <c r="O289" s="560" t="s">
        <v>2266</v>
      </c>
      <c r="P289" s="602"/>
      <c r="Q289" s="495"/>
      <c r="R289" s="784"/>
      <c r="S289" s="531" t="s">
        <v>1422</v>
      </c>
      <c r="T289" s="526" t="s">
        <v>1423</v>
      </c>
      <c r="U289" s="527" t="e">
        <f>U288-#REF!</f>
        <v>#REF!</v>
      </c>
      <c r="V289" s="532" t="s">
        <v>1424</v>
      </c>
      <c r="W289" s="529" t="e">
        <f>(#REF!+BM289)/1100000</f>
        <v>#REF!</v>
      </c>
      <c r="X289" s="85"/>
      <c r="Y289" s="69"/>
      <c r="Z289" s="261"/>
      <c r="AA289" s="261"/>
      <c r="AB289" s="80" t="s">
        <v>1423</v>
      </c>
      <c r="AC289" s="81" t="e">
        <f>AC288-#REF!</f>
        <v>#REF!</v>
      </c>
      <c r="AD289" s="82" t="s">
        <v>1434</v>
      </c>
      <c r="AE289" s="83"/>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68"/>
      <c r="BD289" s="68"/>
      <c r="BE289" s="68"/>
      <c r="BF289" s="68"/>
      <c r="BG289" s="68"/>
      <c r="BH289" s="68"/>
      <c r="BI289" s="68"/>
    </row>
    <row r="290" spans="1:61" s="741" customFormat="1" ht="22.5" customHeight="1" thickBot="1">
      <c r="A290" s="490" t="s">
        <v>2505</v>
      </c>
      <c r="B290" s="824">
        <v>0.97</v>
      </c>
      <c r="C290" s="825">
        <f>B290+D290+E290+F290+G290+H290+I290+J290+K290+L290+M290+N290+O290</f>
        <v>0.97399999999999998</v>
      </c>
      <c r="D290" s="826"/>
      <c r="E290" s="826"/>
      <c r="F290" s="826"/>
      <c r="G290" s="826"/>
      <c r="H290" s="826"/>
      <c r="I290" s="826"/>
      <c r="J290" s="826"/>
      <c r="K290" s="826"/>
      <c r="L290" s="826"/>
      <c r="M290" s="826">
        <v>2E-3</v>
      </c>
      <c r="N290" s="826">
        <v>2E-3</v>
      </c>
      <c r="O290" s="826"/>
      <c r="P290" s="827" t="s">
        <v>2506</v>
      </c>
      <c r="Q290" s="537" t="s">
        <v>2507</v>
      </c>
      <c r="R290" s="553" t="s">
        <v>2508</v>
      </c>
      <c r="S290" s="828" t="s">
        <v>2509</v>
      </c>
      <c r="T290" s="521" t="s">
        <v>814</v>
      </c>
      <c r="U290" s="522">
        <f>BK290/1100000</f>
        <v>0</v>
      </c>
      <c r="V290" s="523" t="s">
        <v>832</v>
      </c>
      <c r="W290" s="524" t="e">
        <f>U290*0.8-(#REF!+W291)</f>
        <v>#REF!</v>
      </c>
      <c r="X290" s="299" t="s">
        <v>812</v>
      </c>
      <c r="Y290" s="547" t="s">
        <v>813</v>
      </c>
      <c r="Z290" s="829" t="s">
        <v>2511</v>
      </c>
      <c r="AA290" s="829"/>
      <c r="AB290" s="735" t="s">
        <v>814</v>
      </c>
      <c r="AC290" s="794">
        <v>8089000000</v>
      </c>
      <c r="AD290" s="749" t="s">
        <v>35</v>
      </c>
      <c r="AE290" s="738">
        <f>SUM(AF290:AS290)</f>
        <v>162983484</v>
      </c>
      <c r="AF290" s="830" t="s">
        <v>1078</v>
      </c>
      <c r="AG290" s="831">
        <v>54327828</v>
      </c>
      <c r="AH290" s="832" t="s">
        <v>1079</v>
      </c>
      <c r="AI290" s="740">
        <f>AG290</f>
        <v>54327828</v>
      </c>
      <c r="AJ290" s="832" t="s">
        <v>2512</v>
      </c>
      <c r="AK290" s="740">
        <f>AG290</f>
        <v>54327828</v>
      </c>
      <c r="AL290" s="832" t="s">
        <v>796</v>
      </c>
      <c r="AM290" s="740"/>
      <c r="AN290" s="832" t="s">
        <v>1081</v>
      </c>
      <c r="AO290" s="740"/>
      <c r="AP290" s="832"/>
      <c r="AQ290" s="740"/>
      <c r="AR290" s="832"/>
      <c r="AS290" s="740"/>
    </row>
    <row r="291" spans="1:61" s="741" customFormat="1" ht="22.5" customHeight="1" thickBot="1">
      <c r="A291" s="495"/>
      <c r="B291" s="833"/>
      <c r="C291" s="834"/>
      <c r="D291" s="560"/>
      <c r="E291" s="560"/>
      <c r="F291" s="560"/>
      <c r="G291" s="560"/>
      <c r="H291" s="560"/>
      <c r="I291" s="560"/>
      <c r="J291" s="560"/>
      <c r="K291" s="560"/>
      <c r="L291" s="560" t="s">
        <v>2513</v>
      </c>
      <c r="M291" s="560" t="s">
        <v>2514</v>
      </c>
      <c r="N291" s="560" t="s">
        <v>2514</v>
      </c>
      <c r="O291" s="560"/>
      <c r="P291" s="835"/>
      <c r="Q291" s="531"/>
      <c r="R291" s="557"/>
      <c r="S291" s="836" t="s">
        <v>2515</v>
      </c>
      <c r="T291" s="526" t="s">
        <v>817</v>
      </c>
      <c r="U291" s="527" t="e">
        <f>U290-#REF!</f>
        <v>#REF!</v>
      </c>
      <c r="V291" s="532" t="s">
        <v>818</v>
      </c>
      <c r="W291" s="529" t="e">
        <f>(#REF!+BM291)/1100000</f>
        <v>#REF!</v>
      </c>
      <c r="X291" s="89"/>
      <c r="Y291" s="73"/>
      <c r="Z291" s="837"/>
      <c r="AA291" s="837"/>
      <c r="AB291" s="735" t="s">
        <v>817</v>
      </c>
      <c r="AC291" s="744" t="e">
        <f>AC290-#REF!</f>
        <v>#REF!</v>
      </c>
      <c r="AD291" s="749" t="s">
        <v>824</v>
      </c>
      <c r="AE291" s="738"/>
      <c r="AF291" s="763"/>
      <c r="AG291" s="747"/>
      <c r="AH291" s="763"/>
      <c r="AI291" s="747"/>
      <c r="AJ291" s="763"/>
      <c r="AK291" s="747"/>
      <c r="AL291" s="763"/>
      <c r="AM291" s="747"/>
      <c r="AN291" s="763"/>
      <c r="AO291" s="747"/>
      <c r="AP291" s="763"/>
      <c r="AQ291" s="747"/>
      <c r="AR291" s="763"/>
      <c r="AS291" s="747"/>
      <c r="AT291" s="745"/>
      <c r="AU291" s="745"/>
      <c r="AV291" s="745"/>
      <c r="AW291" s="745"/>
      <c r="AX291" s="745"/>
      <c r="AY291" s="745"/>
    </row>
    <row r="292" spans="1:61" s="741" customFormat="1" ht="22.5" customHeight="1" thickBot="1">
      <c r="A292" s="490" t="s">
        <v>3058</v>
      </c>
      <c r="B292" s="824">
        <v>1</v>
      </c>
      <c r="C292" s="825">
        <f>B292+D292+E292+F292+G292+H292+I292+J292+K292+L292+M292+N292+O292</f>
        <v>1</v>
      </c>
      <c r="D292" s="826"/>
      <c r="E292" s="826"/>
      <c r="F292" s="826"/>
      <c r="G292" s="826"/>
      <c r="H292" s="826"/>
      <c r="I292" s="826"/>
      <c r="J292" s="826"/>
      <c r="K292" s="826"/>
      <c r="L292" s="826"/>
      <c r="M292" s="826"/>
      <c r="N292" s="826"/>
      <c r="O292" s="826"/>
      <c r="P292" s="838"/>
      <c r="Q292" s="537" t="s">
        <v>2516</v>
      </c>
      <c r="R292" s="553" t="s">
        <v>2517</v>
      </c>
      <c r="S292" s="828" t="s">
        <v>2518</v>
      </c>
      <c r="T292" s="521" t="s">
        <v>814</v>
      </c>
      <c r="U292" s="522">
        <f t="shared" ref="U292" si="8">BK292/1100000</f>
        <v>0</v>
      </c>
      <c r="V292" s="523" t="s">
        <v>832</v>
      </c>
      <c r="W292" s="524" t="e">
        <f>U292*0.8-(#REF!+W293)</f>
        <v>#REF!</v>
      </c>
      <c r="X292" s="299" t="s">
        <v>812</v>
      </c>
      <c r="Y292" s="547" t="s">
        <v>813</v>
      </c>
      <c r="Z292" s="829" t="s">
        <v>2519</v>
      </c>
      <c r="AA292" s="829"/>
      <c r="AB292" s="735" t="s">
        <v>814</v>
      </c>
      <c r="AC292" s="794">
        <v>8915000000</v>
      </c>
      <c r="AD292" s="749" t="s">
        <v>35</v>
      </c>
      <c r="AE292" s="738">
        <f>SUM(AF292:AS292)</f>
        <v>211499826</v>
      </c>
      <c r="AF292" s="830" t="s">
        <v>1078</v>
      </c>
      <c r="AG292" s="831">
        <v>70499942</v>
      </c>
      <c r="AH292" s="832" t="s">
        <v>1079</v>
      </c>
      <c r="AI292" s="740">
        <f>AG292</f>
        <v>70499942</v>
      </c>
      <c r="AJ292" s="832" t="s">
        <v>2512</v>
      </c>
      <c r="AK292" s="740">
        <f>AG292</f>
        <v>70499942</v>
      </c>
      <c r="AL292" s="832" t="s">
        <v>55</v>
      </c>
      <c r="AM292" s="740"/>
      <c r="AN292" s="832" t="s">
        <v>52</v>
      </c>
      <c r="AO292" s="740"/>
      <c r="AP292" s="832"/>
      <c r="AQ292" s="740"/>
      <c r="AR292" s="832"/>
      <c r="AS292" s="740"/>
    </row>
    <row r="293" spans="1:61" s="741" customFormat="1" ht="22.5" customHeight="1" thickBot="1">
      <c r="A293" s="495"/>
      <c r="B293" s="833"/>
      <c r="C293" s="834"/>
      <c r="D293" s="560"/>
      <c r="E293" s="560"/>
      <c r="F293" s="560"/>
      <c r="G293" s="560"/>
      <c r="H293" s="560"/>
      <c r="I293" s="841"/>
      <c r="J293" s="560"/>
      <c r="K293" s="560"/>
      <c r="L293" s="560"/>
      <c r="M293" s="560"/>
      <c r="N293" s="560"/>
      <c r="O293" s="560"/>
      <c r="P293" s="842"/>
      <c r="Q293" s="531"/>
      <c r="R293" s="557"/>
      <c r="S293" s="843" t="s">
        <v>67</v>
      </c>
      <c r="T293" s="526" t="s">
        <v>196</v>
      </c>
      <c r="U293" s="527" t="e">
        <f>U292-#REF!</f>
        <v>#REF!</v>
      </c>
      <c r="V293" s="532" t="s">
        <v>15</v>
      </c>
      <c r="W293" s="529" t="e">
        <f>(#REF!+BM293)/1100000</f>
        <v>#REF!</v>
      </c>
      <c r="X293" s="89"/>
      <c r="Y293" s="73"/>
      <c r="Z293" s="837"/>
      <c r="AA293" s="837"/>
      <c r="AB293" s="735" t="s">
        <v>196</v>
      </c>
      <c r="AC293" s="744" t="e">
        <f>AC292-#REF!</f>
        <v>#REF!</v>
      </c>
      <c r="AD293" s="749" t="s">
        <v>100</v>
      </c>
      <c r="AE293" s="738"/>
      <c r="AF293" s="763"/>
      <c r="AG293" s="747"/>
      <c r="AH293" s="763"/>
      <c r="AI293" s="747"/>
      <c r="AJ293" s="763"/>
      <c r="AK293" s="747"/>
      <c r="AL293" s="763"/>
      <c r="AM293" s="747"/>
      <c r="AN293" s="763"/>
      <c r="AO293" s="747"/>
      <c r="AP293" s="763"/>
      <c r="AQ293" s="747"/>
      <c r="AR293" s="763"/>
      <c r="AS293" s="747"/>
      <c r="AT293" s="745"/>
      <c r="AU293" s="745"/>
      <c r="AV293" s="745"/>
      <c r="AW293" s="745"/>
      <c r="AX293" s="745"/>
      <c r="AY293" s="745"/>
    </row>
    <row r="294" spans="1:61" s="741" customFormat="1" ht="22.5" customHeight="1" thickBot="1">
      <c r="A294" s="490" t="s">
        <v>3059</v>
      </c>
      <c r="B294" s="824">
        <v>1</v>
      </c>
      <c r="C294" s="849">
        <f>B294+D294+E294+F294+G294+H294+I294+J294+K294+L294+M294+N294+O294</f>
        <v>1</v>
      </c>
      <c r="D294" s="826"/>
      <c r="E294" s="826"/>
      <c r="F294" s="826"/>
      <c r="G294" s="826"/>
      <c r="H294" s="826"/>
      <c r="I294" s="826"/>
      <c r="J294" s="826"/>
      <c r="K294" s="826"/>
      <c r="L294" s="826"/>
      <c r="M294" s="826"/>
      <c r="N294" s="826"/>
      <c r="O294" s="826"/>
      <c r="P294" s="827"/>
      <c r="Q294" s="537" t="s">
        <v>2521</v>
      </c>
      <c r="R294" s="553" t="s">
        <v>2522</v>
      </c>
      <c r="S294" s="828" t="s">
        <v>2523</v>
      </c>
      <c r="T294" s="521" t="s">
        <v>89</v>
      </c>
      <c r="U294" s="522">
        <f t="shared" ref="U294" si="9">BK294/1100000</f>
        <v>0</v>
      </c>
      <c r="V294" s="523" t="s">
        <v>7</v>
      </c>
      <c r="W294" s="524" t="e">
        <f>U294*0.8-(#REF!+W295)</f>
        <v>#REF!</v>
      </c>
      <c r="X294" s="299" t="s">
        <v>90</v>
      </c>
      <c r="Y294" s="547" t="s">
        <v>34</v>
      </c>
      <c r="Z294" s="829" t="s">
        <v>2524</v>
      </c>
      <c r="AA294" s="829"/>
      <c r="AB294" s="735" t="s">
        <v>89</v>
      </c>
      <c r="AC294" s="794">
        <v>138807200</v>
      </c>
      <c r="AD294" s="749" t="s">
        <v>98</v>
      </c>
      <c r="AE294" s="738">
        <f>SUM(AF294:AS294)</f>
        <v>0</v>
      </c>
      <c r="AF294" s="830" t="s">
        <v>1104</v>
      </c>
      <c r="AG294" s="740"/>
      <c r="AH294" s="832" t="s">
        <v>1105</v>
      </c>
      <c r="AI294" s="740">
        <f>AG294</f>
        <v>0</v>
      </c>
      <c r="AJ294" s="832" t="s">
        <v>2512</v>
      </c>
      <c r="AK294" s="740">
        <f>AG294</f>
        <v>0</v>
      </c>
      <c r="AL294" s="832" t="s">
        <v>55</v>
      </c>
      <c r="AM294" s="740"/>
      <c r="AN294" s="832" t="s">
        <v>52</v>
      </c>
      <c r="AO294" s="740"/>
      <c r="AP294" s="832"/>
      <c r="AQ294" s="740"/>
      <c r="AR294" s="832"/>
      <c r="AS294" s="740"/>
    </row>
    <row r="295" spans="1:61" s="741" customFormat="1" ht="22.5" customHeight="1" thickBot="1">
      <c r="A295" s="495"/>
      <c r="B295" s="833"/>
      <c r="C295" s="850"/>
      <c r="D295" s="560"/>
      <c r="E295" s="560"/>
      <c r="F295" s="560"/>
      <c r="G295" s="560"/>
      <c r="H295" s="560"/>
      <c r="I295" s="560"/>
      <c r="J295" s="560"/>
      <c r="K295" s="560"/>
      <c r="L295" s="560"/>
      <c r="M295" s="560"/>
      <c r="N295" s="560"/>
      <c r="O295" s="560"/>
      <c r="P295" s="835"/>
      <c r="Q295" s="531"/>
      <c r="R295" s="557"/>
      <c r="S295" s="843" t="s">
        <v>67</v>
      </c>
      <c r="T295" s="526" t="s">
        <v>196</v>
      </c>
      <c r="U295" s="527" t="e">
        <f>U294-#REF!</f>
        <v>#REF!</v>
      </c>
      <c r="V295" s="532" t="s">
        <v>15</v>
      </c>
      <c r="W295" s="529" t="e">
        <f>(#REF!+BM295)/1100000</f>
        <v>#REF!</v>
      </c>
      <c r="X295" s="89"/>
      <c r="Y295" s="73"/>
      <c r="Z295" s="837"/>
      <c r="AA295" s="837"/>
      <c r="AB295" s="735" t="s">
        <v>196</v>
      </c>
      <c r="AC295" s="744" t="e">
        <f>AC294-#REF!</f>
        <v>#REF!</v>
      </c>
      <c r="AD295" s="749" t="s">
        <v>100</v>
      </c>
      <c r="AE295" s="738"/>
      <c r="AF295" s="763"/>
      <c r="AG295" s="747"/>
      <c r="AH295" s="763"/>
      <c r="AI295" s="747"/>
      <c r="AJ295" s="763"/>
      <c r="AK295" s="747"/>
      <c r="AL295" s="763"/>
      <c r="AM295" s="747"/>
      <c r="AN295" s="763"/>
      <c r="AO295" s="747"/>
      <c r="AP295" s="763"/>
      <c r="AQ295" s="747"/>
      <c r="AR295" s="763"/>
      <c r="AS295" s="747"/>
      <c r="AT295" s="745"/>
      <c r="AU295" s="745"/>
      <c r="AV295" s="745"/>
      <c r="AW295" s="745"/>
      <c r="AX295" s="745"/>
      <c r="AY295" s="745"/>
    </row>
    <row r="296" spans="1:61" s="741" customFormat="1" ht="22.5" customHeight="1" thickBot="1">
      <c r="A296" s="490" t="s">
        <v>3060</v>
      </c>
      <c r="B296" s="824">
        <v>1</v>
      </c>
      <c r="C296" s="825">
        <f>B296+D296+E296+F296+G296+H296+I296+J296+K296+L296+M296+N296+O296</f>
        <v>1</v>
      </c>
      <c r="D296" s="826"/>
      <c r="E296" s="826"/>
      <c r="F296" s="826"/>
      <c r="G296" s="826"/>
      <c r="H296" s="826"/>
      <c r="I296" s="826"/>
      <c r="J296" s="826"/>
      <c r="K296" s="826"/>
      <c r="L296" s="826"/>
      <c r="M296" s="826"/>
      <c r="N296" s="826"/>
      <c r="O296" s="826"/>
      <c r="P296" s="838"/>
      <c r="Q296" s="537" t="s">
        <v>2525</v>
      </c>
      <c r="R296" s="553" t="s">
        <v>2526</v>
      </c>
      <c r="S296" s="828" t="s">
        <v>2527</v>
      </c>
      <c r="T296" s="521" t="s">
        <v>89</v>
      </c>
      <c r="U296" s="522">
        <f t="shared" ref="U296" si="10">BK296/1100000</f>
        <v>0</v>
      </c>
      <c r="V296" s="523" t="s">
        <v>7</v>
      </c>
      <c r="W296" s="524" t="e">
        <f>U296*0.8-(#REF!+W297)</f>
        <v>#REF!</v>
      </c>
      <c r="X296" s="299" t="s">
        <v>90</v>
      </c>
      <c r="Y296" s="547" t="s">
        <v>34</v>
      </c>
      <c r="Z296" s="829" t="s">
        <v>2528</v>
      </c>
      <c r="AA296" s="829"/>
      <c r="AB296" s="735" t="s">
        <v>89</v>
      </c>
      <c r="AC296" s="794">
        <f>1517200000*0.3</f>
        <v>455160000</v>
      </c>
      <c r="AD296" s="749" t="s">
        <v>98</v>
      </c>
      <c r="AE296" s="738">
        <f>SUM(AF296:AS296)</f>
        <v>0</v>
      </c>
      <c r="AF296" s="830" t="s">
        <v>1104</v>
      </c>
      <c r="AG296" s="740"/>
      <c r="AH296" s="832" t="s">
        <v>1105</v>
      </c>
      <c r="AI296" s="740">
        <f>AG296</f>
        <v>0</v>
      </c>
      <c r="AJ296" s="832" t="s">
        <v>2512</v>
      </c>
      <c r="AK296" s="740">
        <f>AG296</f>
        <v>0</v>
      </c>
      <c r="AL296" s="832" t="s">
        <v>796</v>
      </c>
      <c r="AM296" s="740"/>
      <c r="AN296" s="832" t="s">
        <v>1081</v>
      </c>
      <c r="AO296" s="740"/>
      <c r="AP296" s="832"/>
      <c r="AQ296" s="740"/>
      <c r="AR296" s="832"/>
      <c r="AS296" s="740"/>
    </row>
    <row r="297" spans="1:61" s="741" customFormat="1" ht="22.5" customHeight="1" thickBot="1">
      <c r="A297" s="495"/>
      <c r="B297" s="833"/>
      <c r="C297" s="834"/>
      <c r="D297" s="560"/>
      <c r="E297" s="560"/>
      <c r="F297" s="560"/>
      <c r="G297" s="560"/>
      <c r="H297" s="560"/>
      <c r="I297" s="560"/>
      <c r="J297" s="560"/>
      <c r="K297" s="560"/>
      <c r="L297" s="560"/>
      <c r="M297" s="560"/>
      <c r="N297" s="560"/>
      <c r="O297" s="560"/>
      <c r="P297" s="842"/>
      <c r="Q297" s="531"/>
      <c r="R297" s="557"/>
      <c r="S297" s="843" t="s">
        <v>816</v>
      </c>
      <c r="T297" s="526" t="s">
        <v>817</v>
      </c>
      <c r="U297" s="527" t="e">
        <f>U296-#REF!</f>
        <v>#REF!</v>
      </c>
      <c r="V297" s="532" t="s">
        <v>818</v>
      </c>
      <c r="W297" s="529" t="e">
        <f>(#REF!+BM297)/1100000</f>
        <v>#REF!</v>
      </c>
      <c r="X297" s="89"/>
      <c r="Y297" s="73"/>
      <c r="Z297" s="837"/>
      <c r="AA297" s="837"/>
      <c r="AB297" s="735" t="s">
        <v>817</v>
      </c>
      <c r="AC297" s="744" t="e">
        <f>AC296-#REF!</f>
        <v>#REF!</v>
      </c>
      <c r="AD297" s="749" t="s">
        <v>824</v>
      </c>
      <c r="AE297" s="738"/>
      <c r="AF297" s="763"/>
      <c r="AG297" s="747"/>
      <c r="AH297" s="763"/>
      <c r="AI297" s="747"/>
      <c r="AJ297" s="763"/>
      <c r="AK297" s="747"/>
      <c r="AL297" s="763"/>
      <c r="AM297" s="747"/>
      <c r="AN297" s="763"/>
      <c r="AO297" s="747"/>
      <c r="AP297" s="763"/>
      <c r="AQ297" s="747"/>
      <c r="AR297" s="763"/>
      <c r="AS297" s="747"/>
      <c r="AT297" s="745"/>
      <c r="AU297" s="745"/>
      <c r="AV297" s="745"/>
      <c r="AW297" s="745"/>
      <c r="AX297" s="745"/>
      <c r="AY297" s="745"/>
    </row>
    <row r="298" spans="1:61" s="741" customFormat="1" ht="22.5" customHeight="1" thickBot="1">
      <c r="A298" s="490" t="s">
        <v>3061</v>
      </c>
      <c r="B298" s="824">
        <v>1</v>
      </c>
      <c r="C298" s="825">
        <f>B298+D298+E298+F298+G298+H298+I298+J298+K298+L298+M298+N298+O298</f>
        <v>1</v>
      </c>
      <c r="D298" s="826"/>
      <c r="E298" s="826"/>
      <c r="F298" s="826"/>
      <c r="G298" s="853"/>
      <c r="H298" s="826"/>
      <c r="I298" s="853"/>
      <c r="J298" s="826"/>
      <c r="K298" s="826"/>
      <c r="L298" s="826"/>
      <c r="M298" s="826"/>
      <c r="N298" s="826"/>
      <c r="O298" s="826"/>
      <c r="P298" s="838"/>
      <c r="Q298" s="537" t="s">
        <v>2532</v>
      </c>
      <c r="R298" s="553" t="s">
        <v>2533</v>
      </c>
      <c r="S298" s="828" t="s">
        <v>2534</v>
      </c>
      <c r="T298" s="521" t="s">
        <v>814</v>
      </c>
      <c r="U298" s="522">
        <f t="shared" ref="U298" si="11">BK298/1100000</f>
        <v>0</v>
      </c>
      <c r="V298" s="523" t="s">
        <v>832</v>
      </c>
      <c r="W298" s="524" t="e">
        <f>U298*0.8-(#REF!+W299)</f>
        <v>#REF!</v>
      </c>
      <c r="X298" s="299" t="s">
        <v>812</v>
      </c>
      <c r="Y298" s="547" t="s">
        <v>813</v>
      </c>
      <c r="Z298" s="829" t="s">
        <v>2535</v>
      </c>
      <c r="AA298" s="829"/>
      <c r="AB298" s="735" t="s">
        <v>814</v>
      </c>
      <c r="AC298" s="794">
        <f>2856000000*0.7</f>
        <v>1999199999.9999998</v>
      </c>
      <c r="AD298" s="749" t="s">
        <v>35</v>
      </c>
      <c r="AE298" s="738">
        <f>SUM(AF298:AS298)</f>
        <v>49057608</v>
      </c>
      <c r="AF298" s="830" t="s">
        <v>1078</v>
      </c>
      <c r="AG298" s="740">
        <v>16352536</v>
      </c>
      <c r="AH298" s="832" t="s">
        <v>1079</v>
      </c>
      <c r="AI298" s="740">
        <f>AG298</f>
        <v>16352536</v>
      </c>
      <c r="AJ298" s="832" t="s">
        <v>2512</v>
      </c>
      <c r="AK298" s="740">
        <f>AG298</f>
        <v>16352536</v>
      </c>
      <c r="AL298" s="832" t="s">
        <v>796</v>
      </c>
      <c r="AM298" s="740"/>
      <c r="AN298" s="832" t="s">
        <v>1081</v>
      </c>
      <c r="AO298" s="740"/>
      <c r="AP298" s="832"/>
      <c r="AQ298" s="740"/>
      <c r="AR298" s="832"/>
      <c r="AS298" s="740"/>
    </row>
    <row r="299" spans="1:61" s="741" customFormat="1" ht="22.5" customHeight="1" thickBot="1">
      <c r="A299" s="495"/>
      <c r="B299" s="833"/>
      <c r="C299" s="834"/>
      <c r="D299" s="560"/>
      <c r="E299" s="560"/>
      <c r="F299" s="854"/>
      <c r="G299" s="560"/>
      <c r="H299" s="560"/>
      <c r="I299" s="841"/>
      <c r="J299" s="560"/>
      <c r="K299" s="560"/>
      <c r="L299" s="560"/>
      <c r="M299" s="560"/>
      <c r="N299" s="560"/>
      <c r="O299" s="560"/>
      <c r="P299" s="842"/>
      <c r="Q299" s="531"/>
      <c r="R299" s="557"/>
      <c r="S299" s="843" t="s">
        <v>67</v>
      </c>
      <c r="T299" s="526" t="s">
        <v>196</v>
      </c>
      <c r="U299" s="527" t="e">
        <f>U298-#REF!</f>
        <v>#REF!</v>
      </c>
      <c r="V299" s="532" t="s">
        <v>15</v>
      </c>
      <c r="W299" s="529" t="e">
        <f>(#REF!+BM299)/1100000</f>
        <v>#REF!</v>
      </c>
      <c r="X299" s="89"/>
      <c r="Y299" s="73"/>
      <c r="Z299" s="837"/>
      <c r="AA299" s="837"/>
      <c r="AB299" s="735" t="s">
        <v>196</v>
      </c>
      <c r="AC299" s="744" t="e">
        <f>AC298-#REF!</f>
        <v>#REF!</v>
      </c>
      <c r="AD299" s="749" t="s">
        <v>100</v>
      </c>
      <c r="AE299" s="738"/>
      <c r="AF299" s="763"/>
      <c r="AG299" s="747"/>
      <c r="AH299" s="763"/>
      <c r="AI299" s="747"/>
      <c r="AJ299" s="763"/>
      <c r="AK299" s="747"/>
      <c r="AL299" s="763"/>
      <c r="AM299" s="747"/>
      <c r="AN299" s="763"/>
      <c r="AO299" s="747"/>
      <c r="AP299" s="763"/>
      <c r="AQ299" s="747"/>
      <c r="AR299" s="763"/>
      <c r="AS299" s="747"/>
      <c r="AT299" s="745"/>
      <c r="AU299" s="745"/>
      <c r="AV299" s="745"/>
      <c r="AW299" s="745"/>
      <c r="AX299" s="745"/>
      <c r="AY299" s="745"/>
    </row>
    <row r="300" spans="1:61" s="741" customFormat="1" ht="22.5" customHeight="1" thickBot="1">
      <c r="A300" s="490" t="s">
        <v>3063</v>
      </c>
      <c r="B300" s="824">
        <v>1</v>
      </c>
      <c r="C300" s="825">
        <f>B300+D300+E300+F300+G300+H300+I300+J300+K300+L300+M300+N300+O300</f>
        <v>1</v>
      </c>
      <c r="D300" s="826"/>
      <c r="E300" s="826"/>
      <c r="F300" s="826"/>
      <c r="G300" s="826"/>
      <c r="H300" s="826"/>
      <c r="I300" s="826"/>
      <c r="J300" s="826"/>
      <c r="K300" s="826"/>
      <c r="L300" s="826"/>
      <c r="M300" s="826"/>
      <c r="N300" s="826"/>
      <c r="O300" s="826"/>
      <c r="P300" s="838" t="s">
        <v>2538</v>
      </c>
      <c r="Q300" s="537" t="s">
        <v>2539</v>
      </c>
      <c r="R300" s="553" t="s">
        <v>2540</v>
      </c>
      <c r="S300" s="828" t="s">
        <v>2541</v>
      </c>
      <c r="T300" s="521" t="s">
        <v>814</v>
      </c>
      <c r="U300" s="522">
        <f t="shared" ref="U300" si="12">BK300/1100000</f>
        <v>0</v>
      </c>
      <c r="V300" s="523" t="s">
        <v>832</v>
      </c>
      <c r="W300" s="524" t="e">
        <f>U300*0.8-(#REF!+W301)</f>
        <v>#REF!</v>
      </c>
      <c r="X300" s="299" t="s">
        <v>812</v>
      </c>
      <c r="Y300" s="547" t="s">
        <v>813</v>
      </c>
      <c r="Z300" s="829" t="s">
        <v>2542</v>
      </c>
      <c r="AA300" s="829"/>
      <c r="AB300" s="735" t="s">
        <v>814</v>
      </c>
      <c r="AC300" s="794">
        <v>556870000</v>
      </c>
      <c r="AD300" s="749" t="s">
        <v>35</v>
      </c>
      <c r="AE300" s="738">
        <f>SUM(AF300:AS300)</f>
        <v>0</v>
      </c>
      <c r="AF300" s="830" t="s">
        <v>1078</v>
      </c>
      <c r="AG300" s="740"/>
      <c r="AH300" s="832" t="s">
        <v>1079</v>
      </c>
      <c r="AI300" s="740">
        <f>AG300</f>
        <v>0</v>
      </c>
      <c r="AJ300" s="832" t="s">
        <v>2543</v>
      </c>
      <c r="AK300" s="740">
        <f>AG300</f>
        <v>0</v>
      </c>
      <c r="AL300" s="832" t="s">
        <v>796</v>
      </c>
      <c r="AM300" s="740"/>
      <c r="AN300" s="832" t="s">
        <v>1081</v>
      </c>
      <c r="AO300" s="740"/>
      <c r="AP300" s="832"/>
      <c r="AQ300" s="740"/>
      <c r="AR300" s="832"/>
      <c r="AS300" s="740"/>
    </row>
    <row r="301" spans="1:61" s="741" customFormat="1" ht="22.5" customHeight="1" thickBot="1">
      <c r="A301" s="495"/>
      <c r="B301" s="833"/>
      <c r="C301" s="834"/>
      <c r="D301" s="560"/>
      <c r="E301" s="560"/>
      <c r="F301" s="560"/>
      <c r="G301" s="560"/>
      <c r="H301" s="560"/>
      <c r="I301" s="560"/>
      <c r="J301" s="560"/>
      <c r="K301" s="560"/>
      <c r="L301" s="560"/>
      <c r="M301" s="560"/>
      <c r="N301" s="560"/>
      <c r="O301" s="560"/>
      <c r="P301" s="842"/>
      <c r="Q301" s="531"/>
      <c r="R301" s="557"/>
      <c r="S301" s="843" t="s">
        <v>816</v>
      </c>
      <c r="T301" s="526" t="s">
        <v>817</v>
      </c>
      <c r="U301" s="527" t="e">
        <f>U300-#REF!</f>
        <v>#REF!</v>
      </c>
      <c r="V301" s="532" t="s">
        <v>818</v>
      </c>
      <c r="W301" s="529" t="e">
        <f>(#REF!+BM301)/1100000</f>
        <v>#REF!</v>
      </c>
      <c r="X301" s="89"/>
      <c r="Y301" s="73"/>
      <c r="Z301" s="837"/>
      <c r="AA301" s="837"/>
      <c r="AB301" s="735" t="s">
        <v>817</v>
      </c>
      <c r="AC301" s="744" t="e">
        <f>AC300-#REF!</f>
        <v>#REF!</v>
      </c>
      <c r="AD301" s="749" t="s">
        <v>824</v>
      </c>
      <c r="AE301" s="738"/>
      <c r="AF301" s="857"/>
      <c r="AG301" s="747"/>
      <c r="AH301" s="763"/>
      <c r="AI301" s="747"/>
      <c r="AJ301" s="763"/>
      <c r="AK301" s="747"/>
      <c r="AL301" s="763"/>
      <c r="AM301" s="747"/>
      <c r="AN301" s="763"/>
      <c r="AO301" s="747"/>
      <c r="AP301" s="763"/>
      <c r="AQ301" s="747"/>
      <c r="AR301" s="763"/>
      <c r="AS301" s="747"/>
      <c r="AT301" s="745"/>
      <c r="AU301" s="745"/>
      <c r="AV301" s="745"/>
      <c r="AW301" s="745"/>
      <c r="AX301" s="745"/>
      <c r="AY301" s="745"/>
    </row>
    <row r="302" spans="1:61" s="741" customFormat="1" ht="22.5" customHeight="1" thickBot="1">
      <c r="A302" s="257" t="s">
        <v>3062</v>
      </c>
      <c r="B302" s="858">
        <v>1</v>
      </c>
      <c r="C302" s="859">
        <f>B302+D302+E302+F302+G302+H302+I302+J302+K302+L302+M302+N302+O302</f>
        <v>1</v>
      </c>
      <c r="D302" s="826"/>
      <c r="E302" s="826"/>
      <c r="F302" s="826"/>
      <c r="G302" s="826"/>
      <c r="H302" s="826"/>
      <c r="I302" s="826"/>
      <c r="J302" s="826"/>
      <c r="K302" s="826"/>
      <c r="L302" s="826"/>
      <c r="M302" s="826"/>
      <c r="N302" s="826"/>
      <c r="O302" s="826"/>
      <c r="P302" s="838" t="s">
        <v>2546</v>
      </c>
      <c r="Q302" s="537" t="s">
        <v>2547</v>
      </c>
      <c r="R302" s="860" t="s">
        <v>2548</v>
      </c>
      <c r="S302" s="828" t="s">
        <v>2549</v>
      </c>
      <c r="T302" s="521" t="s">
        <v>89</v>
      </c>
      <c r="U302" s="522">
        <f>BK302/1100000</f>
        <v>0</v>
      </c>
      <c r="V302" s="523" t="s">
        <v>7</v>
      </c>
      <c r="W302" s="524" t="e">
        <f>U302*0.8-(#REF!+W303)</f>
        <v>#REF!</v>
      </c>
      <c r="X302" s="299" t="s">
        <v>90</v>
      </c>
      <c r="Y302" s="547" t="s">
        <v>34</v>
      </c>
      <c r="Z302" s="829" t="s">
        <v>2550</v>
      </c>
      <c r="AA302" s="829"/>
      <c r="AB302" s="735" t="s">
        <v>89</v>
      </c>
      <c r="AC302" s="794">
        <v>570902400</v>
      </c>
      <c r="AD302" s="749" t="s">
        <v>98</v>
      </c>
      <c r="AE302" s="738">
        <f>SUM(AF302:AS302)</f>
        <v>0</v>
      </c>
      <c r="AF302" s="830" t="s">
        <v>1104</v>
      </c>
      <c r="AG302" s="740"/>
      <c r="AH302" s="832" t="s">
        <v>1105</v>
      </c>
      <c r="AI302" s="740">
        <f>AG302</f>
        <v>0</v>
      </c>
      <c r="AJ302" s="832" t="s">
        <v>2512</v>
      </c>
      <c r="AK302" s="740">
        <f>AG302</f>
        <v>0</v>
      </c>
      <c r="AL302" s="832" t="s">
        <v>55</v>
      </c>
      <c r="AM302" s="740"/>
      <c r="AN302" s="832" t="s">
        <v>52</v>
      </c>
      <c r="AO302" s="740"/>
      <c r="AP302" s="832"/>
      <c r="AQ302" s="740"/>
      <c r="AR302" s="832"/>
      <c r="AS302" s="740"/>
    </row>
    <row r="303" spans="1:61" s="741" customFormat="1" ht="22.5" customHeight="1" thickBot="1">
      <c r="A303" s="258"/>
      <c r="B303" s="861"/>
      <c r="C303" s="862"/>
      <c r="D303" s="560"/>
      <c r="E303" s="560"/>
      <c r="F303" s="560"/>
      <c r="G303" s="560"/>
      <c r="H303" s="560"/>
      <c r="I303" s="560"/>
      <c r="J303" s="560"/>
      <c r="K303" s="560"/>
      <c r="L303" s="560"/>
      <c r="M303" s="560"/>
      <c r="N303" s="560"/>
      <c r="O303" s="560"/>
      <c r="P303" s="842"/>
      <c r="Q303" s="531"/>
      <c r="R303" s="863"/>
      <c r="S303" s="843" t="s">
        <v>67</v>
      </c>
      <c r="T303" s="526" t="s">
        <v>196</v>
      </c>
      <c r="U303" s="527" t="e">
        <f>U302-#REF!</f>
        <v>#REF!</v>
      </c>
      <c r="V303" s="532" t="s">
        <v>15</v>
      </c>
      <c r="W303" s="529" t="e">
        <f>(#REF!+BM303)/1100000</f>
        <v>#REF!</v>
      </c>
      <c r="X303" s="89"/>
      <c r="Y303" s="73"/>
      <c r="Z303" s="837"/>
      <c r="AA303" s="837"/>
      <c r="AB303" s="735" t="s">
        <v>196</v>
      </c>
      <c r="AC303" s="744" t="e">
        <f>AC302-#REF!</f>
        <v>#REF!</v>
      </c>
      <c r="AD303" s="749" t="s">
        <v>100</v>
      </c>
      <c r="AE303" s="738"/>
      <c r="AF303" s="763"/>
      <c r="AG303" s="747"/>
      <c r="AH303" s="763"/>
      <c r="AI303" s="747"/>
      <c r="AJ303" s="763"/>
      <c r="AK303" s="747"/>
      <c r="AL303" s="763"/>
      <c r="AM303" s="747"/>
      <c r="AN303" s="763"/>
      <c r="AO303" s="747"/>
      <c r="AP303" s="763"/>
      <c r="AQ303" s="747"/>
      <c r="AR303" s="763"/>
      <c r="AS303" s="747"/>
      <c r="AT303" s="745"/>
      <c r="AU303" s="745"/>
      <c r="AV303" s="745"/>
      <c r="AW303" s="745"/>
      <c r="AX303" s="745"/>
      <c r="AY303" s="745"/>
    </row>
    <row r="304" spans="1:61" s="741" customFormat="1" ht="22.5" customHeight="1" thickBot="1">
      <c r="A304" s="490" t="s">
        <v>3064</v>
      </c>
      <c r="B304" s="866">
        <v>1</v>
      </c>
      <c r="C304" s="825">
        <f>B304+D304+E304+F304+G304+H304+I304+J304+K304+L304+M304+N304+O304</f>
        <v>1</v>
      </c>
      <c r="D304" s="826"/>
      <c r="E304" s="826"/>
      <c r="F304" s="826"/>
      <c r="G304" s="826"/>
      <c r="H304" s="826"/>
      <c r="I304" s="826"/>
      <c r="J304" s="826"/>
      <c r="K304" s="826"/>
      <c r="L304" s="826"/>
      <c r="M304" s="826"/>
      <c r="N304" s="826"/>
      <c r="O304" s="826"/>
      <c r="P304" s="838"/>
      <c r="Q304" s="537" t="s">
        <v>2553</v>
      </c>
      <c r="R304" s="553" t="s">
        <v>2554</v>
      </c>
      <c r="S304" s="828" t="s">
        <v>2555</v>
      </c>
      <c r="T304" s="521" t="s">
        <v>814</v>
      </c>
      <c r="U304" s="522">
        <f t="shared" ref="U304" si="13">BK304/1100000</f>
        <v>0</v>
      </c>
      <c r="V304" s="523" t="s">
        <v>832</v>
      </c>
      <c r="W304" s="524" t="e">
        <f>U304*0.8-(#REF!+W305)</f>
        <v>#REF!</v>
      </c>
      <c r="X304" s="299" t="s">
        <v>812</v>
      </c>
      <c r="Y304" s="547" t="s">
        <v>813</v>
      </c>
      <c r="Z304" s="829" t="s">
        <v>2556</v>
      </c>
      <c r="AA304" s="829"/>
      <c r="AB304" s="735" t="s">
        <v>814</v>
      </c>
      <c r="AC304" s="794">
        <v>353708000</v>
      </c>
      <c r="AD304" s="749" t="s">
        <v>35</v>
      </c>
      <c r="AE304" s="738">
        <f>SUM(AF304:AS304)</f>
        <v>0</v>
      </c>
      <c r="AF304" s="830" t="s">
        <v>1078</v>
      </c>
      <c r="AG304" s="740"/>
      <c r="AH304" s="832" t="s">
        <v>1079</v>
      </c>
      <c r="AI304" s="740">
        <f>AG304</f>
        <v>0</v>
      </c>
      <c r="AJ304" s="832" t="s">
        <v>2543</v>
      </c>
      <c r="AK304" s="740">
        <f>AG304</f>
        <v>0</v>
      </c>
      <c r="AL304" s="832" t="s">
        <v>796</v>
      </c>
      <c r="AM304" s="740"/>
      <c r="AN304" s="832" t="s">
        <v>1081</v>
      </c>
      <c r="AO304" s="740"/>
      <c r="AP304" s="832"/>
      <c r="AQ304" s="740"/>
      <c r="AR304" s="832"/>
      <c r="AS304" s="740"/>
    </row>
    <row r="305" spans="1:51" s="741" customFormat="1" ht="22.5" customHeight="1" thickBot="1">
      <c r="A305" s="495"/>
      <c r="B305" s="867"/>
      <c r="C305" s="834"/>
      <c r="D305" s="560"/>
      <c r="E305" s="560"/>
      <c r="F305" s="560"/>
      <c r="G305" s="560"/>
      <c r="H305" s="560"/>
      <c r="I305" s="560"/>
      <c r="J305" s="560"/>
      <c r="K305" s="560"/>
      <c r="L305" s="560"/>
      <c r="M305" s="560"/>
      <c r="N305" s="560"/>
      <c r="O305" s="560"/>
      <c r="P305" s="842"/>
      <c r="Q305" s="531"/>
      <c r="R305" s="557"/>
      <c r="S305" s="843" t="s">
        <v>816</v>
      </c>
      <c r="T305" s="526" t="s">
        <v>817</v>
      </c>
      <c r="U305" s="527" t="e">
        <f>U304-#REF!</f>
        <v>#REF!</v>
      </c>
      <c r="V305" s="532" t="s">
        <v>818</v>
      </c>
      <c r="W305" s="529" t="e">
        <f>(#REF!+BM305)/1100000</f>
        <v>#REF!</v>
      </c>
      <c r="X305" s="89"/>
      <c r="Y305" s="73"/>
      <c r="Z305" s="837"/>
      <c r="AA305" s="837"/>
      <c r="AB305" s="735" t="s">
        <v>817</v>
      </c>
      <c r="AC305" s="744" t="e">
        <f>AC304-#REF!</f>
        <v>#REF!</v>
      </c>
      <c r="AD305" s="749" t="s">
        <v>824</v>
      </c>
      <c r="AE305" s="738"/>
      <c r="AF305" s="763"/>
      <c r="AG305" s="747"/>
      <c r="AH305" s="763"/>
      <c r="AI305" s="747"/>
      <c r="AJ305" s="763"/>
      <c r="AK305" s="747"/>
      <c r="AL305" s="763"/>
      <c r="AM305" s="747"/>
      <c r="AN305" s="763"/>
      <c r="AO305" s="747"/>
      <c r="AP305" s="763"/>
      <c r="AQ305" s="747"/>
      <c r="AR305" s="763"/>
      <c r="AS305" s="747"/>
      <c r="AT305" s="745"/>
      <c r="AU305" s="745"/>
      <c r="AV305" s="745"/>
      <c r="AW305" s="745"/>
      <c r="AX305" s="745"/>
      <c r="AY305" s="745"/>
    </row>
    <row r="306" spans="1:51" s="741" customFormat="1" ht="22.5" customHeight="1" thickBot="1">
      <c r="A306" s="490" t="s">
        <v>3065</v>
      </c>
      <c r="B306" s="858">
        <v>1</v>
      </c>
      <c r="C306" s="825">
        <f>B306+D306+E306+F306+G306+H306+I306+J306+K306+L306+M306+N306+O306</f>
        <v>1</v>
      </c>
      <c r="D306" s="826">
        <v>0</v>
      </c>
      <c r="E306" s="826">
        <v>0</v>
      </c>
      <c r="F306" s="826"/>
      <c r="G306" s="826"/>
      <c r="H306" s="826"/>
      <c r="I306" s="826"/>
      <c r="J306" s="853"/>
      <c r="K306" s="853"/>
      <c r="L306" s="826"/>
      <c r="M306" s="826"/>
      <c r="N306" s="853"/>
      <c r="O306" s="853"/>
      <c r="P306" s="869"/>
      <c r="Q306" s="537"/>
      <c r="R306" s="860" t="s">
        <v>2558</v>
      </c>
      <c r="S306" s="828" t="s">
        <v>2559</v>
      </c>
      <c r="T306" s="521" t="s">
        <v>89</v>
      </c>
      <c r="U306" s="522">
        <f t="shared" ref="U306" si="14">BK306/1100000</f>
        <v>0</v>
      </c>
      <c r="V306" s="523" t="s">
        <v>7</v>
      </c>
      <c r="W306" s="524" t="e">
        <f>U306*0.8-(#REF!+W307)</f>
        <v>#REF!</v>
      </c>
      <c r="X306" s="299" t="s">
        <v>90</v>
      </c>
      <c r="Y306" s="547" t="s">
        <v>34</v>
      </c>
      <c r="Z306" s="829"/>
      <c r="AA306" s="829"/>
      <c r="AB306" s="735" t="s">
        <v>89</v>
      </c>
      <c r="AC306" s="794">
        <v>391600000</v>
      </c>
      <c r="AD306" s="749" t="s">
        <v>98</v>
      </c>
      <c r="AE306" s="738">
        <f>SUM(AF306:AS306)</f>
        <v>0</v>
      </c>
      <c r="AF306" s="830" t="s">
        <v>1104</v>
      </c>
      <c r="AG306" s="740"/>
      <c r="AH306" s="832" t="s">
        <v>1105</v>
      </c>
      <c r="AI306" s="740"/>
      <c r="AJ306" s="832" t="s">
        <v>2543</v>
      </c>
      <c r="AK306" s="740"/>
      <c r="AL306" s="832" t="s">
        <v>55</v>
      </c>
      <c r="AM306" s="740"/>
      <c r="AN306" s="832" t="s">
        <v>52</v>
      </c>
      <c r="AO306" s="740"/>
      <c r="AP306" s="832"/>
      <c r="AQ306" s="740"/>
      <c r="AR306" s="832"/>
      <c r="AS306" s="740"/>
    </row>
    <row r="307" spans="1:51" s="741" customFormat="1" ht="22.5" customHeight="1" thickBot="1">
      <c r="A307" s="495"/>
      <c r="B307" s="861"/>
      <c r="C307" s="834"/>
      <c r="D307" s="560"/>
      <c r="E307" s="560"/>
      <c r="F307" s="560"/>
      <c r="G307" s="560"/>
      <c r="H307" s="560"/>
      <c r="I307" s="560"/>
      <c r="J307" s="841"/>
      <c r="K307" s="841"/>
      <c r="L307" s="560"/>
      <c r="M307" s="560"/>
      <c r="N307" s="560"/>
      <c r="O307" s="560"/>
      <c r="P307" s="870"/>
      <c r="Q307" s="531"/>
      <c r="R307" s="863"/>
      <c r="S307" s="843" t="s">
        <v>67</v>
      </c>
      <c r="T307" s="526" t="s">
        <v>196</v>
      </c>
      <c r="U307" s="527" t="e">
        <f>U306-#REF!</f>
        <v>#REF!</v>
      </c>
      <c r="V307" s="532" t="s">
        <v>15</v>
      </c>
      <c r="W307" s="529" t="e">
        <f>(#REF!+BM307)/1100000</f>
        <v>#REF!</v>
      </c>
      <c r="X307" s="89"/>
      <c r="Y307" s="73"/>
      <c r="Z307" s="837"/>
      <c r="AA307" s="837"/>
      <c r="AB307" s="735" t="s">
        <v>196</v>
      </c>
      <c r="AC307" s="744" t="e">
        <f>AC306-#REF!</f>
        <v>#REF!</v>
      </c>
      <c r="AD307" s="749" t="s">
        <v>100</v>
      </c>
      <c r="AE307" s="738"/>
      <c r="AF307" s="763"/>
      <c r="AG307" s="747"/>
      <c r="AH307" s="763"/>
      <c r="AI307" s="747"/>
      <c r="AJ307" s="763"/>
      <c r="AK307" s="747"/>
      <c r="AL307" s="763"/>
      <c r="AM307" s="747"/>
      <c r="AN307" s="763"/>
      <c r="AO307" s="747"/>
      <c r="AP307" s="763"/>
      <c r="AQ307" s="747"/>
      <c r="AR307" s="763"/>
      <c r="AS307" s="747"/>
      <c r="AT307" s="745"/>
      <c r="AU307" s="745"/>
      <c r="AV307" s="745"/>
      <c r="AW307" s="745"/>
      <c r="AX307" s="745"/>
      <c r="AY307" s="745"/>
    </row>
    <row r="308" spans="1:51" s="741" customFormat="1" ht="22.5" customHeight="1" thickBot="1">
      <c r="A308" s="490" t="s">
        <v>2562</v>
      </c>
      <c r="B308" s="858">
        <v>0.67410000000000003</v>
      </c>
      <c r="C308" s="825">
        <f>B308+D308+E308+F308+G308+H308+I308+J308+K308+L308+M308+N308+O308</f>
        <v>0.8631000000000002</v>
      </c>
      <c r="D308" s="826">
        <v>0</v>
      </c>
      <c r="E308" s="826">
        <v>0</v>
      </c>
      <c r="F308" s="826">
        <v>2.1000000000000001E-2</v>
      </c>
      <c r="G308" s="826">
        <v>2.1000000000000001E-2</v>
      </c>
      <c r="H308" s="826">
        <v>2.1000000000000001E-2</v>
      </c>
      <c r="I308" s="826">
        <v>2.1000000000000001E-2</v>
      </c>
      <c r="J308" s="853">
        <v>2.1000000000000001E-2</v>
      </c>
      <c r="K308" s="853">
        <v>2.1000000000000001E-2</v>
      </c>
      <c r="L308" s="826">
        <v>2.1000000000000001E-2</v>
      </c>
      <c r="M308" s="826">
        <v>2.1000000000000001E-2</v>
      </c>
      <c r="N308" s="853">
        <v>2.1000000000000001E-2</v>
      </c>
      <c r="O308" s="853"/>
      <c r="P308" s="869" t="s">
        <v>2563</v>
      </c>
      <c r="Q308" s="537" t="s">
        <v>2564</v>
      </c>
      <c r="R308" s="553" t="s">
        <v>2565</v>
      </c>
      <c r="S308" s="828" t="s">
        <v>542</v>
      </c>
      <c r="T308" s="521" t="s">
        <v>89</v>
      </c>
      <c r="U308" s="522">
        <f>BK308/1100000</f>
        <v>0</v>
      </c>
      <c r="V308" s="523" t="s">
        <v>7</v>
      </c>
      <c r="W308" s="524" t="e">
        <f>U308*0.8-(#REF!+W309)</f>
        <v>#REF!</v>
      </c>
      <c r="X308" s="299" t="s">
        <v>90</v>
      </c>
      <c r="Y308" s="547" t="s">
        <v>34</v>
      </c>
      <c r="Z308" s="829" t="s">
        <v>1840</v>
      </c>
      <c r="AA308" s="829"/>
      <c r="AB308" s="735" t="s">
        <v>89</v>
      </c>
      <c r="AC308" s="794">
        <v>1715910000</v>
      </c>
      <c r="AD308" s="749" t="s">
        <v>98</v>
      </c>
      <c r="AE308" s="738">
        <f>SUM(AF308:AS308)</f>
        <v>37357152</v>
      </c>
      <c r="AF308" s="830" t="s">
        <v>1104</v>
      </c>
      <c r="AG308" s="740">
        <v>18678576</v>
      </c>
      <c r="AH308" s="832" t="s">
        <v>1105</v>
      </c>
      <c r="AI308" s="740"/>
      <c r="AJ308" s="832" t="s">
        <v>2543</v>
      </c>
      <c r="AK308" s="740"/>
      <c r="AL308" s="832" t="s">
        <v>55</v>
      </c>
      <c r="AM308" s="740">
        <f>AG308</f>
        <v>18678576</v>
      </c>
      <c r="AN308" s="832" t="s">
        <v>1081</v>
      </c>
      <c r="AO308" s="740"/>
      <c r="AP308" s="832"/>
      <c r="AQ308" s="740"/>
      <c r="AR308" s="832"/>
      <c r="AS308" s="740"/>
    </row>
    <row r="309" spans="1:51" s="741" customFormat="1" ht="22.5" customHeight="1" thickBot="1">
      <c r="A309" s="495"/>
      <c r="B309" s="861"/>
      <c r="C309" s="834"/>
      <c r="D309" s="560" t="s">
        <v>2567</v>
      </c>
      <c r="E309" s="560" t="s">
        <v>2567</v>
      </c>
      <c r="F309" s="560" t="s">
        <v>2568</v>
      </c>
      <c r="G309" s="560" t="s">
        <v>2568</v>
      </c>
      <c r="H309" s="560" t="s">
        <v>2569</v>
      </c>
      <c r="I309" s="560" t="s">
        <v>2570</v>
      </c>
      <c r="J309" s="841" t="s">
        <v>2571</v>
      </c>
      <c r="K309" s="841" t="s">
        <v>2572</v>
      </c>
      <c r="L309" s="560" t="s">
        <v>2573</v>
      </c>
      <c r="M309" s="560" t="s">
        <v>2574</v>
      </c>
      <c r="N309" s="560" t="s">
        <v>2575</v>
      </c>
      <c r="O309" s="560"/>
      <c r="P309" s="870"/>
      <c r="Q309" s="531"/>
      <c r="R309" s="557"/>
      <c r="S309" s="843" t="s">
        <v>816</v>
      </c>
      <c r="T309" s="526" t="s">
        <v>817</v>
      </c>
      <c r="U309" s="527" t="e">
        <f>U308-#REF!</f>
        <v>#REF!</v>
      </c>
      <c r="V309" s="532" t="s">
        <v>818</v>
      </c>
      <c r="W309" s="529" t="e">
        <f>(#REF!+BM309)/1100000</f>
        <v>#REF!</v>
      </c>
      <c r="X309" s="89"/>
      <c r="Y309" s="73"/>
      <c r="Z309" s="837"/>
      <c r="AA309" s="837"/>
      <c r="AB309" s="735" t="s">
        <v>817</v>
      </c>
      <c r="AC309" s="744" t="e">
        <f>AC308-#REF!</f>
        <v>#REF!</v>
      </c>
      <c r="AD309" s="749" t="s">
        <v>824</v>
      </c>
      <c r="AE309" s="738"/>
      <c r="AF309" s="763"/>
      <c r="AG309" s="747"/>
      <c r="AH309" s="763"/>
      <c r="AI309" s="747"/>
      <c r="AJ309" s="763"/>
      <c r="AK309" s="747"/>
      <c r="AL309" s="763"/>
      <c r="AM309" s="747"/>
      <c r="AN309" s="763"/>
      <c r="AO309" s="747"/>
      <c r="AP309" s="763"/>
      <c r="AQ309" s="747"/>
      <c r="AR309" s="763"/>
      <c r="AS309" s="747"/>
      <c r="AT309" s="745"/>
      <c r="AU309" s="745"/>
      <c r="AV309" s="745"/>
      <c r="AW309" s="745"/>
      <c r="AX309" s="745"/>
      <c r="AY309" s="745"/>
    </row>
    <row r="310" spans="1:51" s="741" customFormat="1" ht="22.5" customHeight="1" thickBot="1">
      <c r="A310" s="490" t="s">
        <v>2576</v>
      </c>
      <c r="B310" s="858">
        <v>0.90100000000000002</v>
      </c>
      <c r="C310" s="825">
        <f>B310+D310+E310+F310+G310+H310+I310+J310+K310+L310+M310+N310+O310</f>
        <v>0.99900000000000011</v>
      </c>
      <c r="D310" s="826">
        <v>1.2999999999999999E-2</v>
      </c>
      <c r="E310" s="826">
        <v>1.2999999999999999E-2</v>
      </c>
      <c r="F310" s="826">
        <v>1.2999999999999999E-2</v>
      </c>
      <c r="G310" s="826">
        <v>1.2999999999999999E-2</v>
      </c>
      <c r="H310" s="826">
        <v>5.0000000000000001E-3</v>
      </c>
      <c r="I310" s="826">
        <v>0.01</v>
      </c>
      <c r="J310" s="826">
        <v>0.01</v>
      </c>
      <c r="K310" s="826">
        <v>0.01</v>
      </c>
      <c r="L310" s="826">
        <v>5.0000000000000001E-3</v>
      </c>
      <c r="M310" s="826">
        <v>5.0000000000000001E-3</v>
      </c>
      <c r="N310" s="826">
        <v>1E-3</v>
      </c>
      <c r="O310" s="826"/>
      <c r="P310" s="838" t="s">
        <v>2577</v>
      </c>
      <c r="Q310" s="537" t="s">
        <v>2578</v>
      </c>
      <c r="R310" s="254" t="s">
        <v>2579</v>
      </c>
      <c r="S310" s="828" t="s">
        <v>2580</v>
      </c>
      <c r="T310" s="521" t="s">
        <v>814</v>
      </c>
      <c r="U310" s="522">
        <f t="shared" ref="U310" si="15">BK310/1100000</f>
        <v>0</v>
      </c>
      <c r="V310" s="523" t="s">
        <v>832</v>
      </c>
      <c r="W310" s="524" t="e">
        <f>U310*0.8-(#REF!+W311)</f>
        <v>#REF!</v>
      </c>
      <c r="X310" s="299" t="s">
        <v>812</v>
      </c>
      <c r="Y310" s="547" t="s">
        <v>813</v>
      </c>
      <c r="Z310" s="829" t="s">
        <v>2581</v>
      </c>
      <c r="AA310" s="829"/>
      <c r="AB310" s="735" t="s">
        <v>814</v>
      </c>
      <c r="AC310" s="794">
        <v>1396407290</v>
      </c>
      <c r="AD310" s="749" t="s">
        <v>35</v>
      </c>
      <c r="AE310" s="738">
        <f>SUM(AF310:AS310)</f>
        <v>0</v>
      </c>
      <c r="AF310" s="830" t="s">
        <v>1078</v>
      </c>
      <c r="AG310" s="740"/>
      <c r="AH310" s="832" t="s">
        <v>1079</v>
      </c>
      <c r="AI310" s="740">
        <f>AG310</f>
        <v>0</v>
      </c>
      <c r="AJ310" s="832" t="s">
        <v>2543</v>
      </c>
      <c r="AK310" s="740">
        <f>AG310</f>
        <v>0</v>
      </c>
      <c r="AL310" s="832" t="s">
        <v>1080</v>
      </c>
      <c r="AM310" s="740"/>
      <c r="AN310" s="832" t="s">
        <v>1081</v>
      </c>
      <c r="AO310" s="740"/>
      <c r="AP310" s="832"/>
      <c r="AQ310" s="740"/>
      <c r="AR310" s="832"/>
      <c r="AS310" s="740"/>
    </row>
    <row r="311" spans="1:51" s="741" customFormat="1" ht="22.5" customHeight="1" thickBot="1">
      <c r="A311" s="495"/>
      <c r="B311" s="861"/>
      <c r="C311" s="834"/>
      <c r="D311" s="560" t="s">
        <v>2582</v>
      </c>
      <c r="E311" s="560" t="s">
        <v>2583</v>
      </c>
      <c r="F311" s="560" t="s">
        <v>2584</v>
      </c>
      <c r="G311" s="560" t="s">
        <v>2585</v>
      </c>
      <c r="H311" s="560" t="s">
        <v>2586</v>
      </c>
      <c r="I311" s="560" t="s">
        <v>2587</v>
      </c>
      <c r="J311" s="560" t="s">
        <v>2588</v>
      </c>
      <c r="K311" s="560" t="s">
        <v>2588</v>
      </c>
      <c r="L311" s="560" t="s">
        <v>2589</v>
      </c>
      <c r="M311" s="560" t="s">
        <v>2590</v>
      </c>
      <c r="N311" s="560" t="s">
        <v>2591</v>
      </c>
      <c r="O311" s="560"/>
      <c r="P311" s="842"/>
      <c r="Q311" s="531"/>
      <c r="R311" s="255"/>
      <c r="S311" s="843" t="s">
        <v>816</v>
      </c>
      <c r="T311" s="526" t="s">
        <v>817</v>
      </c>
      <c r="U311" s="527" t="e">
        <f>U310-#REF!</f>
        <v>#REF!</v>
      </c>
      <c r="V311" s="532" t="s">
        <v>818</v>
      </c>
      <c r="W311" s="529" t="e">
        <f>(#REF!+BM311)/1100000</f>
        <v>#REF!</v>
      </c>
      <c r="X311" s="89"/>
      <c r="Y311" s="73"/>
      <c r="Z311" s="837"/>
      <c r="AA311" s="837"/>
      <c r="AB311" s="735" t="s">
        <v>817</v>
      </c>
      <c r="AC311" s="744" t="e">
        <f>AC310-#REF!</f>
        <v>#REF!</v>
      </c>
      <c r="AD311" s="749" t="s">
        <v>824</v>
      </c>
      <c r="AE311" s="738"/>
      <c r="AF311" s="763"/>
      <c r="AG311" s="747"/>
      <c r="AH311" s="763"/>
      <c r="AI311" s="747"/>
      <c r="AJ311" s="763"/>
      <c r="AK311" s="747"/>
      <c r="AL311" s="763"/>
      <c r="AM311" s="747"/>
      <c r="AN311" s="763"/>
      <c r="AO311" s="747"/>
      <c r="AP311" s="763"/>
      <c r="AQ311" s="747"/>
      <c r="AR311" s="763"/>
      <c r="AS311" s="747"/>
      <c r="AT311" s="745"/>
      <c r="AU311" s="745"/>
      <c r="AV311" s="745"/>
      <c r="AW311" s="745"/>
      <c r="AX311" s="745"/>
      <c r="AY311" s="745"/>
    </row>
    <row r="312" spans="1:51" s="953" customFormat="1" ht="22.5" customHeight="1" thickBot="1">
      <c r="A312" s="563" t="s">
        <v>2592</v>
      </c>
      <c r="B312" s="941">
        <v>0.82199999999999995</v>
      </c>
      <c r="C312" s="825">
        <f>B312+D312+E312+F312+G312+H312+I312+J312+K312+L312+M312+N312+O312</f>
        <v>1.0006000000000002</v>
      </c>
      <c r="D312" s="942"/>
      <c r="E312" s="942"/>
      <c r="F312" s="942">
        <v>2.5000000000000001E-2</v>
      </c>
      <c r="G312" s="942">
        <v>2.5000000000000001E-2</v>
      </c>
      <c r="H312" s="942">
        <v>2.4799999999999999E-2</v>
      </c>
      <c r="I312" s="942">
        <v>2.4799999999999999E-2</v>
      </c>
      <c r="J312" s="942">
        <v>1.9E-2</v>
      </c>
      <c r="K312" s="942">
        <v>0.02</v>
      </c>
      <c r="L312" s="942">
        <v>0.02</v>
      </c>
      <c r="M312" s="942">
        <v>0.02</v>
      </c>
      <c r="N312" s="942"/>
      <c r="O312" s="942"/>
      <c r="P312" s="962" t="s">
        <v>2594</v>
      </c>
      <c r="Q312" s="683" t="s">
        <v>2595</v>
      </c>
      <c r="R312" s="680" t="s">
        <v>2596</v>
      </c>
      <c r="S312" s="944" t="s">
        <v>2597</v>
      </c>
      <c r="T312" s="632" t="s">
        <v>814</v>
      </c>
      <c r="U312" s="633">
        <f>BK312/1100000</f>
        <v>0</v>
      </c>
      <c r="V312" s="634" t="s">
        <v>832</v>
      </c>
      <c r="W312" s="635" t="e">
        <f>U312*0.8-(#REF!+W313)</f>
        <v>#REF!</v>
      </c>
      <c r="X312" s="945" t="s">
        <v>812</v>
      </c>
      <c r="Y312" s="946" t="s">
        <v>813</v>
      </c>
      <c r="Z312" s="947" t="s">
        <v>1848</v>
      </c>
      <c r="AA312" s="947"/>
      <c r="AB312" s="948" t="s">
        <v>814</v>
      </c>
      <c r="AC312" s="949">
        <v>556600000</v>
      </c>
      <c r="AD312" s="950" t="s">
        <v>35</v>
      </c>
      <c r="AE312" s="951">
        <f>SUM(AF312:AS312)</f>
        <v>9313423</v>
      </c>
      <c r="AF312" s="952" t="s">
        <v>1078</v>
      </c>
      <c r="AG312" s="951"/>
      <c r="AH312" s="950" t="s">
        <v>1079</v>
      </c>
      <c r="AI312" s="951">
        <f>AG312</f>
        <v>0</v>
      </c>
      <c r="AJ312" s="950" t="s">
        <v>2543</v>
      </c>
      <c r="AK312" s="951">
        <f>AG312</f>
        <v>0</v>
      </c>
      <c r="AL312" s="950" t="s">
        <v>796</v>
      </c>
      <c r="AM312" s="951">
        <f>11364178-2050755</f>
        <v>9313423</v>
      </c>
      <c r="AN312" s="950" t="s">
        <v>1081</v>
      </c>
      <c r="AO312" s="951"/>
      <c r="AP312" s="950"/>
      <c r="AQ312" s="951"/>
      <c r="AR312" s="950"/>
      <c r="AS312" s="951"/>
    </row>
    <row r="313" spans="1:51" s="953" customFormat="1" ht="22.5" customHeight="1" thickBot="1">
      <c r="A313" s="564"/>
      <c r="B313" s="954"/>
      <c r="C313" s="834"/>
      <c r="D313" s="687" t="s">
        <v>2567</v>
      </c>
      <c r="E313" s="687" t="s">
        <v>2567</v>
      </c>
      <c r="F313" s="687" t="s">
        <v>2598</v>
      </c>
      <c r="G313" s="687" t="s">
        <v>2598</v>
      </c>
      <c r="H313" s="687" t="s">
        <v>2599</v>
      </c>
      <c r="I313" s="687" t="s">
        <v>2600</v>
      </c>
      <c r="J313" s="955" t="s">
        <v>2601</v>
      </c>
      <c r="K313" s="955" t="s">
        <v>2602</v>
      </c>
      <c r="L313" s="687" t="s">
        <v>2603</v>
      </c>
      <c r="M313" s="687" t="s">
        <v>2531</v>
      </c>
      <c r="N313" s="687"/>
      <c r="O313" s="687"/>
      <c r="P313" s="964"/>
      <c r="Q313" s="640"/>
      <c r="R313" s="684"/>
      <c r="S313" s="957" t="s">
        <v>816</v>
      </c>
      <c r="T313" s="637" t="s">
        <v>817</v>
      </c>
      <c r="U313" s="638" t="e">
        <f>U312-#REF!</f>
        <v>#REF!</v>
      </c>
      <c r="V313" s="641" t="s">
        <v>818</v>
      </c>
      <c r="W313" s="639" t="e">
        <f>(#REF!+BM313)/1100000</f>
        <v>#REF!</v>
      </c>
      <c r="X313" s="945"/>
      <c r="Y313" s="946"/>
      <c r="Z313" s="958"/>
      <c r="AA313" s="958"/>
      <c r="AB313" s="948" t="s">
        <v>817</v>
      </c>
      <c r="AC313" s="959" t="e">
        <f>AC312-#REF!</f>
        <v>#REF!</v>
      </c>
      <c r="AD313" s="950" t="s">
        <v>824</v>
      </c>
      <c r="AE313" s="951"/>
      <c r="AF313" s="960"/>
      <c r="AG313" s="961"/>
      <c r="AH313" s="960"/>
      <c r="AI313" s="961"/>
      <c r="AJ313" s="960"/>
      <c r="AK313" s="961"/>
      <c r="AL313" s="960"/>
      <c r="AM313" s="961"/>
      <c r="AN313" s="960"/>
      <c r="AO313" s="961"/>
      <c r="AP313" s="960"/>
      <c r="AQ313" s="961"/>
      <c r="AR313" s="960"/>
      <c r="AS313" s="961"/>
    </row>
    <row r="314" spans="1:51" s="741" customFormat="1" ht="22.5" customHeight="1" thickBot="1">
      <c r="A314" s="490" t="s">
        <v>2604</v>
      </c>
      <c r="B314" s="858">
        <v>0.97819999999999996</v>
      </c>
      <c r="C314" s="825">
        <f>B314+D314+E314+F314+G314+H314+I314+J314+K314+L314+M314+N314+O314</f>
        <v>1</v>
      </c>
      <c r="D314" s="826"/>
      <c r="E314" s="826"/>
      <c r="F314" s="826">
        <v>7.0000000000000001E-3</v>
      </c>
      <c r="G314" s="826">
        <v>7.0000000000000001E-3</v>
      </c>
      <c r="H314" s="826">
        <v>7.7999999999999996E-3</v>
      </c>
      <c r="I314" s="826"/>
      <c r="J314" s="826"/>
      <c r="K314" s="826"/>
      <c r="L314" s="826"/>
      <c r="M314" s="826"/>
      <c r="N314" s="826"/>
      <c r="O314" s="826"/>
      <c r="P314" s="869" t="s">
        <v>2594</v>
      </c>
      <c r="Q314" s="537" t="s">
        <v>2605</v>
      </c>
      <c r="R314" s="553" t="s">
        <v>2606</v>
      </c>
      <c r="S314" s="828" t="s">
        <v>2607</v>
      </c>
      <c r="T314" s="521" t="s">
        <v>814</v>
      </c>
      <c r="U314" s="522">
        <f>BK314/1100000</f>
        <v>0</v>
      </c>
      <c r="V314" s="523" t="s">
        <v>832</v>
      </c>
      <c r="W314" s="524" t="e">
        <f>U314*0.8-(#REF!+W315)</f>
        <v>#REF!</v>
      </c>
      <c r="X314" s="299" t="s">
        <v>812</v>
      </c>
      <c r="Y314" s="547" t="s">
        <v>813</v>
      </c>
      <c r="Z314" s="829" t="s">
        <v>2608</v>
      </c>
      <c r="AA314" s="829"/>
      <c r="AB314" s="735" t="s">
        <v>814</v>
      </c>
      <c r="AC314" s="794">
        <v>1218810000</v>
      </c>
      <c r="AD314" s="749" t="s">
        <v>35</v>
      </c>
      <c r="AE314" s="738">
        <f>SUM(AF314:AS314)</f>
        <v>0</v>
      </c>
      <c r="AF314" s="830" t="s">
        <v>1078</v>
      </c>
      <c r="AG314" s="740"/>
      <c r="AH314" s="832" t="s">
        <v>1079</v>
      </c>
      <c r="AI314" s="740">
        <f>AG314</f>
        <v>0</v>
      </c>
      <c r="AJ314" s="832" t="s">
        <v>2543</v>
      </c>
      <c r="AK314" s="740">
        <f>AG314</f>
        <v>0</v>
      </c>
      <c r="AL314" s="832" t="s">
        <v>796</v>
      </c>
      <c r="AM314" s="740"/>
      <c r="AN314" s="832" t="s">
        <v>1081</v>
      </c>
      <c r="AO314" s="740"/>
      <c r="AP314" s="832"/>
      <c r="AQ314" s="740"/>
      <c r="AR314" s="832"/>
      <c r="AS314" s="740"/>
    </row>
    <row r="315" spans="1:51" s="741" customFormat="1" ht="22.5" customHeight="1" thickBot="1">
      <c r="A315" s="495"/>
      <c r="B315" s="861"/>
      <c r="C315" s="834"/>
      <c r="D315" s="560" t="s">
        <v>2567</v>
      </c>
      <c r="E315" s="560" t="s">
        <v>2567</v>
      </c>
      <c r="F315" s="560" t="s">
        <v>2609</v>
      </c>
      <c r="G315" s="560" t="s">
        <v>2610</v>
      </c>
      <c r="H315" s="560" t="s">
        <v>2531</v>
      </c>
      <c r="I315" s="560"/>
      <c r="J315" s="841"/>
      <c r="K315" s="841"/>
      <c r="L315" s="560"/>
      <c r="M315" s="560"/>
      <c r="N315" s="560"/>
      <c r="O315" s="560"/>
      <c r="P315" s="870"/>
      <c r="Q315" s="531"/>
      <c r="R315" s="557"/>
      <c r="S315" s="843" t="s">
        <v>816</v>
      </c>
      <c r="T315" s="526" t="s">
        <v>817</v>
      </c>
      <c r="U315" s="527" t="e">
        <f>U314-#REF!</f>
        <v>#REF!</v>
      </c>
      <c r="V315" s="532" t="s">
        <v>818</v>
      </c>
      <c r="W315" s="529" t="e">
        <f>(#REF!+BM315)/1100000</f>
        <v>#REF!</v>
      </c>
      <c r="X315" s="89"/>
      <c r="Y315" s="73"/>
      <c r="Z315" s="837"/>
      <c r="AA315" s="837"/>
      <c r="AB315" s="735" t="s">
        <v>817</v>
      </c>
      <c r="AC315" s="744" t="e">
        <f>AC314-#REF!</f>
        <v>#REF!</v>
      </c>
      <c r="AD315" s="749" t="s">
        <v>824</v>
      </c>
      <c r="AE315" s="738"/>
      <c r="AF315" s="763"/>
      <c r="AG315" s="747"/>
      <c r="AH315" s="763"/>
      <c r="AI315" s="747"/>
      <c r="AJ315" s="763"/>
      <c r="AK315" s="747"/>
      <c r="AL315" s="763"/>
      <c r="AM315" s="747"/>
      <c r="AN315" s="763"/>
      <c r="AO315" s="747"/>
      <c r="AP315" s="763"/>
      <c r="AQ315" s="747"/>
      <c r="AR315" s="763"/>
      <c r="AS315" s="747"/>
      <c r="AT315" s="745"/>
      <c r="AU315" s="745"/>
      <c r="AV315" s="745"/>
      <c r="AW315" s="745"/>
      <c r="AX315" s="745"/>
      <c r="AY315" s="745"/>
    </row>
    <row r="316" spans="1:51" s="741" customFormat="1" ht="22.5" customHeight="1" thickBot="1">
      <c r="A316" s="490" t="s">
        <v>3066</v>
      </c>
      <c r="B316" s="824">
        <v>1</v>
      </c>
      <c r="C316" s="873">
        <f>B316+D316+E316+F316+G316+H316+I316+J316+K316+L316+M316+N316+O316</f>
        <v>1</v>
      </c>
      <c r="D316" s="826"/>
      <c r="E316" s="826"/>
      <c r="F316" s="826"/>
      <c r="G316" s="826"/>
      <c r="H316" s="826"/>
      <c r="I316" s="826"/>
      <c r="J316" s="826"/>
      <c r="K316" s="826"/>
      <c r="L316" s="826"/>
      <c r="M316" s="826"/>
      <c r="N316" s="826"/>
      <c r="O316" s="826"/>
      <c r="P316" s="838" t="s">
        <v>2611</v>
      </c>
      <c r="Q316" s="537" t="s">
        <v>2612</v>
      </c>
      <c r="R316" s="254" t="s">
        <v>2613</v>
      </c>
      <c r="S316" s="828" t="s">
        <v>2614</v>
      </c>
      <c r="T316" s="521" t="s">
        <v>89</v>
      </c>
      <c r="U316" s="522">
        <f t="shared" ref="U316" si="16">BK316/1100000</f>
        <v>0</v>
      </c>
      <c r="V316" s="523" t="s">
        <v>7</v>
      </c>
      <c r="W316" s="524" t="e">
        <f>U316*0.8-(#REF!+W317)</f>
        <v>#REF!</v>
      </c>
      <c r="X316" s="299" t="s">
        <v>90</v>
      </c>
      <c r="Y316" s="547" t="s">
        <v>34</v>
      </c>
      <c r="Z316" s="829" t="s">
        <v>2615</v>
      </c>
      <c r="AA316" s="829"/>
      <c r="AB316" s="735" t="s">
        <v>89</v>
      </c>
      <c r="AC316" s="794">
        <v>366900000</v>
      </c>
      <c r="AD316" s="749" t="s">
        <v>98</v>
      </c>
      <c r="AE316" s="738">
        <f>SUM(AF316:AS316)</f>
        <v>0</v>
      </c>
      <c r="AF316" s="830" t="s">
        <v>1104</v>
      </c>
      <c r="AG316" s="740"/>
      <c r="AH316" s="832" t="s">
        <v>1105</v>
      </c>
      <c r="AI316" s="740">
        <f>AG316</f>
        <v>0</v>
      </c>
      <c r="AJ316" s="832" t="s">
        <v>2512</v>
      </c>
      <c r="AK316" s="740">
        <f>AG316</f>
        <v>0</v>
      </c>
      <c r="AL316" s="832" t="s">
        <v>55</v>
      </c>
      <c r="AM316" s="740"/>
      <c r="AN316" s="832" t="s">
        <v>52</v>
      </c>
      <c r="AO316" s="740"/>
      <c r="AP316" s="832"/>
      <c r="AQ316" s="740"/>
      <c r="AR316" s="832"/>
      <c r="AS316" s="740"/>
    </row>
    <row r="317" spans="1:51" s="741" customFormat="1" ht="22.5" customHeight="1" thickBot="1">
      <c r="A317" s="495"/>
      <c r="B317" s="833"/>
      <c r="C317" s="874"/>
      <c r="D317" s="560"/>
      <c r="E317" s="560"/>
      <c r="F317" s="560"/>
      <c r="G317" s="560"/>
      <c r="H317" s="560"/>
      <c r="I317" s="560"/>
      <c r="J317" s="841"/>
      <c r="K317" s="841"/>
      <c r="L317" s="560"/>
      <c r="M317" s="560"/>
      <c r="N317" s="560"/>
      <c r="O317" s="560"/>
      <c r="P317" s="842"/>
      <c r="Q317" s="531"/>
      <c r="R317" s="255"/>
      <c r="S317" s="843" t="s">
        <v>67</v>
      </c>
      <c r="T317" s="526" t="s">
        <v>196</v>
      </c>
      <c r="U317" s="527" t="e">
        <f>U316-#REF!</f>
        <v>#REF!</v>
      </c>
      <c r="V317" s="532" t="s">
        <v>15</v>
      </c>
      <c r="W317" s="529" t="e">
        <f>(#REF!+BM317)/1100000</f>
        <v>#REF!</v>
      </c>
      <c r="X317" s="89"/>
      <c r="Y317" s="73"/>
      <c r="Z317" s="837"/>
      <c r="AA317" s="837"/>
      <c r="AB317" s="735" t="s">
        <v>196</v>
      </c>
      <c r="AC317" s="744" t="e">
        <f>AC316-#REF!</f>
        <v>#REF!</v>
      </c>
      <c r="AD317" s="749" t="s">
        <v>100</v>
      </c>
      <c r="AE317" s="738"/>
      <c r="AF317" s="763"/>
      <c r="AG317" s="747"/>
      <c r="AH317" s="763"/>
      <c r="AI317" s="747"/>
      <c r="AJ317" s="763"/>
      <c r="AK317" s="747"/>
      <c r="AL317" s="763"/>
      <c r="AM317" s="747"/>
      <c r="AN317" s="763"/>
      <c r="AO317" s="747"/>
      <c r="AP317" s="763"/>
      <c r="AQ317" s="747"/>
      <c r="AR317" s="763"/>
      <c r="AS317" s="747"/>
      <c r="AT317" s="745"/>
      <c r="AU317" s="745"/>
      <c r="AV317" s="745"/>
      <c r="AW317" s="745"/>
      <c r="AX317" s="745"/>
      <c r="AY317" s="745"/>
    </row>
    <row r="318" spans="1:51" s="741" customFormat="1" ht="22.5" customHeight="1" thickBot="1">
      <c r="A318" s="490" t="s">
        <v>2618</v>
      </c>
      <c r="B318" s="858">
        <v>0.61760000000000004</v>
      </c>
      <c r="C318" s="825">
        <f>B318+D318+E318+F318+G318+H318+I318+J318+K318+L318+M318+N318+O318</f>
        <v>0.78260000000000018</v>
      </c>
      <c r="D318" s="826">
        <v>1.4999999999999999E-2</v>
      </c>
      <c r="E318" s="826">
        <v>1.4999999999999999E-2</v>
      </c>
      <c r="F318" s="826">
        <v>1.4999999999999999E-2</v>
      </c>
      <c r="G318" s="826">
        <v>1.4999999999999999E-2</v>
      </c>
      <c r="H318" s="826">
        <v>1.4999999999999999E-2</v>
      </c>
      <c r="I318" s="826">
        <v>1.4999999999999999E-2</v>
      </c>
      <c r="J318" s="826">
        <v>1.4999999999999999E-2</v>
      </c>
      <c r="K318" s="826">
        <v>1.4999999999999999E-2</v>
      </c>
      <c r="L318" s="826">
        <v>1.4999999999999999E-2</v>
      </c>
      <c r="M318" s="826">
        <v>1.4999999999999999E-2</v>
      </c>
      <c r="N318" s="826">
        <v>1.4999999999999999E-2</v>
      </c>
      <c r="O318" s="826"/>
      <c r="P318" s="869" t="s">
        <v>2619</v>
      </c>
      <c r="Q318" s="537" t="s">
        <v>2620</v>
      </c>
      <c r="R318" s="553" t="s">
        <v>2621</v>
      </c>
      <c r="S318" s="828" t="s">
        <v>2622</v>
      </c>
      <c r="T318" s="521" t="s">
        <v>89</v>
      </c>
      <c r="U318" s="522">
        <f>BK318/1100000</f>
        <v>0</v>
      </c>
      <c r="V318" s="523" t="s">
        <v>7</v>
      </c>
      <c r="W318" s="524" t="e">
        <f>U318*0.8-(#REF!+W319)</f>
        <v>#REF!</v>
      </c>
      <c r="X318" s="299" t="s">
        <v>90</v>
      </c>
      <c r="Y318" s="547" t="s">
        <v>34</v>
      </c>
      <c r="Z318" s="829" t="s">
        <v>2623</v>
      </c>
      <c r="AA318" s="829"/>
      <c r="AB318" s="735" t="s">
        <v>89</v>
      </c>
      <c r="AC318" s="794">
        <v>561068400</v>
      </c>
      <c r="AD318" s="749" t="s">
        <v>98</v>
      </c>
      <c r="AE318" s="738">
        <f>SUM(AF318:AS318)</f>
        <v>14572779</v>
      </c>
      <c r="AF318" s="830" t="s">
        <v>1104</v>
      </c>
      <c r="AG318" s="740">
        <v>14572779</v>
      </c>
      <c r="AH318" s="832" t="s">
        <v>1105</v>
      </c>
      <c r="AI318" s="740"/>
      <c r="AJ318" s="832" t="s">
        <v>2543</v>
      </c>
      <c r="AK318" s="740"/>
      <c r="AL318" s="832" t="s">
        <v>55</v>
      </c>
      <c r="AM318" s="740"/>
      <c r="AN318" s="832" t="s">
        <v>52</v>
      </c>
      <c r="AO318" s="740"/>
      <c r="AP318" s="832"/>
      <c r="AQ318" s="740"/>
      <c r="AR318" s="832"/>
      <c r="AS318" s="740"/>
    </row>
    <row r="319" spans="1:51" s="741" customFormat="1" ht="22.5" customHeight="1" thickBot="1">
      <c r="A319" s="495"/>
      <c r="B319" s="861"/>
      <c r="C319" s="834"/>
      <c r="D319" s="560" t="s">
        <v>2624</v>
      </c>
      <c r="E319" s="560" t="s">
        <v>2625</v>
      </c>
      <c r="F319" s="560" t="s">
        <v>2626</v>
      </c>
      <c r="G319" s="560" t="s">
        <v>2627</v>
      </c>
      <c r="H319" s="560" t="s">
        <v>2628</v>
      </c>
      <c r="I319" s="560" t="s">
        <v>2629</v>
      </c>
      <c r="J319" s="560" t="s">
        <v>2630</v>
      </c>
      <c r="K319" s="560" t="s">
        <v>2631</v>
      </c>
      <c r="L319" s="560" t="s">
        <v>2632</v>
      </c>
      <c r="M319" s="560" t="s">
        <v>2633</v>
      </c>
      <c r="N319" s="560" t="s">
        <v>2634</v>
      </c>
      <c r="O319" s="560"/>
      <c r="P319" s="870"/>
      <c r="Q319" s="531"/>
      <c r="R319" s="557"/>
      <c r="S319" s="843" t="s">
        <v>67</v>
      </c>
      <c r="T319" s="526" t="s">
        <v>196</v>
      </c>
      <c r="U319" s="527" t="e">
        <f>U318-#REF!</f>
        <v>#REF!</v>
      </c>
      <c r="V319" s="532" t="s">
        <v>15</v>
      </c>
      <c r="W319" s="529" t="e">
        <f>(#REF!+BM319)/1100000</f>
        <v>#REF!</v>
      </c>
      <c r="X319" s="89"/>
      <c r="Y319" s="73"/>
      <c r="Z319" s="837"/>
      <c r="AA319" s="837"/>
      <c r="AB319" s="735" t="s">
        <v>196</v>
      </c>
      <c r="AC319" s="744" t="e">
        <f>AC318-#REF!</f>
        <v>#REF!</v>
      </c>
      <c r="AD319" s="749" t="s">
        <v>100</v>
      </c>
      <c r="AE319" s="738"/>
      <c r="AF319" s="763"/>
      <c r="AG319" s="747"/>
      <c r="AH319" s="763"/>
      <c r="AI319" s="747"/>
      <c r="AJ319" s="763"/>
      <c r="AK319" s="747"/>
      <c r="AL319" s="763"/>
      <c r="AM319" s="747"/>
      <c r="AN319" s="763"/>
      <c r="AO319" s="747"/>
      <c r="AP319" s="763"/>
      <c r="AQ319" s="747"/>
      <c r="AR319" s="763"/>
      <c r="AS319" s="747"/>
      <c r="AT319" s="745"/>
      <c r="AU319" s="745"/>
      <c r="AV319" s="745"/>
      <c r="AW319" s="745"/>
      <c r="AX319" s="745"/>
      <c r="AY319" s="745"/>
    </row>
    <row r="320" spans="1:51" s="741" customFormat="1" ht="22.5" customHeight="1" thickBot="1">
      <c r="A320" s="490" t="s">
        <v>3067</v>
      </c>
      <c r="B320" s="858">
        <v>1</v>
      </c>
      <c r="C320" s="825">
        <f>B320+D320+E320+F320+G320+H320+I320+J320+K320+L320+M320+N320+O320</f>
        <v>1</v>
      </c>
      <c r="D320" s="826"/>
      <c r="E320" s="826"/>
      <c r="F320" s="826"/>
      <c r="G320" s="826"/>
      <c r="H320" s="826"/>
      <c r="I320" s="826"/>
      <c r="J320" s="826"/>
      <c r="K320" s="826"/>
      <c r="L320" s="826"/>
      <c r="M320" s="826"/>
      <c r="N320" s="826"/>
      <c r="O320" s="826"/>
      <c r="P320" s="838" t="s">
        <v>2594</v>
      </c>
      <c r="Q320" s="537" t="s">
        <v>2635</v>
      </c>
      <c r="R320" s="553" t="s">
        <v>2636</v>
      </c>
      <c r="S320" s="828" t="s">
        <v>2637</v>
      </c>
      <c r="T320" s="521" t="s">
        <v>814</v>
      </c>
      <c r="U320" s="522">
        <f t="shared" ref="U320" si="17">BK320/1100000</f>
        <v>0</v>
      </c>
      <c r="V320" s="523" t="s">
        <v>832</v>
      </c>
      <c r="W320" s="524" t="e">
        <f>U320*0.8-(#REF!+W321)</f>
        <v>#REF!</v>
      </c>
      <c r="X320" s="299" t="s">
        <v>812</v>
      </c>
      <c r="Y320" s="547" t="s">
        <v>813</v>
      </c>
      <c r="Z320" s="829" t="s">
        <v>2638</v>
      </c>
      <c r="AA320" s="829"/>
      <c r="AB320" s="735" t="s">
        <v>814</v>
      </c>
      <c r="AC320" s="794">
        <v>835756600</v>
      </c>
      <c r="AD320" s="749" t="s">
        <v>35</v>
      </c>
      <c r="AE320" s="738">
        <f>SUM(AF320:AS320)</f>
        <v>0</v>
      </c>
      <c r="AF320" s="830" t="s">
        <v>1078</v>
      </c>
      <c r="AG320" s="740"/>
      <c r="AH320" s="832" t="s">
        <v>1079</v>
      </c>
      <c r="AI320" s="740">
        <f>AG320</f>
        <v>0</v>
      </c>
      <c r="AJ320" s="832" t="s">
        <v>2543</v>
      </c>
      <c r="AK320" s="740">
        <f>AG320</f>
        <v>0</v>
      </c>
      <c r="AL320" s="832" t="s">
        <v>796</v>
      </c>
      <c r="AM320" s="740"/>
      <c r="AN320" s="832" t="s">
        <v>1081</v>
      </c>
      <c r="AO320" s="740"/>
      <c r="AP320" s="832"/>
      <c r="AQ320" s="740"/>
      <c r="AR320" s="832"/>
      <c r="AS320" s="740"/>
    </row>
    <row r="321" spans="1:51" s="741" customFormat="1" ht="22.5" customHeight="1" thickBot="1">
      <c r="A321" s="495"/>
      <c r="B321" s="861"/>
      <c r="C321" s="834"/>
      <c r="D321" s="560"/>
      <c r="E321" s="560"/>
      <c r="F321" s="560"/>
      <c r="G321" s="560"/>
      <c r="H321" s="560"/>
      <c r="I321" s="560"/>
      <c r="J321" s="560"/>
      <c r="K321" s="560"/>
      <c r="L321" s="560"/>
      <c r="M321" s="560"/>
      <c r="N321" s="560"/>
      <c r="O321" s="560"/>
      <c r="P321" s="870"/>
      <c r="Q321" s="531"/>
      <c r="R321" s="557"/>
      <c r="S321" s="843" t="s">
        <v>816</v>
      </c>
      <c r="T321" s="526" t="s">
        <v>817</v>
      </c>
      <c r="U321" s="527" t="e">
        <f>U320-#REF!</f>
        <v>#REF!</v>
      </c>
      <c r="V321" s="532" t="s">
        <v>818</v>
      </c>
      <c r="W321" s="529" t="e">
        <f>(#REF!+BM321)/1100000</f>
        <v>#REF!</v>
      </c>
      <c r="X321" s="89"/>
      <c r="Y321" s="73"/>
      <c r="Z321" s="837"/>
      <c r="AA321" s="837"/>
      <c r="AB321" s="735" t="s">
        <v>817</v>
      </c>
      <c r="AC321" s="744" t="e">
        <f>AC320-#REF!</f>
        <v>#REF!</v>
      </c>
      <c r="AD321" s="749" t="s">
        <v>824</v>
      </c>
      <c r="AE321" s="738"/>
      <c r="AF321" s="763"/>
      <c r="AG321" s="747"/>
      <c r="AH321" s="763"/>
      <c r="AI321" s="747"/>
      <c r="AJ321" s="763"/>
      <c r="AK321" s="747"/>
      <c r="AL321" s="763"/>
      <c r="AM321" s="747"/>
      <c r="AN321" s="763"/>
      <c r="AO321" s="747"/>
      <c r="AP321" s="763"/>
      <c r="AQ321" s="747"/>
      <c r="AR321" s="763"/>
      <c r="AS321" s="747"/>
      <c r="AT321" s="745"/>
      <c r="AU321" s="745"/>
      <c r="AV321" s="745"/>
      <c r="AW321" s="745"/>
      <c r="AX321" s="745"/>
      <c r="AY321" s="745"/>
    </row>
    <row r="322" spans="1:51" s="953" customFormat="1" ht="22.5" customHeight="1" thickBot="1">
      <c r="A322" s="563" t="s">
        <v>2640</v>
      </c>
      <c r="B322" s="941"/>
      <c r="C322" s="825">
        <f>B322+D322+E322+F322+G322+H322+I322+J322+K322+L322+M322+N322+O322</f>
        <v>0</v>
      </c>
      <c r="D322" s="942"/>
      <c r="E322" s="942"/>
      <c r="F322" s="942"/>
      <c r="G322" s="942"/>
      <c r="H322" s="942"/>
      <c r="I322" s="942"/>
      <c r="J322" s="942"/>
      <c r="K322" s="942"/>
      <c r="L322" s="942"/>
      <c r="M322" s="942"/>
      <c r="N322" s="942"/>
      <c r="O322" s="942"/>
      <c r="P322" s="966" t="s">
        <v>2641</v>
      </c>
      <c r="Q322" s="683" t="s">
        <v>2642</v>
      </c>
      <c r="R322" s="680" t="s">
        <v>2643</v>
      </c>
      <c r="S322" s="944" t="s">
        <v>2644</v>
      </c>
      <c r="T322" s="632" t="s">
        <v>814</v>
      </c>
      <c r="U322" s="633">
        <f>BK322/1100000</f>
        <v>0</v>
      </c>
      <c r="V322" s="634" t="s">
        <v>832</v>
      </c>
      <c r="W322" s="635" t="e">
        <f>U322*0.8-(#REF!+W323)</f>
        <v>#REF!</v>
      </c>
      <c r="X322" s="945" t="s">
        <v>812</v>
      </c>
      <c r="Y322" s="946" t="s">
        <v>813</v>
      </c>
      <c r="Z322" s="947" t="s">
        <v>2645</v>
      </c>
      <c r="AA322" s="947"/>
      <c r="AB322" s="948" t="s">
        <v>814</v>
      </c>
      <c r="AC322" s="949">
        <v>1500000000</v>
      </c>
      <c r="AD322" s="950" t="s">
        <v>35</v>
      </c>
      <c r="AE322" s="951">
        <f>SUM(AF322:AS322)</f>
        <v>0</v>
      </c>
      <c r="AF322" s="952" t="s">
        <v>1078</v>
      </c>
      <c r="AG322" s="951"/>
      <c r="AH322" s="950" t="s">
        <v>1079</v>
      </c>
      <c r="AI322" s="951">
        <f>AG322</f>
        <v>0</v>
      </c>
      <c r="AJ322" s="950" t="s">
        <v>2543</v>
      </c>
      <c r="AK322" s="951">
        <f>AG322</f>
        <v>0</v>
      </c>
      <c r="AL322" s="950" t="s">
        <v>796</v>
      </c>
      <c r="AM322" s="951"/>
      <c r="AN322" s="950" t="s">
        <v>1081</v>
      </c>
      <c r="AO322" s="951"/>
      <c r="AP322" s="950"/>
      <c r="AQ322" s="951"/>
      <c r="AR322" s="950"/>
      <c r="AS322" s="951"/>
    </row>
    <row r="323" spans="1:51" s="953" customFormat="1" ht="22.5" customHeight="1" thickBot="1">
      <c r="A323" s="564"/>
      <c r="B323" s="954"/>
      <c r="C323" s="834"/>
      <c r="D323" s="687"/>
      <c r="E323" s="687"/>
      <c r="F323" s="687"/>
      <c r="G323" s="687"/>
      <c r="H323" s="687"/>
      <c r="I323" s="687"/>
      <c r="J323" s="687"/>
      <c r="K323" s="687"/>
      <c r="L323" s="687"/>
      <c r="M323" s="687"/>
      <c r="N323" s="687"/>
      <c r="O323" s="687"/>
      <c r="P323" s="956"/>
      <c r="Q323" s="640"/>
      <c r="R323" s="684"/>
      <c r="S323" s="957" t="s">
        <v>816</v>
      </c>
      <c r="T323" s="637" t="s">
        <v>817</v>
      </c>
      <c r="U323" s="638" t="e">
        <f>U322-#REF!</f>
        <v>#REF!</v>
      </c>
      <c r="V323" s="641" t="s">
        <v>818</v>
      </c>
      <c r="W323" s="639" t="e">
        <f>(#REF!+BM323)/1100000</f>
        <v>#REF!</v>
      </c>
      <c r="X323" s="945"/>
      <c r="Y323" s="946"/>
      <c r="Z323" s="958"/>
      <c r="AA323" s="958"/>
      <c r="AB323" s="948" t="s">
        <v>817</v>
      </c>
      <c r="AC323" s="959" t="e">
        <f>AC322-#REF!</f>
        <v>#REF!</v>
      </c>
      <c r="AD323" s="950" t="s">
        <v>824</v>
      </c>
      <c r="AE323" s="951"/>
      <c r="AF323" s="960"/>
      <c r="AG323" s="961"/>
      <c r="AH323" s="960"/>
      <c r="AI323" s="961"/>
      <c r="AJ323" s="960"/>
      <c r="AK323" s="961"/>
      <c r="AL323" s="960"/>
      <c r="AM323" s="961"/>
      <c r="AN323" s="960"/>
      <c r="AO323" s="961"/>
      <c r="AP323" s="960"/>
      <c r="AQ323" s="961"/>
      <c r="AR323" s="960"/>
      <c r="AS323" s="961"/>
    </row>
    <row r="324" spans="1:51" s="953" customFormat="1" ht="22.5" customHeight="1" thickBot="1">
      <c r="A324" s="563" t="s">
        <v>2646</v>
      </c>
      <c r="B324" s="941">
        <v>0.56200000000000006</v>
      </c>
      <c r="C324" s="825">
        <f>B324+D324+E324+F324+G324+H324+I324+J324+K324+L324+M324+N324+O324</f>
        <v>0.56200000000000006</v>
      </c>
      <c r="D324" s="942"/>
      <c r="E324" s="942"/>
      <c r="F324" s="942"/>
      <c r="G324" s="942"/>
      <c r="H324" s="942"/>
      <c r="I324" s="942"/>
      <c r="J324" s="942"/>
      <c r="K324" s="942"/>
      <c r="L324" s="942"/>
      <c r="M324" s="942"/>
      <c r="N324" s="942"/>
      <c r="O324" s="942"/>
      <c r="P324" s="962" t="s">
        <v>2647</v>
      </c>
      <c r="Q324" s="683" t="s">
        <v>2649</v>
      </c>
      <c r="R324" s="680" t="s">
        <v>2650</v>
      </c>
      <c r="S324" s="944" t="s">
        <v>2651</v>
      </c>
      <c r="T324" s="632" t="s">
        <v>814</v>
      </c>
      <c r="U324" s="633">
        <f>BK324/1100000</f>
        <v>0</v>
      </c>
      <c r="V324" s="634" t="s">
        <v>832</v>
      </c>
      <c r="W324" s="635" t="e">
        <f>U324*0.8-(#REF!+W325)</f>
        <v>#REF!</v>
      </c>
      <c r="X324" s="945" t="s">
        <v>812</v>
      </c>
      <c r="Y324" s="946" t="s">
        <v>813</v>
      </c>
      <c r="Z324" s="947" t="s">
        <v>2652</v>
      </c>
      <c r="AA324" s="947"/>
      <c r="AB324" s="948" t="s">
        <v>814</v>
      </c>
      <c r="AC324" s="949">
        <v>2183000000</v>
      </c>
      <c r="AD324" s="950" t="s">
        <v>35</v>
      </c>
      <c r="AE324" s="951">
        <f>SUM(AF324:AS324)</f>
        <v>0</v>
      </c>
      <c r="AF324" s="952" t="s">
        <v>1078</v>
      </c>
      <c r="AG324" s="951"/>
      <c r="AH324" s="950" t="s">
        <v>1079</v>
      </c>
      <c r="AI324" s="951">
        <f>AG324</f>
        <v>0</v>
      </c>
      <c r="AJ324" s="950" t="s">
        <v>2543</v>
      </c>
      <c r="AK324" s="951">
        <f>AG324</f>
        <v>0</v>
      </c>
      <c r="AL324" s="950" t="s">
        <v>796</v>
      </c>
      <c r="AM324" s="951"/>
      <c r="AN324" s="950" t="s">
        <v>1081</v>
      </c>
      <c r="AO324" s="951"/>
      <c r="AP324" s="950"/>
      <c r="AQ324" s="951"/>
      <c r="AR324" s="950"/>
      <c r="AS324" s="951"/>
    </row>
    <row r="325" spans="1:51" s="953" customFormat="1" ht="22.5" customHeight="1" thickBot="1">
      <c r="A325" s="564"/>
      <c r="B325" s="954"/>
      <c r="C325" s="834"/>
      <c r="D325" s="687"/>
      <c r="E325" s="687"/>
      <c r="F325" s="687"/>
      <c r="G325" s="687"/>
      <c r="H325" s="687"/>
      <c r="I325" s="687"/>
      <c r="J325" s="687"/>
      <c r="K325" s="687"/>
      <c r="L325" s="687"/>
      <c r="M325" s="687"/>
      <c r="N325" s="687"/>
      <c r="O325" s="687"/>
      <c r="P325" s="956"/>
      <c r="Q325" s="640"/>
      <c r="R325" s="684"/>
      <c r="S325" s="957" t="s">
        <v>2653</v>
      </c>
      <c r="T325" s="637" t="s">
        <v>817</v>
      </c>
      <c r="U325" s="638" t="e">
        <f>U324-#REF!</f>
        <v>#REF!</v>
      </c>
      <c r="V325" s="641" t="s">
        <v>818</v>
      </c>
      <c r="W325" s="639" t="e">
        <f>(#REF!+BM325)/1100000</f>
        <v>#REF!</v>
      </c>
      <c r="X325" s="945"/>
      <c r="Y325" s="946"/>
      <c r="Z325" s="958"/>
      <c r="AA325" s="958"/>
      <c r="AB325" s="948" t="s">
        <v>817</v>
      </c>
      <c r="AC325" s="959" t="e">
        <f>AC324-#REF!</f>
        <v>#REF!</v>
      </c>
      <c r="AD325" s="950" t="s">
        <v>824</v>
      </c>
      <c r="AE325" s="951"/>
      <c r="AF325" s="960"/>
      <c r="AG325" s="961"/>
      <c r="AH325" s="960"/>
      <c r="AI325" s="961"/>
      <c r="AJ325" s="960"/>
      <c r="AK325" s="961"/>
      <c r="AL325" s="960"/>
      <c r="AM325" s="961"/>
      <c r="AN325" s="960"/>
      <c r="AO325" s="961"/>
      <c r="AP325" s="960"/>
      <c r="AQ325" s="961"/>
      <c r="AR325" s="960"/>
      <c r="AS325" s="961"/>
    </row>
    <row r="326" spans="1:51" s="741" customFormat="1" ht="22.5" customHeight="1" thickBot="1">
      <c r="A326" s="490" t="s">
        <v>3068</v>
      </c>
      <c r="B326" s="824">
        <v>0.5</v>
      </c>
      <c r="C326" s="825">
        <f>B326+D326+E326+F326+G326+H326+I326+J326+K326+L326+M326+N326+O326</f>
        <v>0.5</v>
      </c>
      <c r="D326" s="826"/>
      <c r="E326" s="826"/>
      <c r="F326" s="826"/>
      <c r="G326" s="826"/>
      <c r="H326" s="826"/>
      <c r="I326" s="826"/>
      <c r="J326" s="826"/>
      <c r="K326" s="826"/>
      <c r="L326" s="826"/>
      <c r="M326" s="826"/>
      <c r="N326" s="826"/>
      <c r="O326" s="826"/>
      <c r="P326" s="838" t="s">
        <v>2654</v>
      </c>
      <c r="Q326" s="537"/>
      <c r="R326" s="553" t="s">
        <v>2655</v>
      </c>
      <c r="S326" s="828" t="s">
        <v>2656</v>
      </c>
      <c r="T326" s="521" t="s">
        <v>814</v>
      </c>
      <c r="U326" s="522">
        <f t="shared" ref="U326" si="18">BK326/1100000</f>
        <v>0</v>
      </c>
      <c r="V326" s="523" t="s">
        <v>832</v>
      </c>
      <c r="W326" s="524" t="e">
        <f>U326*0.8-(#REF!+W327)</f>
        <v>#REF!</v>
      </c>
      <c r="X326" s="299" t="s">
        <v>812</v>
      </c>
      <c r="Y326" s="547" t="s">
        <v>813</v>
      </c>
      <c r="Z326" s="829" t="s">
        <v>1111</v>
      </c>
      <c r="AA326" s="829"/>
      <c r="AB326" s="735" t="s">
        <v>814</v>
      </c>
      <c r="AC326" s="794">
        <v>77000000</v>
      </c>
      <c r="AD326" s="749" t="s">
        <v>35</v>
      </c>
      <c r="AE326" s="738">
        <f>SUM(AF326:AS326)*0.5</f>
        <v>26250000</v>
      </c>
      <c r="AF326" s="830" t="s">
        <v>1078</v>
      </c>
      <c r="AG326" s="740">
        <v>52500000</v>
      </c>
      <c r="AH326" s="832" t="s">
        <v>1079</v>
      </c>
      <c r="AI326" s="740"/>
      <c r="AJ326" s="832" t="s">
        <v>2512</v>
      </c>
      <c r="AK326" s="740"/>
      <c r="AL326" s="832" t="s">
        <v>1080</v>
      </c>
      <c r="AM326" s="740"/>
      <c r="AN326" s="832" t="s">
        <v>1081</v>
      </c>
      <c r="AO326" s="740"/>
      <c r="AP326" s="832"/>
      <c r="AQ326" s="740"/>
      <c r="AR326" s="832"/>
      <c r="AS326" s="740"/>
    </row>
    <row r="327" spans="1:51" s="741" customFormat="1" ht="22.5" customHeight="1" thickBot="1">
      <c r="A327" s="495"/>
      <c r="B327" s="833"/>
      <c r="C327" s="834"/>
      <c r="D327" s="560"/>
      <c r="E327" s="560"/>
      <c r="F327" s="560"/>
      <c r="G327" s="560"/>
      <c r="H327" s="560"/>
      <c r="I327" s="560"/>
      <c r="J327" s="560"/>
      <c r="K327" s="560"/>
      <c r="L327" s="560"/>
      <c r="M327" s="560"/>
      <c r="N327" s="560"/>
      <c r="O327" s="560"/>
      <c r="P327" s="842"/>
      <c r="Q327" s="531"/>
      <c r="R327" s="557"/>
      <c r="S327" s="843" t="s">
        <v>816</v>
      </c>
      <c r="T327" s="526" t="s">
        <v>817</v>
      </c>
      <c r="U327" s="527" t="e">
        <f>U326-#REF!</f>
        <v>#REF!</v>
      </c>
      <c r="V327" s="532" t="s">
        <v>818</v>
      </c>
      <c r="W327" s="529" t="e">
        <f>(#REF!+BM327)/1100000</f>
        <v>#REF!</v>
      </c>
      <c r="X327" s="89"/>
      <c r="Y327" s="73"/>
      <c r="Z327" s="837"/>
      <c r="AA327" s="837"/>
      <c r="AB327" s="735" t="s">
        <v>817</v>
      </c>
      <c r="AC327" s="744" t="e">
        <f>AC326-#REF!</f>
        <v>#REF!</v>
      </c>
      <c r="AD327" s="749" t="s">
        <v>824</v>
      </c>
      <c r="AE327" s="738"/>
      <c r="AF327" s="763"/>
      <c r="AG327" s="747"/>
      <c r="AH327" s="763"/>
      <c r="AI327" s="747"/>
      <c r="AJ327" s="763"/>
      <c r="AK327" s="747"/>
      <c r="AL327" s="763"/>
      <c r="AM327" s="747"/>
      <c r="AN327" s="763"/>
      <c r="AO327" s="747"/>
      <c r="AP327" s="763"/>
      <c r="AQ327" s="747"/>
      <c r="AR327" s="763"/>
      <c r="AS327" s="747"/>
      <c r="AT327" s="745"/>
      <c r="AU327" s="745"/>
      <c r="AV327" s="745"/>
      <c r="AW327" s="745"/>
      <c r="AX327" s="745"/>
      <c r="AY327" s="745"/>
    </row>
    <row r="328" spans="1:51" s="741" customFormat="1" ht="22.5" customHeight="1" thickBot="1">
      <c r="A328" s="490" t="s">
        <v>3069</v>
      </c>
      <c r="B328" s="824">
        <v>1</v>
      </c>
      <c r="C328" s="825">
        <f>B328+D328+E328+F328+G328+H328+I328+J328+K328+L328+M328+N328+O328</f>
        <v>1</v>
      </c>
      <c r="D328" s="826"/>
      <c r="E328" s="826"/>
      <c r="F328" s="826"/>
      <c r="G328" s="826"/>
      <c r="H328" s="826"/>
      <c r="I328" s="826"/>
      <c r="J328" s="826"/>
      <c r="K328" s="826"/>
      <c r="L328" s="826"/>
      <c r="M328" s="826"/>
      <c r="N328" s="826"/>
      <c r="O328" s="826"/>
      <c r="P328" s="838"/>
      <c r="Q328" s="537" t="s">
        <v>2660</v>
      </c>
      <c r="R328" s="553" t="s">
        <v>2661</v>
      </c>
      <c r="S328" s="828" t="s">
        <v>2662</v>
      </c>
      <c r="T328" s="521" t="s">
        <v>814</v>
      </c>
      <c r="U328" s="522">
        <f t="shared" ref="U328" si="19">BK328/1100000</f>
        <v>0</v>
      </c>
      <c r="V328" s="523" t="s">
        <v>832</v>
      </c>
      <c r="W328" s="524" t="e">
        <f>U328*0.8-(#REF!+W329)</f>
        <v>#REF!</v>
      </c>
      <c r="X328" s="299" t="s">
        <v>812</v>
      </c>
      <c r="Y328" s="547" t="s">
        <v>813</v>
      </c>
      <c r="Z328" s="829" t="s">
        <v>1111</v>
      </c>
      <c r="AA328" s="829"/>
      <c r="AB328" s="735" t="s">
        <v>814</v>
      </c>
      <c r="AC328" s="794">
        <v>62525400</v>
      </c>
      <c r="AD328" s="749" t="s">
        <v>35</v>
      </c>
      <c r="AE328" s="738">
        <f>SUM(AF328:AS328)</f>
        <v>3731477</v>
      </c>
      <c r="AF328" s="830" t="s">
        <v>1078</v>
      </c>
      <c r="AG328" s="740">
        <v>3731477</v>
      </c>
      <c r="AH328" s="832" t="s">
        <v>1079</v>
      </c>
      <c r="AI328" s="740"/>
      <c r="AJ328" s="832" t="s">
        <v>2512</v>
      </c>
      <c r="AK328" s="740"/>
      <c r="AL328" s="832" t="s">
        <v>1080</v>
      </c>
      <c r="AM328" s="740"/>
      <c r="AN328" s="832" t="s">
        <v>1081</v>
      </c>
      <c r="AO328" s="740"/>
      <c r="AP328" s="832"/>
      <c r="AQ328" s="740"/>
      <c r="AR328" s="832"/>
      <c r="AS328" s="740"/>
    </row>
    <row r="329" spans="1:51" s="741" customFormat="1" ht="22.5" customHeight="1" thickBot="1">
      <c r="A329" s="495"/>
      <c r="B329" s="833"/>
      <c r="C329" s="834"/>
      <c r="D329" s="560"/>
      <c r="E329" s="560"/>
      <c r="F329" s="560"/>
      <c r="G329" s="560"/>
      <c r="H329" s="560"/>
      <c r="I329" s="560"/>
      <c r="J329" s="560"/>
      <c r="K329" s="560"/>
      <c r="L329" s="560"/>
      <c r="M329" s="560"/>
      <c r="N329" s="560"/>
      <c r="O329" s="560"/>
      <c r="P329" s="842"/>
      <c r="Q329" s="531"/>
      <c r="R329" s="557"/>
      <c r="S329" s="843" t="s">
        <v>816</v>
      </c>
      <c r="T329" s="526" t="s">
        <v>817</v>
      </c>
      <c r="U329" s="527" t="e">
        <f>U328-#REF!</f>
        <v>#REF!</v>
      </c>
      <c r="V329" s="532" t="s">
        <v>818</v>
      </c>
      <c r="W329" s="529" t="e">
        <f>(#REF!+BM329)/1100000</f>
        <v>#REF!</v>
      </c>
      <c r="X329" s="89"/>
      <c r="Y329" s="73"/>
      <c r="Z329" s="837"/>
      <c r="AA329" s="837"/>
      <c r="AB329" s="735" t="s">
        <v>817</v>
      </c>
      <c r="AC329" s="744" t="e">
        <f>AC328-#REF!</f>
        <v>#REF!</v>
      </c>
      <c r="AD329" s="749" t="s">
        <v>824</v>
      </c>
      <c r="AE329" s="738"/>
      <c r="AF329" s="763"/>
      <c r="AG329" s="747"/>
      <c r="AH329" s="763"/>
      <c r="AI329" s="747"/>
      <c r="AJ329" s="763"/>
      <c r="AK329" s="747"/>
      <c r="AL329" s="763"/>
      <c r="AM329" s="747"/>
      <c r="AN329" s="763"/>
      <c r="AO329" s="747"/>
      <c r="AP329" s="763"/>
      <c r="AQ329" s="747"/>
      <c r="AR329" s="763"/>
      <c r="AS329" s="747"/>
      <c r="AT329" s="745"/>
      <c r="AU329" s="745"/>
      <c r="AV329" s="745"/>
      <c r="AW329" s="745"/>
      <c r="AX329" s="745"/>
      <c r="AY329" s="745"/>
    </row>
    <row r="330" spans="1:51" s="741" customFormat="1" ht="22.5" customHeight="1" thickBot="1">
      <c r="A330" s="490" t="s">
        <v>2665</v>
      </c>
      <c r="B330" s="858">
        <v>0.81340000000000001</v>
      </c>
      <c r="C330" s="825">
        <f>B330+D330+E330+F330+G330+H330+I330+J330+K330+L330+M330+N330+O330</f>
        <v>0.99840000000000018</v>
      </c>
      <c r="D330" s="915"/>
      <c r="E330" s="915"/>
      <c r="F330" s="915">
        <v>2.5000000000000001E-2</v>
      </c>
      <c r="G330" s="915">
        <v>2.5000000000000001E-2</v>
      </c>
      <c r="H330" s="915">
        <v>2.5000000000000001E-2</v>
      </c>
      <c r="I330" s="915">
        <v>3.1E-2</v>
      </c>
      <c r="J330" s="826">
        <v>3.1E-2</v>
      </c>
      <c r="K330" s="826">
        <v>1.2E-2</v>
      </c>
      <c r="L330" s="826">
        <v>1.2E-2</v>
      </c>
      <c r="M330" s="826">
        <v>1.2E-2</v>
      </c>
      <c r="N330" s="826">
        <v>1.2E-2</v>
      </c>
      <c r="O330" s="826"/>
      <c r="P330" s="869" t="s">
        <v>2666</v>
      </c>
      <c r="Q330" s="537" t="s">
        <v>2667</v>
      </c>
      <c r="R330" s="254" t="s">
        <v>2668</v>
      </c>
      <c r="S330" s="828" t="s">
        <v>2669</v>
      </c>
      <c r="T330" s="521" t="s">
        <v>814</v>
      </c>
      <c r="U330" s="522">
        <f>BK330/1100000</f>
        <v>0</v>
      </c>
      <c r="V330" s="523" t="s">
        <v>832</v>
      </c>
      <c r="W330" s="524" t="e">
        <f>U330*0.8-(#REF!+W331)</f>
        <v>#REF!</v>
      </c>
      <c r="X330" s="299" t="s">
        <v>812</v>
      </c>
      <c r="Y330" s="547" t="s">
        <v>813</v>
      </c>
      <c r="Z330" s="829" t="s">
        <v>2670</v>
      </c>
      <c r="AA330" s="829"/>
      <c r="AB330" s="735" t="s">
        <v>814</v>
      </c>
      <c r="AC330" s="794">
        <f>2686700000*0.3</f>
        <v>806010000</v>
      </c>
      <c r="AD330" s="749" t="s">
        <v>35</v>
      </c>
      <c r="AE330" s="738">
        <f>SUM(AF330:AS330)</f>
        <v>14871537</v>
      </c>
      <c r="AF330" s="830" t="s">
        <v>1078</v>
      </c>
      <c r="AG330" s="740">
        <v>14871537</v>
      </c>
      <c r="AH330" s="832" t="s">
        <v>1079</v>
      </c>
      <c r="AI330" s="740"/>
      <c r="AJ330" s="832" t="s">
        <v>2512</v>
      </c>
      <c r="AK330" s="740"/>
      <c r="AL330" s="832" t="s">
        <v>796</v>
      </c>
      <c r="AM330" s="740"/>
      <c r="AN330" s="832" t="s">
        <v>1081</v>
      </c>
      <c r="AO330" s="740"/>
      <c r="AP330" s="832"/>
      <c r="AQ330" s="740"/>
      <c r="AR330" s="832"/>
      <c r="AS330" s="740"/>
    </row>
    <row r="331" spans="1:51" s="741" customFormat="1" ht="22.5" customHeight="1" thickBot="1">
      <c r="A331" s="495"/>
      <c r="B331" s="861"/>
      <c r="C331" s="834"/>
      <c r="D331" s="560" t="s">
        <v>2567</v>
      </c>
      <c r="E331" s="560" t="s">
        <v>2567</v>
      </c>
      <c r="F331" s="560" t="s">
        <v>2671</v>
      </c>
      <c r="G331" s="560" t="s">
        <v>2672</v>
      </c>
      <c r="H331" s="560" t="s">
        <v>2673</v>
      </c>
      <c r="I331" s="560" t="s">
        <v>2674</v>
      </c>
      <c r="J331" s="841" t="s">
        <v>2675</v>
      </c>
      <c r="K331" s="841" t="s">
        <v>2676</v>
      </c>
      <c r="L331" s="560" t="s">
        <v>2677</v>
      </c>
      <c r="M331" s="560" t="s">
        <v>2678</v>
      </c>
      <c r="N331" s="560" t="s">
        <v>2679</v>
      </c>
      <c r="O331" s="560"/>
      <c r="P331" s="870"/>
      <c r="Q331" s="531"/>
      <c r="R331" s="255"/>
      <c r="S331" s="843" t="s">
        <v>816</v>
      </c>
      <c r="T331" s="526" t="s">
        <v>817</v>
      </c>
      <c r="U331" s="527" t="e">
        <f>U330-#REF!</f>
        <v>#REF!</v>
      </c>
      <c r="V331" s="532" t="s">
        <v>818</v>
      </c>
      <c r="W331" s="529" t="e">
        <f>(#REF!+BM331)/1100000</f>
        <v>#REF!</v>
      </c>
      <c r="X331" s="89"/>
      <c r="Y331" s="73"/>
      <c r="Z331" s="837"/>
      <c r="AA331" s="837"/>
      <c r="AB331" s="735" t="s">
        <v>817</v>
      </c>
      <c r="AC331" s="744" t="e">
        <f>AC330-#REF!</f>
        <v>#REF!</v>
      </c>
      <c r="AD331" s="749" t="s">
        <v>824</v>
      </c>
      <c r="AE331" s="738"/>
      <c r="AF331" s="763"/>
      <c r="AG331" s="747"/>
      <c r="AH331" s="763"/>
      <c r="AI331" s="747"/>
      <c r="AJ331" s="763"/>
      <c r="AK331" s="747"/>
      <c r="AL331" s="763"/>
      <c r="AM331" s="747"/>
      <c r="AN331" s="763"/>
      <c r="AO331" s="747"/>
      <c r="AP331" s="763"/>
      <c r="AQ331" s="747"/>
      <c r="AR331" s="763"/>
      <c r="AS331" s="747"/>
      <c r="AT331" s="745"/>
      <c r="AU331" s="745"/>
      <c r="AV331" s="745"/>
      <c r="AW331" s="745"/>
      <c r="AX331" s="745"/>
      <c r="AY331" s="745"/>
    </row>
    <row r="332" spans="1:51" s="953" customFormat="1" ht="22.5" customHeight="1" thickBot="1">
      <c r="A332" s="563" t="s">
        <v>2680</v>
      </c>
      <c r="B332" s="941"/>
      <c r="C332" s="825">
        <f>B332+D332+E332+F332+G332+H332+I332+J332+K332+L332+M332+N332+O332</f>
        <v>0</v>
      </c>
      <c r="D332" s="942"/>
      <c r="E332" s="942"/>
      <c r="F332" s="942"/>
      <c r="G332" s="942"/>
      <c r="H332" s="942"/>
      <c r="I332" s="942"/>
      <c r="J332" s="942"/>
      <c r="K332" s="942"/>
      <c r="L332" s="942"/>
      <c r="M332" s="942"/>
      <c r="N332" s="942"/>
      <c r="O332" s="942"/>
      <c r="P332" s="966" t="s">
        <v>2641</v>
      </c>
      <c r="Q332" s="683" t="s">
        <v>2681</v>
      </c>
      <c r="R332" s="680" t="s">
        <v>2682</v>
      </c>
      <c r="S332" s="944" t="s">
        <v>2683</v>
      </c>
      <c r="T332" s="632" t="s">
        <v>814</v>
      </c>
      <c r="U332" s="633">
        <f>BK332/1100000</f>
        <v>0</v>
      </c>
      <c r="V332" s="634" t="s">
        <v>832</v>
      </c>
      <c r="W332" s="635" t="e">
        <f>U332*0.8-(#REF!+W333)</f>
        <v>#REF!</v>
      </c>
      <c r="X332" s="945" t="s">
        <v>812</v>
      </c>
      <c r="Y332" s="946" t="s">
        <v>813</v>
      </c>
      <c r="Z332" s="947" t="s">
        <v>2684</v>
      </c>
      <c r="AA332" s="947"/>
      <c r="AB332" s="948" t="s">
        <v>814</v>
      </c>
      <c r="AC332" s="949">
        <v>84700000</v>
      </c>
      <c r="AD332" s="950" t="s">
        <v>35</v>
      </c>
      <c r="AE332" s="951">
        <f>SUM(AF332:AS332)</f>
        <v>0</v>
      </c>
      <c r="AF332" s="952" t="s">
        <v>1078</v>
      </c>
      <c r="AG332" s="951"/>
      <c r="AH332" s="950" t="s">
        <v>1079</v>
      </c>
      <c r="AI332" s="951">
        <f>AG332</f>
        <v>0</v>
      </c>
      <c r="AJ332" s="950" t="s">
        <v>2543</v>
      </c>
      <c r="AK332" s="951">
        <f>AG332</f>
        <v>0</v>
      </c>
      <c r="AL332" s="950" t="s">
        <v>55</v>
      </c>
      <c r="AM332" s="951"/>
      <c r="AN332" s="950" t="s">
        <v>52</v>
      </c>
      <c r="AO332" s="951"/>
      <c r="AP332" s="950"/>
      <c r="AQ332" s="951"/>
      <c r="AR332" s="950"/>
      <c r="AS332" s="951"/>
    </row>
    <row r="333" spans="1:51" s="953" customFormat="1" ht="22.5" customHeight="1" thickBot="1">
      <c r="A333" s="564"/>
      <c r="B333" s="954"/>
      <c r="C333" s="834"/>
      <c r="D333" s="687"/>
      <c r="E333" s="687"/>
      <c r="F333" s="687"/>
      <c r="G333" s="687"/>
      <c r="H333" s="687"/>
      <c r="I333" s="687"/>
      <c r="J333" s="687"/>
      <c r="K333" s="687"/>
      <c r="L333" s="687"/>
      <c r="M333" s="687"/>
      <c r="N333" s="687"/>
      <c r="O333" s="687"/>
      <c r="P333" s="956"/>
      <c r="Q333" s="640"/>
      <c r="R333" s="684"/>
      <c r="S333" s="957" t="s">
        <v>67</v>
      </c>
      <c r="T333" s="637" t="s">
        <v>196</v>
      </c>
      <c r="U333" s="638" t="e">
        <f>U332-#REF!</f>
        <v>#REF!</v>
      </c>
      <c r="V333" s="641" t="s">
        <v>15</v>
      </c>
      <c r="W333" s="639" t="e">
        <f>(#REF!+BM333)/1100000</f>
        <v>#REF!</v>
      </c>
      <c r="X333" s="945"/>
      <c r="Y333" s="946"/>
      <c r="Z333" s="958"/>
      <c r="AA333" s="958"/>
      <c r="AB333" s="948" t="s">
        <v>196</v>
      </c>
      <c r="AC333" s="959" t="e">
        <f>AC332-#REF!</f>
        <v>#REF!</v>
      </c>
      <c r="AD333" s="950" t="s">
        <v>100</v>
      </c>
      <c r="AE333" s="951"/>
      <c r="AF333" s="960"/>
      <c r="AG333" s="961"/>
      <c r="AH333" s="960"/>
      <c r="AI333" s="961"/>
      <c r="AJ333" s="960"/>
      <c r="AK333" s="961"/>
      <c r="AL333" s="960"/>
      <c r="AM333" s="961"/>
      <c r="AN333" s="960"/>
      <c r="AO333" s="961"/>
      <c r="AP333" s="960"/>
      <c r="AQ333" s="961"/>
      <c r="AR333" s="960"/>
      <c r="AS333" s="961"/>
    </row>
    <row r="334" spans="1:51" s="741" customFormat="1" ht="22.5" customHeight="1" thickBot="1">
      <c r="A334" s="490" t="s">
        <v>2685</v>
      </c>
      <c r="B334" s="824">
        <v>0.94399999999999995</v>
      </c>
      <c r="C334" s="825">
        <f>B334+D334+E334+F334+G334+H334+I334+J334+K334+L334+M334+N334+O334</f>
        <v>0.94399999999999995</v>
      </c>
      <c r="D334" s="826"/>
      <c r="E334" s="826"/>
      <c r="F334" s="826"/>
      <c r="G334" s="826"/>
      <c r="H334" s="826"/>
      <c r="I334" s="826"/>
      <c r="J334" s="826"/>
      <c r="K334" s="826"/>
      <c r="L334" s="826"/>
      <c r="M334" s="826"/>
      <c r="N334" s="826"/>
      <c r="O334" s="826"/>
      <c r="P334" s="827" t="s">
        <v>2686</v>
      </c>
      <c r="Q334" s="537" t="s">
        <v>2687</v>
      </c>
      <c r="R334" s="553" t="s">
        <v>2688</v>
      </c>
      <c r="S334" s="828" t="s">
        <v>2689</v>
      </c>
      <c r="T334" s="521" t="s">
        <v>89</v>
      </c>
      <c r="U334" s="522">
        <f>BK334/1100000</f>
        <v>0</v>
      </c>
      <c r="V334" s="523" t="s">
        <v>7</v>
      </c>
      <c r="W334" s="524" t="e">
        <f>U334*0.8-(#REF!+W335)</f>
        <v>#REF!</v>
      </c>
      <c r="X334" s="299" t="s">
        <v>90</v>
      </c>
      <c r="Y334" s="547" t="s">
        <v>34</v>
      </c>
      <c r="Z334" s="829" t="s">
        <v>2690</v>
      </c>
      <c r="AA334" s="829"/>
      <c r="AB334" s="735" t="s">
        <v>89</v>
      </c>
      <c r="AC334" s="794">
        <v>167343000</v>
      </c>
      <c r="AD334" s="749" t="s">
        <v>98</v>
      </c>
      <c r="AE334" s="738">
        <f>SUM(AF334:AS334)</f>
        <v>3470248</v>
      </c>
      <c r="AF334" s="830" t="s">
        <v>1104</v>
      </c>
      <c r="AG334" s="740"/>
      <c r="AH334" s="832" t="s">
        <v>1105</v>
      </c>
      <c r="AI334" s="740"/>
      <c r="AJ334" s="832" t="s">
        <v>2543</v>
      </c>
      <c r="AK334" s="740"/>
      <c r="AL334" s="832" t="s">
        <v>55</v>
      </c>
      <c r="AM334" s="740"/>
      <c r="AN334" s="832" t="s">
        <v>52</v>
      </c>
      <c r="AO334" s="740">
        <v>3470248</v>
      </c>
      <c r="AP334" s="832"/>
      <c r="AQ334" s="740"/>
      <c r="AR334" s="832"/>
      <c r="AS334" s="740"/>
    </row>
    <row r="335" spans="1:51" s="741" customFormat="1" ht="22.5" customHeight="1" thickBot="1">
      <c r="A335" s="495"/>
      <c r="B335" s="833"/>
      <c r="C335" s="834"/>
      <c r="D335" s="560"/>
      <c r="E335" s="560"/>
      <c r="F335" s="560"/>
      <c r="G335" s="560"/>
      <c r="H335" s="560"/>
      <c r="I335" s="560"/>
      <c r="J335" s="560"/>
      <c r="K335" s="560"/>
      <c r="L335" s="560"/>
      <c r="M335" s="560"/>
      <c r="N335" s="560"/>
      <c r="O335" s="560"/>
      <c r="P335" s="916" t="s">
        <v>2691</v>
      </c>
      <c r="Q335" s="531"/>
      <c r="R335" s="557"/>
      <c r="S335" s="836" t="s">
        <v>2692</v>
      </c>
      <c r="T335" s="526" t="s">
        <v>196</v>
      </c>
      <c r="U335" s="527" t="e">
        <f>U334-#REF!</f>
        <v>#REF!</v>
      </c>
      <c r="V335" s="532" t="s">
        <v>15</v>
      </c>
      <c r="W335" s="529" t="e">
        <f>(#REF!+BM335)/1100000</f>
        <v>#REF!</v>
      </c>
      <c r="X335" s="89"/>
      <c r="Y335" s="73"/>
      <c r="Z335" s="837"/>
      <c r="AA335" s="837"/>
      <c r="AB335" s="735" t="s">
        <v>196</v>
      </c>
      <c r="AC335" s="744" t="e">
        <f>AC334-#REF!</f>
        <v>#REF!</v>
      </c>
      <c r="AD335" s="749" t="s">
        <v>100</v>
      </c>
      <c r="AE335" s="738"/>
      <c r="AF335" s="763"/>
      <c r="AG335" s="747"/>
      <c r="AH335" s="763"/>
      <c r="AI335" s="747"/>
      <c r="AJ335" s="763"/>
      <c r="AK335" s="747"/>
      <c r="AL335" s="763"/>
      <c r="AM335" s="747"/>
      <c r="AN335" s="763"/>
      <c r="AO335" s="747"/>
      <c r="AP335" s="763"/>
      <c r="AQ335" s="747"/>
      <c r="AR335" s="763"/>
      <c r="AS335" s="747"/>
      <c r="AT335" s="745"/>
      <c r="AU335" s="745"/>
      <c r="AV335" s="745"/>
      <c r="AW335" s="745"/>
      <c r="AX335" s="745"/>
      <c r="AY335" s="745"/>
    </row>
    <row r="336" spans="1:51" s="741" customFormat="1" ht="22.5" customHeight="1" thickBot="1">
      <c r="A336" s="490" t="s">
        <v>3070</v>
      </c>
      <c r="B336" s="824">
        <v>1</v>
      </c>
      <c r="C336" s="825">
        <f>B336+D336+E336+F336+G336+H336+I336+J336+K336+L336+M336+N336+O336</f>
        <v>1</v>
      </c>
      <c r="D336" s="826"/>
      <c r="E336" s="826"/>
      <c r="F336" s="826"/>
      <c r="G336" s="826"/>
      <c r="H336" s="826"/>
      <c r="I336" s="826"/>
      <c r="J336" s="826"/>
      <c r="K336" s="826"/>
      <c r="L336" s="826"/>
      <c r="M336" s="826"/>
      <c r="N336" s="826"/>
      <c r="O336" s="826"/>
      <c r="P336" s="838" t="s">
        <v>2693</v>
      </c>
      <c r="Q336" s="537" t="s">
        <v>2694</v>
      </c>
      <c r="R336" s="254" t="s">
        <v>2695</v>
      </c>
      <c r="S336" s="828" t="s">
        <v>2696</v>
      </c>
      <c r="T336" s="521" t="s">
        <v>89</v>
      </c>
      <c r="U336" s="522">
        <f t="shared" ref="U336" si="20">BK336/1100000</f>
        <v>0</v>
      </c>
      <c r="V336" s="523" t="s">
        <v>7</v>
      </c>
      <c r="W336" s="524" t="e">
        <f>U336*0.8-(#REF!+W337)</f>
        <v>#REF!</v>
      </c>
      <c r="X336" s="299" t="s">
        <v>90</v>
      </c>
      <c r="Y336" s="547" t="s">
        <v>34</v>
      </c>
      <c r="Z336" s="829" t="s">
        <v>2697</v>
      </c>
      <c r="AA336" s="829"/>
      <c r="AB336" s="735" t="s">
        <v>89</v>
      </c>
      <c r="AC336" s="794">
        <v>288316000</v>
      </c>
      <c r="AD336" s="749" t="s">
        <v>98</v>
      </c>
      <c r="AE336" s="738">
        <f>SUM(AF336:AS336)</f>
        <v>4102284</v>
      </c>
      <c r="AF336" s="830" t="s">
        <v>1104</v>
      </c>
      <c r="AG336" s="740"/>
      <c r="AH336" s="832" t="s">
        <v>1105</v>
      </c>
      <c r="AI336" s="740">
        <v>4102284</v>
      </c>
      <c r="AJ336" s="832" t="s">
        <v>2543</v>
      </c>
      <c r="AK336" s="740">
        <f>AG336</f>
        <v>0</v>
      </c>
      <c r="AL336" s="832" t="s">
        <v>796</v>
      </c>
      <c r="AM336" s="740"/>
      <c r="AN336" s="832" t="s">
        <v>1081</v>
      </c>
      <c r="AO336" s="740"/>
      <c r="AP336" s="832"/>
      <c r="AQ336" s="740"/>
      <c r="AR336" s="832"/>
      <c r="AS336" s="740"/>
    </row>
    <row r="337" spans="1:51" s="741" customFormat="1" ht="22.5" customHeight="1" thickBot="1">
      <c r="A337" s="495"/>
      <c r="B337" s="833"/>
      <c r="C337" s="834"/>
      <c r="D337" s="560" t="s">
        <v>2701</v>
      </c>
      <c r="E337" s="560" t="s">
        <v>2702</v>
      </c>
      <c r="F337" s="560" t="s">
        <v>2703</v>
      </c>
      <c r="G337" s="560" t="s">
        <v>2704</v>
      </c>
      <c r="H337" s="560" t="s">
        <v>2705</v>
      </c>
      <c r="I337" s="560" t="s">
        <v>2706</v>
      </c>
      <c r="J337" s="841" t="s">
        <v>2707</v>
      </c>
      <c r="K337" s="841" t="s">
        <v>2708</v>
      </c>
      <c r="L337" s="560" t="s">
        <v>2709</v>
      </c>
      <c r="M337" s="560" t="s">
        <v>2710</v>
      </c>
      <c r="N337" s="560"/>
      <c r="O337" s="560"/>
      <c r="P337" s="870"/>
      <c r="Q337" s="531"/>
      <c r="R337" s="255"/>
      <c r="S337" s="843" t="s">
        <v>816</v>
      </c>
      <c r="T337" s="526" t="s">
        <v>817</v>
      </c>
      <c r="U337" s="527" t="e">
        <f>U336-#REF!</f>
        <v>#REF!</v>
      </c>
      <c r="V337" s="532" t="s">
        <v>818</v>
      </c>
      <c r="W337" s="529" t="e">
        <f>(#REF!+BM337)/1100000</f>
        <v>#REF!</v>
      </c>
      <c r="X337" s="89"/>
      <c r="Y337" s="73"/>
      <c r="Z337" s="837"/>
      <c r="AA337" s="837"/>
      <c r="AB337" s="735" t="s">
        <v>817</v>
      </c>
      <c r="AC337" s="744" t="e">
        <f>AC336-#REF!</f>
        <v>#REF!</v>
      </c>
      <c r="AD337" s="749" t="s">
        <v>824</v>
      </c>
      <c r="AE337" s="738"/>
      <c r="AF337" s="763"/>
      <c r="AG337" s="747"/>
      <c r="AH337" s="763"/>
      <c r="AI337" s="747"/>
      <c r="AJ337" s="763"/>
      <c r="AK337" s="747"/>
      <c r="AL337" s="763"/>
      <c r="AM337" s="747"/>
      <c r="AN337" s="763"/>
      <c r="AO337" s="747"/>
      <c r="AP337" s="763"/>
      <c r="AQ337" s="747"/>
      <c r="AR337" s="763"/>
      <c r="AS337" s="747"/>
      <c r="AT337" s="745"/>
      <c r="AU337" s="745"/>
      <c r="AV337" s="745"/>
      <c r="AW337" s="745"/>
      <c r="AX337" s="745"/>
      <c r="AY337" s="745"/>
    </row>
    <row r="338" spans="1:51" s="741" customFormat="1" ht="22.5" customHeight="1" thickBot="1">
      <c r="A338" s="490" t="s">
        <v>3071</v>
      </c>
      <c r="B338" s="858">
        <v>1</v>
      </c>
      <c r="C338" s="825">
        <f>B338+D338+E338+F338+G338+H338+I338+J338+K338+L338+M338+N338+O338</f>
        <v>1</v>
      </c>
      <c r="D338" s="826"/>
      <c r="E338" s="826"/>
      <c r="F338" s="826"/>
      <c r="G338" s="826"/>
      <c r="H338" s="826"/>
      <c r="I338" s="826"/>
      <c r="J338" s="826"/>
      <c r="K338" s="826"/>
      <c r="L338" s="826"/>
      <c r="M338" s="826"/>
      <c r="N338" s="826"/>
      <c r="O338" s="826"/>
      <c r="P338" s="838" t="s">
        <v>2712</v>
      </c>
      <c r="Q338" s="537" t="s">
        <v>2713</v>
      </c>
      <c r="R338" s="553" t="s">
        <v>2714</v>
      </c>
      <c r="S338" s="828" t="s">
        <v>2715</v>
      </c>
      <c r="T338" s="521" t="s">
        <v>814</v>
      </c>
      <c r="U338" s="522">
        <f t="shared" ref="U338" si="21">BK338/1100000</f>
        <v>0</v>
      </c>
      <c r="V338" s="523" t="s">
        <v>832</v>
      </c>
      <c r="W338" s="524" t="e">
        <f>U338*0.8-(#REF!+W339)</f>
        <v>#REF!</v>
      </c>
      <c r="X338" s="299" t="s">
        <v>812</v>
      </c>
      <c r="Y338" s="547" t="s">
        <v>813</v>
      </c>
      <c r="Z338" s="829" t="s">
        <v>2716</v>
      </c>
      <c r="AA338" s="829"/>
      <c r="AB338" s="735" t="s">
        <v>814</v>
      </c>
      <c r="AC338" s="794">
        <v>327266875</v>
      </c>
      <c r="AD338" s="749" t="s">
        <v>35</v>
      </c>
      <c r="AE338" s="738">
        <f>SUM(AF338:AS338)</f>
        <v>6143942</v>
      </c>
      <c r="AF338" s="830" t="s">
        <v>1078</v>
      </c>
      <c r="AG338" s="740"/>
      <c r="AH338" s="832" t="s">
        <v>1079</v>
      </c>
      <c r="AI338" s="740"/>
      <c r="AJ338" s="832" t="s">
        <v>2512</v>
      </c>
      <c r="AK338" s="740">
        <v>6143942</v>
      </c>
      <c r="AL338" s="832" t="s">
        <v>796</v>
      </c>
      <c r="AM338" s="740"/>
      <c r="AN338" s="832" t="s">
        <v>1081</v>
      </c>
      <c r="AO338" s="740"/>
      <c r="AP338" s="832"/>
      <c r="AQ338" s="740"/>
      <c r="AR338" s="832"/>
      <c r="AS338" s="740"/>
    </row>
    <row r="339" spans="1:51" s="741" customFormat="1" ht="22.5" customHeight="1" thickBot="1">
      <c r="A339" s="495"/>
      <c r="B339" s="861"/>
      <c r="C339" s="834"/>
      <c r="D339" s="560" t="s">
        <v>2718</v>
      </c>
      <c r="E339" s="560" t="s">
        <v>2719</v>
      </c>
      <c r="F339" s="560" t="s">
        <v>2720</v>
      </c>
      <c r="G339" s="560"/>
      <c r="H339" s="560"/>
      <c r="I339" s="560"/>
      <c r="J339" s="560"/>
      <c r="K339" s="560"/>
      <c r="L339" s="560"/>
      <c r="M339" s="560"/>
      <c r="N339" s="560"/>
      <c r="O339" s="560"/>
      <c r="P339" s="870"/>
      <c r="Q339" s="531"/>
      <c r="R339" s="557"/>
      <c r="S339" s="843" t="s">
        <v>816</v>
      </c>
      <c r="T339" s="526" t="s">
        <v>817</v>
      </c>
      <c r="U339" s="527" t="e">
        <f>U338-#REF!</f>
        <v>#REF!</v>
      </c>
      <c r="V339" s="532" t="s">
        <v>818</v>
      </c>
      <c r="W339" s="529" t="e">
        <f>(#REF!+BM339)/1100000</f>
        <v>#REF!</v>
      </c>
      <c r="X339" s="89"/>
      <c r="Y339" s="73"/>
      <c r="Z339" s="837"/>
      <c r="AA339" s="837"/>
      <c r="AB339" s="735" t="s">
        <v>817</v>
      </c>
      <c r="AC339" s="744" t="e">
        <f>AC338-#REF!</f>
        <v>#REF!</v>
      </c>
      <c r="AD339" s="749" t="s">
        <v>824</v>
      </c>
      <c r="AE339" s="738"/>
      <c r="AF339" s="763"/>
      <c r="AG339" s="747"/>
      <c r="AH339" s="763"/>
      <c r="AI339" s="747"/>
      <c r="AJ339" s="763"/>
      <c r="AK339" s="747"/>
      <c r="AL339" s="763"/>
      <c r="AM339" s="747"/>
      <c r="AN339" s="763"/>
      <c r="AO339" s="747"/>
      <c r="AP339" s="763"/>
      <c r="AQ339" s="747"/>
      <c r="AR339" s="763"/>
      <c r="AS339" s="747"/>
      <c r="AT339" s="745"/>
      <c r="AU339" s="745"/>
      <c r="AV339" s="745"/>
      <c r="AW339" s="745"/>
      <c r="AX339" s="745"/>
      <c r="AY339" s="745"/>
    </row>
    <row r="340" spans="1:51" s="741" customFormat="1" ht="22.5" customHeight="1" thickBot="1">
      <c r="A340" s="490" t="s">
        <v>3072</v>
      </c>
      <c r="B340" s="824">
        <v>0</v>
      </c>
      <c r="C340" s="825">
        <f>B340+D340+E340+F340+G340+H340+I340+J340+K340+L340+M340+N340+O340</f>
        <v>0</v>
      </c>
      <c r="D340" s="826"/>
      <c r="E340" s="826"/>
      <c r="F340" s="826"/>
      <c r="G340" s="826"/>
      <c r="H340" s="826"/>
      <c r="I340" s="826"/>
      <c r="J340" s="826"/>
      <c r="K340" s="826"/>
      <c r="L340" s="826"/>
      <c r="M340" s="826"/>
      <c r="N340" s="826"/>
      <c r="O340" s="826"/>
      <c r="P340" s="918" t="s">
        <v>2723</v>
      </c>
      <c r="Q340" s="537" t="s">
        <v>2724</v>
      </c>
      <c r="R340" s="553" t="s">
        <v>2725</v>
      </c>
      <c r="S340" s="828" t="s">
        <v>2726</v>
      </c>
      <c r="T340" s="521" t="s">
        <v>89</v>
      </c>
      <c r="U340" s="522">
        <f t="shared" ref="U340" si="22">BK340/1100000</f>
        <v>0</v>
      </c>
      <c r="V340" s="523" t="s">
        <v>7</v>
      </c>
      <c r="W340" s="524" t="e">
        <f>U340*0.8-(#REF!+W341)</f>
        <v>#REF!</v>
      </c>
      <c r="X340" s="299" t="s">
        <v>90</v>
      </c>
      <c r="Y340" s="547" t="s">
        <v>34</v>
      </c>
      <c r="Z340" s="829" t="s">
        <v>110</v>
      </c>
      <c r="AA340" s="829"/>
      <c r="AB340" s="735" t="s">
        <v>89</v>
      </c>
      <c r="AC340" s="794">
        <v>9766000</v>
      </c>
      <c r="AD340" s="749" t="s">
        <v>98</v>
      </c>
      <c r="AE340" s="738">
        <f>SUM(AF340:AS340)</f>
        <v>0</v>
      </c>
      <c r="AF340" s="830" t="s">
        <v>1104</v>
      </c>
      <c r="AG340" s="740"/>
      <c r="AH340" s="832" t="s">
        <v>1105</v>
      </c>
      <c r="AI340" s="740">
        <f>AG340</f>
        <v>0</v>
      </c>
      <c r="AJ340" s="832" t="s">
        <v>2543</v>
      </c>
      <c r="AK340" s="740">
        <f>AG340</f>
        <v>0</v>
      </c>
      <c r="AL340" s="832" t="s">
        <v>796</v>
      </c>
      <c r="AM340" s="740"/>
      <c r="AN340" s="832" t="s">
        <v>1081</v>
      </c>
      <c r="AO340" s="740"/>
      <c r="AP340" s="832"/>
      <c r="AQ340" s="740"/>
      <c r="AR340" s="832"/>
      <c r="AS340" s="740"/>
    </row>
    <row r="341" spans="1:51" s="741" customFormat="1" ht="22.5" customHeight="1" thickBot="1">
      <c r="A341" s="495"/>
      <c r="B341" s="833"/>
      <c r="C341" s="834"/>
      <c r="D341" s="560"/>
      <c r="E341" s="560"/>
      <c r="F341" s="560"/>
      <c r="G341" s="560"/>
      <c r="H341" s="560"/>
      <c r="I341" s="560"/>
      <c r="J341" s="560"/>
      <c r="K341" s="560"/>
      <c r="L341" s="560"/>
      <c r="M341" s="560"/>
      <c r="N341" s="560"/>
      <c r="O341" s="560"/>
      <c r="P341" s="842"/>
      <c r="Q341" s="531"/>
      <c r="R341" s="557"/>
      <c r="S341" s="843" t="s">
        <v>816</v>
      </c>
      <c r="T341" s="526" t="s">
        <v>817</v>
      </c>
      <c r="U341" s="527" t="e">
        <f>U340-#REF!</f>
        <v>#REF!</v>
      </c>
      <c r="V341" s="532" t="s">
        <v>818</v>
      </c>
      <c r="W341" s="529" t="e">
        <f>(#REF!+BM341)/1100000</f>
        <v>#REF!</v>
      </c>
      <c r="X341" s="89"/>
      <c r="Y341" s="73"/>
      <c r="Z341" s="837"/>
      <c r="AA341" s="837"/>
      <c r="AB341" s="735" t="s">
        <v>817</v>
      </c>
      <c r="AC341" s="744" t="e">
        <f>AC340-#REF!</f>
        <v>#REF!</v>
      </c>
      <c r="AD341" s="749" t="s">
        <v>824</v>
      </c>
      <c r="AE341" s="738"/>
      <c r="AF341" s="763"/>
      <c r="AG341" s="747"/>
      <c r="AH341" s="763"/>
      <c r="AI341" s="747"/>
      <c r="AJ341" s="763"/>
      <c r="AK341" s="747"/>
      <c r="AL341" s="763"/>
      <c r="AM341" s="747"/>
      <c r="AN341" s="763"/>
      <c r="AO341" s="747"/>
      <c r="AP341" s="763"/>
      <c r="AQ341" s="747"/>
      <c r="AR341" s="763"/>
      <c r="AS341" s="747"/>
      <c r="AT341" s="745"/>
      <c r="AU341" s="745"/>
      <c r="AV341" s="745"/>
      <c r="AW341" s="745"/>
      <c r="AX341" s="745"/>
      <c r="AY341" s="745"/>
    </row>
    <row r="342" spans="1:51" s="741" customFormat="1" ht="22.5" customHeight="1" thickBot="1">
      <c r="A342" s="490" t="s">
        <v>3073</v>
      </c>
      <c r="B342" s="824">
        <v>1</v>
      </c>
      <c r="C342" s="825">
        <f>B342+D342+E342+F342+G342+H342+I342+J342+K342+L342+M342+N342+O342</f>
        <v>1</v>
      </c>
      <c r="D342" s="826"/>
      <c r="E342" s="826"/>
      <c r="F342" s="826"/>
      <c r="G342" s="826"/>
      <c r="H342" s="826"/>
      <c r="I342" s="826"/>
      <c r="J342" s="826"/>
      <c r="K342" s="826"/>
      <c r="L342" s="826"/>
      <c r="M342" s="826"/>
      <c r="N342" s="826"/>
      <c r="O342" s="826"/>
      <c r="P342" s="838"/>
      <c r="Q342" s="537" t="s">
        <v>2724</v>
      </c>
      <c r="R342" s="553" t="s">
        <v>2729</v>
      </c>
      <c r="S342" s="828" t="s">
        <v>2726</v>
      </c>
      <c r="T342" s="521" t="s">
        <v>89</v>
      </c>
      <c r="U342" s="522">
        <f t="shared" ref="U342" si="23">BK342/1100000</f>
        <v>0</v>
      </c>
      <c r="V342" s="523" t="s">
        <v>7</v>
      </c>
      <c r="W342" s="524" t="e">
        <f>U342*0.8-(#REF!+W343)</f>
        <v>#REF!</v>
      </c>
      <c r="X342" s="299" t="s">
        <v>90</v>
      </c>
      <c r="Y342" s="547" t="s">
        <v>34</v>
      </c>
      <c r="Z342" s="829" t="s">
        <v>2730</v>
      </c>
      <c r="AA342" s="829"/>
      <c r="AB342" s="735" t="s">
        <v>89</v>
      </c>
      <c r="AC342" s="794">
        <v>26596000</v>
      </c>
      <c r="AD342" s="749" t="s">
        <v>98</v>
      </c>
      <c r="AE342" s="738">
        <f>SUM(AF342:AS342)</f>
        <v>0</v>
      </c>
      <c r="AF342" s="830" t="s">
        <v>1104</v>
      </c>
      <c r="AG342" s="740"/>
      <c r="AH342" s="832" t="s">
        <v>1105</v>
      </c>
      <c r="AI342" s="740">
        <f>AG342</f>
        <v>0</v>
      </c>
      <c r="AJ342" s="832" t="s">
        <v>2512</v>
      </c>
      <c r="AK342" s="740">
        <f>AG342</f>
        <v>0</v>
      </c>
      <c r="AL342" s="832" t="s">
        <v>796</v>
      </c>
      <c r="AM342" s="740"/>
      <c r="AN342" s="832" t="s">
        <v>1081</v>
      </c>
      <c r="AO342" s="740"/>
      <c r="AP342" s="832"/>
      <c r="AQ342" s="740"/>
      <c r="AR342" s="832"/>
      <c r="AS342" s="740"/>
    </row>
    <row r="343" spans="1:51" s="741" customFormat="1" ht="22.5" customHeight="1" thickBot="1">
      <c r="A343" s="495"/>
      <c r="B343" s="833"/>
      <c r="C343" s="834"/>
      <c r="D343" s="560"/>
      <c r="E343" s="560"/>
      <c r="F343" s="560"/>
      <c r="G343" s="560"/>
      <c r="H343" s="560"/>
      <c r="I343" s="560"/>
      <c r="J343" s="560"/>
      <c r="K343" s="560"/>
      <c r="L343" s="560"/>
      <c r="M343" s="560"/>
      <c r="N343" s="560"/>
      <c r="O343" s="560"/>
      <c r="P343" s="842"/>
      <c r="Q343" s="531"/>
      <c r="R343" s="557"/>
      <c r="S343" s="843" t="s">
        <v>816</v>
      </c>
      <c r="T343" s="526" t="s">
        <v>817</v>
      </c>
      <c r="U343" s="527" t="e">
        <f>U342-#REF!</f>
        <v>#REF!</v>
      </c>
      <c r="V343" s="532" t="s">
        <v>818</v>
      </c>
      <c r="W343" s="529" t="e">
        <f>(#REF!+BM343)/1100000</f>
        <v>#REF!</v>
      </c>
      <c r="X343" s="89"/>
      <c r="Y343" s="73"/>
      <c r="Z343" s="837"/>
      <c r="AA343" s="837"/>
      <c r="AB343" s="735" t="s">
        <v>817</v>
      </c>
      <c r="AC343" s="744" t="e">
        <f>AC342-#REF!</f>
        <v>#REF!</v>
      </c>
      <c r="AD343" s="749" t="s">
        <v>824</v>
      </c>
      <c r="AE343" s="738"/>
      <c r="AF343" s="763"/>
      <c r="AG343" s="747"/>
      <c r="AH343" s="763"/>
      <c r="AI343" s="747"/>
      <c r="AJ343" s="763"/>
      <c r="AK343" s="747"/>
      <c r="AL343" s="763"/>
      <c r="AM343" s="747"/>
      <c r="AN343" s="763"/>
      <c r="AO343" s="747"/>
      <c r="AP343" s="763"/>
      <c r="AQ343" s="747"/>
      <c r="AR343" s="763"/>
      <c r="AS343" s="747"/>
      <c r="AT343" s="745"/>
      <c r="AU343" s="745"/>
      <c r="AV343" s="745"/>
      <c r="AW343" s="745"/>
      <c r="AX343" s="745"/>
      <c r="AY343" s="745"/>
    </row>
    <row r="344" spans="1:51" s="953" customFormat="1" ht="22.5" customHeight="1" thickBot="1">
      <c r="A344" s="563" t="s">
        <v>2737</v>
      </c>
      <c r="B344" s="941">
        <v>5.0999999999999997E-2</v>
      </c>
      <c r="C344" s="825">
        <f>B344+D344+E344+F344+G344+H344+I344+J344+K344+L344+M344+N344+O344</f>
        <v>5.0999999999999997E-2</v>
      </c>
      <c r="D344" s="942"/>
      <c r="E344" s="942"/>
      <c r="F344" s="942"/>
      <c r="G344" s="942"/>
      <c r="H344" s="942"/>
      <c r="I344" s="942"/>
      <c r="J344" s="942"/>
      <c r="K344" s="942"/>
      <c r="L344" s="942"/>
      <c r="M344" s="942"/>
      <c r="N344" s="942"/>
      <c r="O344" s="942"/>
      <c r="P344" s="962" t="s">
        <v>2738</v>
      </c>
      <c r="Q344" s="683" t="s">
        <v>2739</v>
      </c>
      <c r="R344" s="680" t="s">
        <v>2740</v>
      </c>
      <c r="S344" s="944" t="s">
        <v>2741</v>
      </c>
      <c r="T344" s="632" t="s">
        <v>814</v>
      </c>
      <c r="U344" s="633">
        <f>BK344/1100000</f>
        <v>0</v>
      </c>
      <c r="V344" s="634" t="s">
        <v>832</v>
      </c>
      <c r="W344" s="635" t="e">
        <f>U344*0.8-(#REF!+W345)</f>
        <v>#REF!</v>
      </c>
      <c r="X344" s="945" t="s">
        <v>812</v>
      </c>
      <c r="Y344" s="946" t="s">
        <v>813</v>
      </c>
      <c r="Z344" s="963" t="s">
        <v>1848</v>
      </c>
      <c r="AA344" s="963"/>
      <c r="AB344" s="948" t="s">
        <v>814</v>
      </c>
      <c r="AC344" s="949">
        <v>2480000000</v>
      </c>
      <c r="AD344" s="950" t="s">
        <v>35</v>
      </c>
      <c r="AE344" s="951">
        <f>SUM(AF344:AS344)</f>
        <v>0</v>
      </c>
      <c r="AF344" s="952" t="s">
        <v>1078</v>
      </c>
      <c r="AG344" s="951"/>
      <c r="AH344" s="950" t="s">
        <v>1079</v>
      </c>
      <c r="AI344" s="951">
        <f>AG344</f>
        <v>0</v>
      </c>
      <c r="AJ344" s="950" t="s">
        <v>2512</v>
      </c>
      <c r="AK344" s="951">
        <f>AG344</f>
        <v>0</v>
      </c>
      <c r="AL344" s="950" t="s">
        <v>2742</v>
      </c>
      <c r="AM344" s="951"/>
      <c r="AN344" s="950" t="s">
        <v>2743</v>
      </c>
      <c r="AO344" s="951"/>
      <c r="AP344" s="950"/>
      <c r="AQ344" s="951"/>
      <c r="AR344" s="950"/>
      <c r="AS344" s="951"/>
    </row>
    <row r="345" spans="1:51" s="953" customFormat="1" ht="22.5" customHeight="1" thickBot="1">
      <c r="A345" s="564"/>
      <c r="B345" s="954"/>
      <c r="C345" s="834"/>
      <c r="D345" s="687"/>
      <c r="E345" s="687"/>
      <c r="F345" s="687"/>
      <c r="G345" s="687"/>
      <c r="H345" s="687"/>
      <c r="I345" s="687"/>
      <c r="J345" s="687"/>
      <c r="K345" s="687"/>
      <c r="L345" s="687"/>
      <c r="M345" s="687"/>
      <c r="N345" s="687"/>
      <c r="O345" s="687"/>
      <c r="P345" s="964"/>
      <c r="Q345" s="640"/>
      <c r="R345" s="684"/>
      <c r="S345" s="957" t="s">
        <v>2744</v>
      </c>
      <c r="T345" s="637" t="s">
        <v>1668</v>
      </c>
      <c r="U345" s="638" t="e">
        <f>U344-#REF!</f>
        <v>#REF!</v>
      </c>
      <c r="V345" s="641" t="s">
        <v>2745</v>
      </c>
      <c r="W345" s="639" t="e">
        <f>(#REF!+BM345)/1100000</f>
        <v>#REF!</v>
      </c>
      <c r="X345" s="945"/>
      <c r="Y345" s="946"/>
      <c r="Z345" s="965"/>
      <c r="AA345" s="965"/>
      <c r="AB345" s="948" t="s">
        <v>1668</v>
      </c>
      <c r="AC345" s="959" t="e">
        <f>AC344-#REF!</f>
        <v>#REF!</v>
      </c>
      <c r="AD345" s="950" t="s">
        <v>2746</v>
      </c>
      <c r="AE345" s="951"/>
      <c r="AF345" s="960"/>
      <c r="AG345" s="961"/>
      <c r="AH345" s="960"/>
      <c r="AI345" s="961"/>
      <c r="AJ345" s="960"/>
      <c r="AK345" s="961"/>
      <c r="AL345" s="960"/>
      <c r="AM345" s="961"/>
      <c r="AN345" s="960"/>
      <c r="AO345" s="961"/>
      <c r="AP345" s="960"/>
      <c r="AQ345" s="961"/>
      <c r="AR345" s="960"/>
      <c r="AS345" s="961"/>
    </row>
    <row r="346" spans="1:51" s="953" customFormat="1" ht="22.5" customHeight="1" thickBot="1">
      <c r="A346" s="563" t="s">
        <v>2747</v>
      </c>
      <c r="B346" s="941">
        <v>0.159</v>
      </c>
      <c r="C346" s="825">
        <f>B346+D346+E346+F346+G346+H346+I346+J346+K346+L346+M346+N346+O346</f>
        <v>0.29100000000000009</v>
      </c>
      <c r="D346" s="942">
        <v>1.2E-2</v>
      </c>
      <c r="E346" s="942">
        <v>1.2E-2</v>
      </c>
      <c r="F346" s="942">
        <v>1.2E-2</v>
      </c>
      <c r="G346" s="942">
        <v>1.2E-2</v>
      </c>
      <c r="H346" s="942">
        <v>1.2E-2</v>
      </c>
      <c r="I346" s="942">
        <v>1.2E-2</v>
      </c>
      <c r="J346" s="942">
        <v>1.2E-2</v>
      </c>
      <c r="K346" s="942">
        <v>1.2E-2</v>
      </c>
      <c r="L346" s="942">
        <v>1.2E-2</v>
      </c>
      <c r="M346" s="942">
        <v>1.2E-2</v>
      </c>
      <c r="N346" s="942">
        <v>1.2E-2</v>
      </c>
      <c r="O346" s="942"/>
      <c r="P346" s="631" t="s">
        <v>2748</v>
      </c>
      <c r="Q346" s="683" t="s">
        <v>2749</v>
      </c>
      <c r="R346" s="680" t="s">
        <v>2750</v>
      </c>
      <c r="S346" s="944" t="s">
        <v>2751</v>
      </c>
      <c r="T346" s="632" t="s">
        <v>2752</v>
      </c>
      <c r="U346" s="633">
        <f>BK346/1100000</f>
        <v>0</v>
      </c>
      <c r="V346" s="634" t="s">
        <v>2753</v>
      </c>
      <c r="W346" s="635" t="e">
        <f>U346*0.8-(#REF!+W347)</f>
        <v>#REF!</v>
      </c>
      <c r="X346" s="945" t="s">
        <v>2510</v>
      </c>
      <c r="Y346" s="946" t="s">
        <v>2754</v>
      </c>
      <c r="Z346" s="947" t="s">
        <v>2755</v>
      </c>
      <c r="AA346" s="947"/>
      <c r="AB346" s="948" t="s">
        <v>2752</v>
      </c>
      <c r="AC346" s="949">
        <v>1053683400</v>
      </c>
      <c r="AD346" s="950" t="s">
        <v>2756</v>
      </c>
      <c r="AE346" s="951">
        <f>SUM(AF346:AS346)</f>
        <v>28542830</v>
      </c>
      <c r="AF346" s="952" t="s">
        <v>2757</v>
      </c>
      <c r="AG346" s="951">
        <v>14271415</v>
      </c>
      <c r="AH346" s="950" t="s">
        <v>2758</v>
      </c>
      <c r="AI346" s="951"/>
      <c r="AJ346" s="950" t="s">
        <v>2759</v>
      </c>
      <c r="AK346" s="951">
        <f>AG346</f>
        <v>14271415</v>
      </c>
      <c r="AL346" s="950" t="s">
        <v>2742</v>
      </c>
      <c r="AM346" s="951"/>
      <c r="AN346" s="950" t="s">
        <v>2743</v>
      </c>
      <c r="AO346" s="951"/>
      <c r="AP346" s="950"/>
      <c r="AQ346" s="951"/>
      <c r="AR346" s="950"/>
      <c r="AS346" s="951"/>
    </row>
    <row r="347" spans="1:51" s="953" customFormat="1" ht="22.5" customHeight="1" thickBot="1">
      <c r="A347" s="564"/>
      <c r="B347" s="954"/>
      <c r="C347" s="834"/>
      <c r="D347" s="687" t="s">
        <v>2760</v>
      </c>
      <c r="E347" s="687" t="s">
        <v>2760</v>
      </c>
      <c r="F347" s="687" t="s">
        <v>2761</v>
      </c>
      <c r="G347" s="687" t="s">
        <v>2762</v>
      </c>
      <c r="H347" s="687" t="s">
        <v>2763</v>
      </c>
      <c r="I347" s="687" t="s">
        <v>2764</v>
      </c>
      <c r="J347" s="687" t="s">
        <v>2765</v>
      </c>
      <c r="K347" s="687" t="s">
        <v>2766</v>
      </c>
      <c r="L347" s="687" t="s">
        <v>2767</v>
      </c>
      <c r="M347" s="687" t="s">
        <v>2768</v>
      </c>
      <c r="N347" s="687" t="s">
        <v>2769</v>
      </c>
      <c r="O347" s="687"/>
      <c r="P347" s="956"/>
      <c r="Q347" s="640"/>
      <c r="R347" s="684"/>
      <c r="S347" s="957" t="s">
        <v>2770</v>
      </c>
      <c r="T347" s="637" t="s">
        <v>1668</v>
      </c>
      <c r="U347" s="638" t="e">
        <f>U346-#REF!</f>
        <v>#REF!</v>
      </c>
      <c r="V347" s="641" t="s">
        <v>2745</v>
      </c>
      <c r="W347" s="639" t="e">
        <f>(#REF!+BM347)/1100000</f>
        <v>#REF!</v>
      </c>
      <c r="X347" s="945"/>
      <c r="Y347" s="946"/>
      <c r="Z347" s="958"/>
      <c r="AA347" s="958"/>
      <c r="AB347" s="948" t="s">
        <v>1668</v>
      </c>
      <c r="AC347" s="959" t="e">
        <f>AC346-#REF!</f>
        <v>#REF!</v>
      </c>
      <c r="AD347" s="950" t="s">
        <v>2746</v>
      </c>
      <c r="AE347" s="951"/>
      <c r="AF347" s="960"/>
      <c r="AG347" s="961"/>
      <c r="AH347" s="960"/>
      <c r="AI347" s="961"/>
      <c r="AJ347" s="960"/>
      <c r="AK347" s="961"/>
      <c r="AL347" s="960"/>
      <c r="AM347" s="961"/>
      <c r="AN347" s="960"/>
      <c r="AO347" s="961"/>
      <c r="AP347" s="960"/>
      <c r="AQ347" s="961"/>
      <c r="AR347" s="960"/>
      <c r="AS347" s="961"/>
    </row>
    <row r="348" spans="1:51" s="741" customFormat="1" ht="22.5" customHeight="1" thickBot="1">
      <c r="A348" s="490" t="s">
        <v>2771</v>
      </c>
      <c r="B348" s="824">
        <v>0.33200000000000002</v>
      </c>
      <c r="C348" s="825">
        <f>B348+D348+E348+F348+G348+H348+I348+J348+K348+L348+M348+N348+O348</f>
        <v>0.51900000000000013</v>
      </c>
      <c r="D348" s="826">
        <v>1.7000000000000001E-2</v>
      </c>
      <c r="E348" s="826">
        <v>1.7000000000000001E-2</v>
      </c>
      <c r="F348" s="826">
        <v>1.7000000000000001E-2</v>
      </c>
      <c r="G348" s="826">
        <v>1.7000000000000001E-2</v>
      </c>
      <c r="H348" s="826">
        <v>1.7000000000000001E-2</v>
      </c>
      <c r="I348" s="826">
        <v>1.7000000000000001E-2</v>
      </c>
      <c r="J348" s="826">
        <v>1.7000000000000001E-2</v>
      </c>
      <c r="K348" s="826">
        <v>1.7000000000000001E-2</v>
      </c>
      <c r="L348" s="826">
        <v>1.7000000000000001E-2</v>
      </c>
      <c r="M348" s="826">
        <v>1.7000000000000001E-2</v>
      </c>
      <c r="N348" s="826">
        <v>1.7000000000000001E-2</v>
      </c>
      <c r="O348" s="826"/>
      <c r="P348" s="520" t="s">
        <v>2772</v>
      </c>
      <c r="Q348" s="537" t="s">
        <v>2773</v>
      </c>
      <c r="R348" s="553" t="s">
        <v>2774</v>
      </c>
      <c r="S348" s="828" t="s">
        <v>2775</v>
      </c>
      <c r="T348" s="521" t="s">
        <v>2752</v>
      </c>
      <c r="U348" s="522">
        <f>BK348/1100000</f>
        <v>0</v>
      </c>
      <c r="V348" s="523" t="s">
        <v>2753</v>
      </c>
      <c r="W348" s="524" t="e">
        <f>U348*0.8-(#REF!+W349)</f>
        <v>#REF!</v>
      </c>
      <c r="X348" s="299" t="s">
        <v>2510</v>
      </c>
      <c r="Y348" s="547" t="s">
        <v>2754</v>
      </c>
      <c r="Z348" s="829" t="s">
        <v>2776</v>
      </c>
      <c r="AA348" s="829"/>
      <c r="AB348" s="735" t="s">
        <v>2752</v>
      </c>
      <c r="AC348" s="794">
        <v>666720000</v>
      </c>
      <c r="AD348" s="749" t="s">
        <v>2756</v>
      </c>
      <c r="AE348" s="738">
        <f>SUM(AF348:AS348)</f>
        <v>29279418</v>
      </c>
      <c r="AF348" s="830" t="s">
        <v>2757</v>
      </c>
      <c r="AG348" s="740">
        <v>14639709</v>
      </c>
      <c r="AH348" s="832" t="s">
        <v>2758</v>
      </c>
      <c r="AI348" s="740"/>
      <c r="AJ348" s="832" t="s">
        <v>2759</v>
      </c>
      <c r="AK348" s="740">
        <f>AG348</f>
        <v>14639709</v>
      </c>
      <c r="AL348" s="832" t="s">
        <v>2777</v>
      </c>
      <c r="AM348" s="740"/>
      <c r="AN348" s="832" t="s">
        <v>2778</v>
      </c>
      <c r="AO348" s="740"/>
      <c r="AP348" s="832"/>
      <c r="AQ348" s="740"/>
      <c r="AR348" s="832"/>
      <c r="AS348" s="740"/>
    </row>
    <row r="349" spans="1:51" s="741" customFormat="1" ht="22.5" customHeight="1" thickBot="1">
      <c r="A349" s="495"/>
      <c r="B349" s="833"/>
      <c r="C349" s="834"/>
      <c r="D349" s="560" t="s">
        <v>2779</v>
      </c>
      <c r="E349" s="560" t="s">
        <v>2780</v>
      </c>
      <c r="F349" s="560" t="s">
        <v>2781</v>
      </c>
      <c r="G349" s="560" t="s">
        <v>2782</v>
      </c>
      <c r="H349" s="560" t="s">
        <v>2783</v>
      </c>
      <c r="I349" s="560" t="s">
        <v>2784</v>
      </c>
      <c r="J349" s="560" t="s">
        <v>2785</v>
      </c>
      <c r="K349" s="841" t="s">
        <v>2786</v>
      </c>
      <c r="L349" s="560" t="s">
        <v>2787</v>
      </c>
      <c r="M349" s="560" t="s">
        <v>2788</v>
      </c>
      <c r="N349" s="560" t="s">
        <v>2789</v>
      </c>
      <c r="O349" s="560"/>
      <c r="P349" s="870"/>
      <c r="Q349" s="531"/>
      <c r="R349" s="557"/>
      <c r="S349" s="843" t="s">
        <v>1667</v>
      </c>
      <c r="T349" s="526" t="s">
        <v>1168</v>
      </c>
      <c r="U349" s="527" t="e">
        <f>U348-#REF!</f>
        <v>#REF!</v>
      </c>
      <c r="V349" s="532" t="s">
        <v>1177</v>
      </c>
      <c r="W349" s="529" t="e">
        <f>(#REF!+BM349)/1100000</f>
        <v>#REF!</v>
      </c>
      <c r="X349" s="89"/>
      <c r="Y349" s="73"/>
      <c r="Z349" s="837"/>
      <c r="AA349" s="837"/>
      <c r="AB349" s="735" t="s">
        <v>1168</v>
      </c>
      <c r="AC349" s="744" t="e">
        <f>AC348-#REF!</f>
        <v>#REF!</v>
      </c>
      <c r="AD349" s="749" t="s">
        <v>1169</v>
      </c>
      <c r="AE349" s="738"/>
      <c r="AF349" s="763"/>
      <c r="AG349" s="747"/>
      <c r="AH349" s="763"/>
      <c r="AI349" s="747"/>
      <c r="AJ349" s="763"/>
      <c r="AK349" s="747"/>
      <c r="AL349" s="763"/>
      <c r="AM349" s="747"/>
      <c r="AN349" s="763"/>
      <c r="AO349" s="747"/>
      <c r="AP349" s="763"/>
      <c r="AQ349" s="747"/>
      <c r="AR349" s="763"/>
      <c r="AS349" s="747"/>
      <c r="AT349" s="745"/>
      <c r="AU349" s="745"/>
      <c r="AV349" s="745"/>
      <c r="AW349" s="745"/>
      <c r="AX349" s="745"/>
      <c r="AY349" s="745"/>
    </row>
    <row r="350" spans="1:51" s="741" customFormat="1" ht="22.5" customHeight="1" thickBot="1">
      <c r="A350" s="490" t="s">
        <v>2790</v>
      </c>
      <c r="B350" s="858">
        <v>0.34810000000000002</v>
      </c>
      <c r="C350" s="825">
        <f>B350+D350+E350+F350+G350+H350+I350+J350+K350+L350+M350+N350+O350</f>
        <v>0.69010000000000027</v>
      </c>
      <c r="D350" s="826">
        <v>3.4000000000000002E-2</v>
      </c>
      <c r="E350" s="826">
        <v>3.4000000000000002E-2</v>
      </c>
      <c r="F350" s="826">
        <v>3.4000000000000002E-2</v>
      </c>
      <c r="G350" s="826">
        <v>3.4000000000000002E-2</v>
      </c>
      <c r="H350" s="826">
        <v>3.4000000000000002E-2</v>
      </c>
      <c r="I350" s="826">
        <v>3.5999999999999997E-2</v>
      </c>
      <c r="J350" s="826">
        <v>3.5999999999999997E-2</v>
      </c>
      <c r="K350" s="826">
        <v>2.5000000000000001E-2</v>
      </c>
      <c r="L350" s="826">
        <v>2.5000000000000001E-2</v>
      </c>
      <c r="M350" s="826">
        <v>2.5000000000000001E-2</v>
      </c>
      <c r="N350" s="826">
        <v>2.5000000000000001E-2</v>
      </c>
      <c r="O350" s="826"/>
      <c r="P350" s="838" t="s">
        <v>2791</v>
      </c>
      <c r="Q350" s="537" t="s">
        <v>2792</v>
      </c>
      <c r="R350" s="553" t="s">
        <v>2793</v>
      </c>
      <c r="S350" s="828" t="s">
        <v>2794</v>
      </c>
      <c r="T350" s="521" t="s">
        <v>1173</v>
      </c>
      <c r="U350" s="522">
        <f>BK350/1100000</f>
        <v>0</v>
      </c>
      <c r="V350" s="523" t="s">
        <v>1174</v>
      </c>
      <c r="W350" s="524" t="e">
        <f>U350*0.8-(#REF!+W351)</f>
        <v>#REF!</v>
      </c>
      <c r="X350" s="299" t="s">
        <v>2795</v>
      </c>
      <c r="Y350" s="547" t="s">
        <v>2796</v>
      </c>
      <c r="Z350" s="829" t="s">
        <v>2797</v>
      </c>
      <c r="AA350" s="829"/>
      <c r="AB350" s="735" t="s">
        <v>1173</v>
      </c>
      <c r="AC350" s="794">
        <v>754182000</v>
      </c>
      <c r="AD350" s="749" t="s">
        <v>2798</v>
      </c>
      <c r="AE350" s="738">
        <f>SUM(AF350:AS350)</f>
        <v>0</v>
      </c>
      <c r="AF350" s="830" t="s">
        <v>2799</v>
      </c>
      <c r="AG350" s="740"/>
      <c r="AH350" s="832" t="s">
        <v>2800</v>
      </c>
      <c r="AI350" s="740">
        <f>AG350</f>
        <v>0</v>
      </c>
      <c r="AJ350" s="832" t="s">
        <v>2801</v>
      </c>
      <c r="AK350" s="740">
        <f>AG350</f>
        <v>0</v>
      </c>
      <c r="AL350" s="832" t="s">
        <v>796</v>
      </c>
      <c r="AM350" s="740"/>
      <c r="AN350" s="832" t="s">
        <v>1081</v>
      </c>
      <c r="AO350" s="740"/>
      <c r="AP350" s="832"/>
      <c r="AQ350" s="740"/>
      <c r="AR350" s="832"/>
      <c r="AS350" s="740"/>
    </row>
    <row r="351" spans="1:51" s="741" customFormat="1" ht="22.5" customHeight="1" thickBot="1">
      <c r="A351" s="495"/>
      <c r="B351" s="861"/>
      <c r="C351" s="834"/>
      <c r="D351" s="560" t="s">
        <v>2802</v>
      </c>
      <c r="E351" s="560" t="s">
        <v>2803</v>
      </c>
      <c r="F351" s="560" t="s">
        <v>2804</v>
      </c>
      <c r="G351" s="560" t="s">
        <v>2805</v>
      </c>
      <c r="H351" s="560" t="s">
        <v>2806</v>
      </c>
      <c r="I351" s="560" t="s">
        <v>2807</v>
      </c>
      <c r="J351" s="560" t="s">
        <v>2808</v>
      </c>
      <c r="K351" s="560" t="s">
        <v>2808</v>
      </c>
      <c r="L351" s="560" t="s">
        <v>2809</v>
      </c>
      <c r="M351" s="560" t="s">
        <v>2810</v>
      </c>
      <c r="N351" s="560" t="s">
        <v>2810</v>
      </c>
      <c r="O351" s="560"/>
      <c r="P351" s="870"/>
      <c r="Q351" s="531"/>
      <c r="R351" s="557"/>
      <c r="S351" s="843" t="s">
        <v>816</v>
      </c>
      <c r="T351" s="526" t="s">
        <v>817</v>
      </c>
      <c r="U351" s="527" t="e">
        <f>U350-#REF!</f>
        <v>#REF!</v>
      </c>
      <c r="V351" s="532" t="s">
        <v>818</v>
      </c>
      <c r="W351" s="529" t="e">
        <f>(#REF!+BM351)/1100000</f>
        <v>#REF!</v>
      </c>
      <c r="X351" s="89"/>
      <c r="Y351" s="73"/>
      <c r="Z351" s="837"/>
      <c r="AA351" s="837"/>
      <c r="AB351" s="735" t="s">
        <v>817</v>
      </c>
      <c r="AC351" s="744" t="e">
        <f>AC350-#REF!</f>
        <v>#REF!</v>
      </c>
      <c r="AD351" s="749" t="s">
        <v>824</v>
      </c>
      <c r="AE351" s="738"/>
      <c r="AF351" s="763"/>
      <c r="AG351" s="747"/>
      <c r="AH351" s="763"/>
      <c r="AI351" s="747"/>
      <c r="AJ351" s="763"/>
      <c r="AK351" s="747"/>
      <c r="AL351" s="763"/>
      <c r="AM351" s="747"/>
      <c r="AN351" s="763"/>
      <c r="AO351" s="747"/>
      <c r="AP351" s="763"/>
      <c r="AQ351" s="747"/>
      <c r="AR351" s="763"/>
      <c r="AS351" s="747"/>
      <c r="AT351" s="745"/>
      <c r="AU351" s="745"/>
      <c r="AV351" s="745"/>
      <c r="AW351" s="745"/>
      <c r="AX351" s="745"/>
      <c r="AY351" s="745"/>
    </row>
    <row r="352" spans="1:51" s="953" customFormat="1" ht="22.5" customHeight="1" thickBot="1">
      <c r="A352" s="563" t="s">
        <v>2811</v>
      </c>
      <c r="B352" s="941">
        <v>1</v>
      </c>
      <c r="C352" s="825">
        <f>B352+D352+E352+F352+G352+H352+I352+J352+K352+L352+M352+N352+O352</f>
        <v>1</v>
      </c>
      <c r="D352" s="942"/>
      <c r="E352" s="942"/>
      <c r="F352" s="942"/>
      <c r="G352" s="942"/>
      <c r="H352" s="942"/>
      <c r="I352" s="942"/>
      <c r="J352" s="942"/>
      <c r="K352" s="942"/>
      <c r="L352" s="942"/>
      <c r="M352" s="942"/>
      <c r="N352" s="942"/>
      <c r="O352" s="942"/>
      <c r="P352" s="943" t="s">
        <v>2812</v>
      </c>
      <c r="Q352" s="683"/>
      <c r="R352" s="680" t="s">
        <v>2813</v>
      </c>
      <c r="S352" s="944" t="s">
        <v>2814</v>
      </c>
      <c r="T352" s="632" t="s">
        <v>814</v>
      </c>
      <c r="U352" s="633">
        <f>BK352/1100000</f>
        <v>0</v>
      </c>
      <c r="V352" s="634" t="s">
        <v>832</v>
      </c>
      <c r="W352" s="635" t="e">
        <f>U352*0.8-(#REF!+W353)</f>
        <v>#REF!</v>
      </c>
      <c r="X352" s="945" t="s">
        <v>812</v>
      </c>
      <c r="Y352" s="946" t="s">
        <v>813</v>
      </c>
      <c r="Z352" s="947" t="s">
        <v>2815</v>
      </c>
      <c r="AA352" s="947"/>
      <c r="AB352" s="948" t="s">
        <v>814</v>
      </c>
      <c r="AC352" s="949">
        <v>459000</v>
      </c>
      <c r="AD352" s="950" t="s">
        <v>35</v>
      </c>
      <c r="AE352" s="951">
        <f>SUM(AF352:AS352)</f>
        <v>0</v>
      </c>
      <c r="AF352" s="952" t="s">
        <v>1078</v>
      </c>
      <c r="AG352" s="951"/>
      <c r="AH352" s="950" t="s">
        <v>1079</v>
      </c>
      <c r="AI352" s="951"/>
      <c r="AJ352" s="950" t="s">
        <v>2512</v>
      </c>
      <c r="AK352" s="951"/>
      <c r="AL352" s="950" t="s">
        <v>796</v>
      </c>
      <c r="AM352" s="951"/>
      <c r="AN352" s="950" t="s">
        <v>1081</v>
      </c>
      <c r="AO352" s="951"/>
      <c r="AP352" s="950"/>
      <c r="AQ352" s="951"/>
      <c r="AR352" s="950"/>
      <c r="AS352" s="951"/>
    </row>
    <row r="353" spans="1:51" s="953" customFormat="1" ht="22.5" customHeight="1" thickBot="1">
      <c r="A353" s="564"/>
      <c r="B353" s="954"/>
      <c r="C353" s="834"/>
      <c r="D353" s="687"/>
      <c r="E353" s="687"/>
      <c r="F353" s="687"/>
      <c r="G353" s="687"/>
      <c r="H353" s="687"/>
      <c r="I353" s="687"/>
      <c r="J353" s="955"/>
      <c r="K353" s="955"/>
      <c r="L353" s="687"/>
      <c r="M353" s="687"/>
      <c r="N353" s="687"/>
      <c r="O353" s="687"/>
      <c r="P353" s="956"/>
      <c r="Q353" s="640"/>
      <c r="R353" s="684"/>
      <c r="S353" s="957" t="s">
        <v>816</v>
      </c>
      <c r="T353" s="637" t="s">
        <v>817</v>
      </c>
      <c r="U353" s="638" t="e">
        <f>U352-#REF!</f>
        <v>#REF!</v>
      </c>
      <c r="V353" s="641" t="s">
        <v>818</v>
      </c>
      <c r="W353" s="639" t="e">
        <f>(#REF!+BM353)/1100000</f>
        <v>#REF!</v>
      </c>
      <c r="X353" s="945"/>
      <c r="Y353" s="946"/>
      <c r="Z353" s="958"/>
      <c r="AA353" s="958"/>
      <c r="AB353" s="948" t="s">
        <v>817</v>
      </c>
      <c r="AC353" s="959" t="e">
        <f>AC352-#REF!</f>
        <v>#REF!</v>
      </c>
      <c r="AD353" s="950" t="s">
        <v>824</v>
      </c>
      <c r="AE353" s="951"/>
      <c r="AF353" s="960"/>
      <c r="AG353" s="961"/>
      <c r="AH353" s="960"/>
      <c r="AI353" s="961"/>
      <c r="AJ353" s="960"/>
      <c r="AK353" s="961"/>
      <c r="AL353" s="960"/>
      <c r="AM353" s="961"/>
      <c r="AN353" s="960"/>
      <c r="AO353" s="961"/>
      <c r="AP353" s="960"/>
      <c r="AQ353" s="961"/>
      <c r="AR353" s="960"/>
      <c r="AS353" s="961"/>
    </row>
    <row r="354" spans="1:51" s="953" customFormat="1" ht="22.5" customHeight="1" thickBot="1">
      <c r="A354" s="563" t="s">
        <v>2816</v>
      </c>
      <c r="B354" s="941">
        <v>1</v>
      </c>
      <c r="C354" s="825">
        <f>B354+D354+E354+F354+G354+H354+I354+J354+K354+L354+M354+N354+O354</f>
        <v>1</v>
      </c>
      <c r="D354" s="942"/>
      <c r="E354" s="942"/>
      <c r="F354" s="942"/>
      <c r="G354" s="942"/>
      <c r="H354" s="942"/>
      <c r="I354" s="942"/>
      <c r="J354" s="942"/>
      <c r="K354" s="942"/>
      <c r="L354" s="942"/>
      <c r="M354" s="942"/>
      <c r="N354" s="942"/>
      <c r="O354" s="942"/>
      <c r="P354" s="943" t="s">
        <v>2818</v>
      </c>
      <c r="Q354" s="683"/>
      <c r="R354" s="680" t="s">
        <v>2819</v>
      </c>
      <c r="S354" s="944" t="s">
        <v>2814</v>
      </c>
      <c r="T354" s="632" t="s">
        <v>814</v>
      </c>
      <c r="U354" s="633">
        <f>BK354/1100000</f>
        <v>0</v>
      </c>
      <c r="V354" s="634" t="s">
        <v>832</v>
      </c>
      <c r="W354" s="635" t="e">
        <f>U354*0.8-(#REF!+W355)</f>
        <v>#REF!</v>
      </c>
      <c r="X354" s="945" t="s">
        <v>812</v>
      </c>
      <c r="Y354" s="946" t="s">
        <v>813</v>
      </c>
      <c r="Z354" s="947" t="s">
        <v>2820</v>
      </c>
      <c r="AA354" s="947"/>
      <c r="AB354" s="948" t="s">
        <v>814</v>
      </c>
      <c r="AC354" s="949">
        <v>3672000</v>
      </c>
      <c r="AD354" s="950" t="s">
        <v>35</v>
      </c>
      <c r="AE354" s="951">
        <f>SUM(AF354:AS354)</f>
        <v>0</v>
      </c>
      <c r="AF354" s="952" t="s">
        <v>1078</v>
      </c>
      <c r="AG354" s="951"/>
      <c r="AH354" s="950" t="s">
        <v>1079</v>
      </c>
      <c r="AI354" s="951"/>
      <c r="AJ354" s="950" t="s">
        <v>2512</v>
      </c>
      <c r="AK354" s="951"/>
      <c r="AL354" s="950" t="s">
        <v>796</v>
      </c>
      <c r="AM354" s="951"/>
      <c r="AN354" s="950" t="s">
        <v>1081</v>
      </c>
      <c r="AO354" s="951"/>
      <c r="AP354" s="950"/>
      <c r="AQ354" s="951"/>
      <c r="AR354" s="950"/>
      <c r="AS354" s="951"/>
    </row>
    <row r="355" spans="1:51" s="953" customFormat="1" ht="22.5" customHeight="1" thickBot="1">
      <c r="A355" s="564"/>
      <c r="B355" s="954"/>
      <c r="C355" s="834"/>
      <c r="D355" s="687"/>
      <c r="E355" s="687"/>
      <c r="F355" s="687"/>
      <c r="G355" s="687"/>
      <c r="H355" s="687"/>
      <c r="I355" s="687"/>
      <c r="J355" s="955"/>
      <c r="K355" s="955"/>
      <c r="L355" s="687"/>
      <c r="M355" s="687"/>
      <c r="N355" s="687"/>
      <c r="O355" s="687"/>
      <c r="P355" s="956"/>
      <c r="Q355" s="640"/>
      <c r="R355" s="684"/>
      <c r="S355" s="957" t="s">
        <v>816</v>
      </c>
      <c r="T355" s="637" t="s">
        <v>817</v>
      </c>
      <c r="U355" s="638" t="e">
        <f>U354-#REF!</f>
        <v>#REF!</v>
      </c>
      <c r="V355" s="641" t="s">
        <v>818</v>
      </c>
      <c r="W355" s="639" t="e">
        <f>(#REF!+BM355)/1100000</f>
        <v>#REF!</v>
      </c>
      <c r="X355" s="945"/>
      <c r="Y355" s="946"/>
      <c r="Z355" s="958"/>
      <c r="AA355" s="958"/>
      <c r="AB355" s="948" t="s">
        <v>817</v>
      </c>
      <c r="AC355" s="959" t="e">
        <f>AC354-#REF!</f>
        <v>#REF!</v>
      </c>
      <c r="AD355" s="950" t="s">
        <v>824</v>
      </c>
      <c r="AE355" s="951"/>
      <c r="AF355" s="960"/>
      <c r="AG355" s="961"/>
      <c r="AH355" s="960"/>
      <c r="AI355" s="961"/>
      <c r="AJ355" s="960"/>
      <c r="AK355" s="961"/>
      <c r="AL355" s="960"/>
      <c r="AM355" s="961"/>
      <c r="AN355" s="960"/>
      <c r="AO355" s="961"/>
      <c r="AP355" s="960"/>
      <c r="AQ355" s="961"/>
      <c r="AR355" s="960"/>
      <c r="AS355" s="961"/>
    </row>
    <row r="356" spans="1:51" s="741" customFormat="1" ht="22.5" customHeight="1" thickBot="1">
      <c r="A356" s="490" t="e">
        <f>A354+1</f>
        <v>#VALUE!</v>
      </c>
      <c r="B356" s="824">
        <v>0</v>
      </c>
      <c r="C356" s="825">
        <f>B356+D356+E356+F356+G356+H356+I356+J356+K356+L356+M356+N356+O356</f>
        <v>0</v>
      </c>
      <c r="D356" s="826"/>
      <c r="E356" s="826"/>
      <c r="F356" s="826"/>
      <c r="G356" s="826"/>
      <c r="H356" s="826"/>
      <c r="I356" s="826"/>
      <c r="J356" s="826"/>
      <c r="K356" s="826"/>
      <c r="L356" s="826"/>
      <c r="M356" s="826"/>
      <c r="N356" s="826"/>
      <c r="O356" s="826"/>
      <c r="P356" s="838" t="s">
        <v>2641</v>
      </c>
      <c r="Q356" s="537" t="s">
        <v>2681</v>
      </c>
      <c r="R356" s="553" t="s">
        <v>2821</v>
      </c>
      <c r="S356" s="828" t="s">
        <v>2822</v>
      </c>
      <c r="T356" s="521" t="s">
        <v>814</v>
      </c>
      <c r="U356" s="522">
        <f t="shared" ref="U356" si="24">BK356/1100000</f>
        <v>0</v>
      </c>
      <c r="V356" s="523" t="s">
        <v>832</v>
      </c>
      <c r="W356" s="524" t="e">
        <f>U356*0.8-(#REF!+W357)</f>
        <v>#REF!</v>
      </c>
      <c r="X356" s="299" t="s">
        <v>812</v>
      </c>
      <c r="Y356" s="547" t="s">
        <v>813</v>
      </c>
      <c r="Z356" s="925" t="s">
        <v>2823</v>
      </c>
      <c r="AA356" s="925"/>
      <c r="AB356" s="735" t="s">
        <v>814</v>
      </c>
      <c r="AC356" s="794">
        <v>540000000</v>
      </c>
      <c r="AD356" s="749" t="s">
        <v>35</v>
      </c>
      <c r="AE356" s="738">
        <f>SUM(AF356:AS356)</f>
        <v>0</v>
      </c>
      <c r="AF356" s="830" t="s">
        <v>1078</v>
      </c>
      <c r="AG356" s="740"/>
      <c r="AH356" s="832" t="s">
        <v>1079</v>
      </c>
      <c r="AI356" s="740">
        <f>AG356</f>
        <v>0</v>
      </c>
      <c r="AJ356" s="832" t="s">
        <v>2512</v>
      </c>
      <c r="AK356" s="740">
        <f>AG356</f>
        <v>0</v>
      </c>
      <c r="AL356" s="832" t="s">
        <v>796</v>
      </c>
      <c r="AM356" s="740"/>
      <c r="AN356" s="832" t="s">
        <v>1081</v>
      </c>
      <c r="AO356" s="740"/>
      <c r="AP356" s="832"/>
      <c r="AQ356" s="740"/>
      <c r="AR356" s="832"/>
      <c r="AS356" s="740"/>
    </row>
    <row r="357" spans="1:51" s="741" customFormat="1" ht="22.5" customHeight="1" thickBot="1">
      <c r="A357" s="495"/>
      <c r="B357" s="833"/>
      <c r="C357" s="834"/>
      <c r="D357" s="560"/>
      <c r="E357" s="560"/>
      <c r="F357" s="560"/>
      <c r="G357" s="560"/>
      <c r="H357" s="560"/>
      <c r="I357" s="560"/>
      <c r="J357" s="560"/>
      <c r="K357" s="560"/>
      <c r="L357" s="560"/>
      <c r="M357" s="560"/>
      <c r="N357" s="560"/>
      <c r="O357" s="560"/>
      <c r="P357" s="870"/>
      <c r="Q357" s="531"/>
      <c r="R357" s="557"/>
      <c r="S357" s="843" t="s">
        <v>2826</v>
      </c>
      <c r="T357" s="526" t="s">
        <v>817</v>
      </c>
      <c r="U357" s="527" t="e">
        <f>U356-#REF!</f>
        <v>#REF!</v>
      </c>
      <c r="V357" s="532" t="s">
        <v>818</v>
      </c>
      <c r="W357" s="529" t="e">
        <f>(#REF!+BM357)/1100000</f>
        <v>#REF!</v>
      </c>
      <c r="X357" s="89"/>
      <c r="Y357" s="73"/>
      <c r="Z357" s="837"/>
      <c r="AA357" s="837"/>
      <c r="AB357" s="735" t="s">
        <v>817</v>
      </c>
      <c r="AC357" s="744" t="e">
        <f>AC356-#REF!</f>
        <v>#REF!</v>
      </c>
      <c r="AD357" s="749" t="s">
        <v>824</v>
      </c>
      <c r="AE357" s="738"/>
      <c r="AF357" s="763"/>
      <c r="AG357" s="747"/>
      <c r="AH357" s="763"/>
      <c r="AI357" s="747"/>
      <c r="AJ357" s="763"/>
      <c r="AK357" s="747"/>
      <c r="AL357" s="763"/>
      <c r="AM357" s="747"/>
      <c r="AN357" s="763"/>
      <c r="AO357" s="747"/>
      <c r="AP357" s="763"/>
      <c r="AQ357" s="747"/>
      <c r="AR357" s="763"/>
      <c r="AS357" s="747"/>
      <c r="AT357" s="745"/>
      <c r="AU357" s="745"/>
      <c r="AV357" s="745"/>
      <c r="AW357" s="745"/>
      <c r="AX357" s="745"/>
      <c r="AY357" s="745"/>
    </row>
    <row r="358" spans="1:51" s="741" customFormat="1" ht="22.5" customHeight="1" thickBot="1">
      <c r="A358" s="490" t="s">
        <v>2829</v>
      </c>
      <c r="B358" s="824">
        <v>8.4000000000000005E-2</v>
      </c>
      <c r="C358" s="825">
        <f>B358+D358+E358+F358+G358+H358+I358+J358+K358+L358+M358+N358+O358</f>
        <v>0.2380000000000001</v>
      </c>
      <c r="D358" s="826">
        <v>1.4E-2</v>
      </c>
      <c r="E358" s="826">
        <v>1.4E-2</v>
      </c>
      <c r="F358" s="826">
        <v>1.4E-2</v>
      </c>
      <c r="G358" s="826">
        <v>1.4E-2</v>
      </c>
      <c r="H358" s="826">
        <v>1.4E-2</v>
      </c>
      <c r="I358" s="826">
        <v>1.4E-2</v>
      </c>
      <c r="J358" s="826">
        <v>1.4E-2</v>
      </c>
      <c r="K358" s="826">
        <v>1.4E-2</v>
      </c>
      <c r="L358" s="826">
        <v>1.4E-2</v>
      </c>
      <c r="M358" s="826">
        <v>1.4E-2</v>
      </c>
      <c r="N358" s="826">
        <v>1.4E-2</v>
      </c>
      <c r="O358" s="826"/>
      <c r="P358" s="827" t="s">
        <v>2830</v>
      </c>
      <c r="Q358" s="537" t="s">
        <v>2831</v>
      </c>
      <c r="R358" s="553" t="s">
        <v>2832</v>
      </c>
      <c r="S358" s="828" t="s">
        <v>2833</v>
      </c>
      <c r="T358" s="521" t="s">
        <v>814</v>
      </c>
      <c r="U358" s="522">
        <f>BK358/1100000</f>
        <v>0</v>
      </c>
      <c r="V358" s="523" t="s">
        <v>832</v>
      </c>
      <c r="W358" s="524" t="e">
        <f>U358*0.8-(#REF!+W359)</f>
        <v>#REF!</v>
      </c>
      <c r="X358" s="299" t="s">
        <v>812</v>
      </c>
      <c r="Y358" s="547" t="s">
        <v>813</v>
      </c>
      <c r="Z358" s="925" t="s">
        <v>2834</v>
      </c>
      <c r="AA358" s="925"/>
      <c r="AB358" s="735" t="s">
        <v>814</v>
      </c>
      <c r="AC358" s="794">
        <v>1666800000</v>
      </c>
      <c r="AD358" s="749" t="s">
        <v>35</v>
      </c>
      <c r="AE358" s="738">
        <f>SUM(AF358:AS358)</f>
        <v>87530385</v>
      </c>
      <c r="AF358" s="830" t="s">
        <v>1078</v>
      </c>
      <c r="AG358" s="740">
        <v>45981151</v>
      </c>
      <c r="AH358" s="832" t="s">
        <v>1079</v>
      </c>
      <c r="AI358" s="740">
        <v>41549234</v>
      </c>
      <c r="AJ358" s="832" t="s">
        <v>2512</v>
      </c>
      <c r="AK358" s="740"/>
      <c r="AL358" s="832" t="s">
        <v>796</v>
      </c>
      <c r="AM358" s="740"/>
      <c r="AN358" s="832" t="s">
        <v>1081</v>
      </c>
      <c r="AO358" s="740"/>
      <c r="AP358" s="832"/>
      <c r="AQ358" s="740"/>
      <c r="AR358" s="832"/>
      <c r="AS358" s="740"/>
    </row>
    <row r="359" spans="1:51" s="741" customFormat="1" ht="22.5" customHeight="1" thickBot="1">
      <c r="A359" s="495"/>
      <c r="B359" s="833"/>
      <c r="C359" s="834"/>
      <c r="D359" s="560" t="s">
        <v>2835</v>
      </c>
      <c r="E359" s="560" t="s">
        <v>2836</v>
      </c>
      <c r="F359" s="560" t="s">
        <v>2836</v>
      </c>
      <c r="G359" s="560" t="s">
        <v>2837</v>
      </c>
      <c r="H359" s="560" t="s">
        <v>2836</v>
      </c>
      <c r="I359" s="560" t="s">
        <v>2837</v>
      </c>
      <c r="J359" s="560" t="s">
        <v>2838</v>
      </c>
      <c r="K359" s="560" t="s">
        <v>2839</v>
      </c>
      <c r="L359" s="560" t="s">
        <v>2840</v>
      </c>
      <c r="M359" s="560" t="s">
        <v>2841</v>
      </c>
      <c r="N359" s="560" t="s">
        <v>2841</v>
      </c>
      <c r="O359" s="560"/>
      <c r="P359" s="917"/>
      <c r="Q359" s="531"/>
      <c r="R359" s="557"/>
      <c r="S359" s="843" t="s">
        <v>816</v>
      </c>
      <c r="T359" s="526" t="s">
        <v>817</v>
      </c>
      <c r="U359" s="527" t="e">
        <f>U358-#REF!</f>
        <v>#REF!</v>
      </c>
      <c r="V359" s="532" t="s">
        <v>818</v>
      </c>
      <c r="W359" s="529" t="e">
        <f>(#REF!+BM359)/1100000</f>
        <v>#REF!</v>
      </c>
      <c r="X359" s="89"/>
      <c r="Y359" s="73"/>
      <c r="Z359" s="837"/>
      <c r="AA359" s="837"/>
      <c r="AB359" s="735" t="s">
        <v>817</v>
      </c>
      <c r="AC359" s="744" t="e">
        <f>AC358-#REF!</f>
        <v>#REF!</v>
      </c>
      <c r="AD359" s="749" t="s">
        <v>824</v>
      </c>
      <c r="AE359" s="738"/>
      <c r="AF359" s="763"/>
      <c r="AG359" s="747"/>
      <c r="AH359" s="763"/>
      <c r="AI359" s="747"/>
      <c r="AJ359" s="763"/>
      <c r="AK359" s="747"/>
      <c r="AL359" s="763"/>
      <c r="AM359" s="747"/>
      <c r="AN359" s="763"/>
      <c r="AO359" s="747"/>
      <c r="AP359" s="763"/>
      <c r="AQ359" s="747"/>
      <c r="AR359" s="763"/>
      <c r="AS359" s="747"/>
    </row>
    <row r="360" spans="1:51" s="741" customFormat="1" ht="22.5" customHeight="1" thickBot="1">
      <c r="A360" s="490" t="s">
        <v>2842</v>
      </c>
      <c r="B360" s="824">
        <v>0.31530000000000002</v>
      </c>
      <c r="C360" s="825">
        <f>B360+D360+E360+F360+G360+H360+I360+J360+K360+L360+M360+N360+O360</f>
        <v>0.60130000000000028</v>
      </c>
      <c r="D360" s="826">
        <v>2.5999999999999999E-2</v>
      </c>
      <c r="E360" s="826">
        <v>2.5999999999999999E-2</v>
      </c>
      <c r="F360" s="826">
        <v>2.5999999999999999E-2</v>
      </c>
      <c r="G360" s="826">
        <v>2.5999999999999999E-2</v>
      </c>
      <c r="H360" s="826">
        <v>2.5999999999999999E-2</v>
      </c>
      <c r="I360" s="826">
        <v>2.5999999999999999E-2</v>
      </c>
      <c r="J360" s="826">
        <v>2.5999999999999999E-2</v>
      </c>
      <c r="K360" s="826">
        <v>2.5999999999999999E-2</v>
      </c>
      <c r="L360" s="826">
        <v>2.5999999999999999E-2</v>
      </c>
      <c r="M360" s="826">
        <v>2.5999999999999999E-2</v>
      </c>
      <c r="N360" s="826">
        <v>2.5999999999999999E-2</v>
      </c>
      <c r="O360" s="826"/>
      <c r="P360" s="827" t="s">
        <v>2843</v>
      </c>
      <c r="Q360" s="537" t="s">
        <v>2844</v>
      </c>
      <c r="R360" s="553" t="s">
        <v>2845</v>
      </c>
      <c r="S360" s="828" t="s">
        <v>2846</v>
      </c>
      <c r="T360" s="521" t="s">
        <v>814</v>
      </c>
      <c r="U360" s="522">
        <f>BK360/1100000</f>
        <v>0</v>
      </c>
      <c r="V360" s="523" t="s">
        <v>832</v>
      </c>
      <c r="W360" s="524" t="e">
        <f>U360*0.8-(#REF!+W361)</f>
        <v>#REF!</v>
      </c>
      <c r="X360" s="299" t="s">
        <v>812</v>
      </c>
      <c r="Y360" s="547" t="s">
        <v>813</v>
      </c>
      <c r="Z360" s="925" t="s">
        <v>2847</v>
      </c>
      <c r="AA360" s="925"/>
      <c r="AB360" s="735" t="s">
        <v>814</v>
      </c>
      <c r="AC360" s="794">
        <v>395990000</v>
      </c>
      <c r="AD360" s="749" t="s">
        <v>35</v>
      </c>
      <c r="AE360" s="738">
        <f>SUM(AF360:AS360)</f>
        <v>8060092</v>
      </c>
      <c r="AF360" s="830" t="s">
        <v>1078</v>
      </c>
      <c r="AG360" s="740"/>
      <c r="AH360" s="832" t="s">
        <v>1079</v>
      </c>
      <c r="AI360" s="740">
        <v>8060092</v>
      </c>
      <c r="AJ360" s="832" t="s">
        <v>2512</v>
      </c>
      <c r="AK360" s="740">
        <f>AG360</f>
        <v>0</v>
      </c>
      <c r="AL360" s="832" t="s">
        <v>796</v>
      </c>
      <c r="AM360" s="740"/>
      <c r="AN360" s="832" t="s">
        <v>1081</v>
      </c>
      <c r="AO360" s="740"/>
      <c r="AP360" s="832"/>
      <c r="AQ360" s="740"/>
      <c r="AR360" s="832"/>
      <c r="AS360" s="740"/>
    </row>
    <row r="361" spans="1:51" s="741" customFormat="1" ht="22.5" customHeight="1" thickBot="1">
      <c r="A361" s="495"/>
      <c r="B361" s="833"/>
      <c r="C361" s="834"/>
      <c r="D361" s="560" t="s">
        <v>2848</v>
      </c>
      <c r="E361" s="560" t="s">
        <v>2849</v>
      </c>
      <c r="F361" s="560" t="s">
        <v>2850</v>
      </c>
      <c r="G361" s="560" t="s">
        <v>2851</v>
      </c>
      <c r="H361" s="560" t="s">
        <v>2852</v>
      </c>
      <c r="I361" s="560" t="s">
        <v>2853</v>
      </c>
      <c r="J361" s="560" t="s">
        <v>2854</v>
      </c>
      <c r="K361" s="560" t="s">
        <v>2855</v>
      </c>
      <c r="L361" s="560" t="s">
        <v>2856</v>
      </c>
      <c r="M361" s="560" t="s">
        <v>2857</v>
      </c>
      <c r="N361" s="560" t="s">
        <v>2858</v>
      </c>
      <c r="O361" s="560"/>
      <c r="P361" s="870"/>
      <c r="Q361" s="531"/>
      <c r="R361" s="557"/>
      <c r="S361" s="843" t="s">
        <v>2826</v>
      </c>
      <c r="T361" s="526" t="s">
        <v>817</v>
      </c>
      <c r="U361" s="527" t="e">
        <f>U360-#REF!</f>
        <v>#REF!</v>
      </c>
      <c r="V361" s="532" t="s">
        <v>818</v>
      </c>
      <c r="W361" s="529" t="e">
        <f>(#REF!+BM361)/1100000</f>
        <v>#REF!</v>
      </c>
      <c r="X361" s="89"/>
      <c r="Y361" s="73"/>
      <c r="Z361" s="837"/>
      <c r="AA361" s="837"/>
      <c r="AB361" s="735" t="s">
        <v>817</v>
      </c>
      <c r="AC361" s="744" t="e">
        <f>AC360-#REF!</f>
        <v>#REF!</v>
      </c>
      <c r="AD361" s="749" t="s">
        <v>824</v>
      </c>
      <c r="AE361" s="738"/>
      <c r="AF361" s="763"/>
      <c r="AG361" s="747"/>
      <c r="AH361" s="763"/>
      <c r="AI361" s="747"/>
      <c r="AJ361" s="763"/>
      <c r="AK361" s="747"/>
      <c r="AL361" s="763"/>
      <c r="AM361" s="747"/>
      <c r="AN361" s="763"/>
      <c r="AO361" s="747"/>
      <c r="AP361" s="763"/>
      <c r="AQ361" s="747"/>
      <c r="AR361" s="763"/>
      <c r="AS361" s="747"/>
      <c r="AT361" s="745"/>
      <c r="AU361" s="745"/>
      <c r="AV361" s="745"/>
      <c r="AW361" s="745"/>
      <c r="AX361" s="745"/>
      <c r="AY361" s="745"/>
    </row>
    <row r="362" spans="1:51" s="741" customFormat="1" ht="22.5" customHeight="1" thickBot="1">
      <c r="A362" s="490" t="s">
        <v>3074</v>
      </c>
      <c r="B362" s="824">
        <v>1</v>
      </c>
      <c r="C362" s="825">
        <f>B362+D362+E362+F362+G362+H362+I362+J362+K362+L362+M362+N362+O362</f>
        <v>1</v>
      </c>
      <c r="D362" s="826"/>
      <c r="E362" s="826"/>
      <c r="F362" s="826"/>
      <c r="G362" s="826"/>
      <c r="H362" s="826"/>
      <c r="I362" s="826"/>
      <c r="J362" s="826"/>
      <c r="K362" s="826"/>
      <c r="L362" s="826"/>
      <c r="M362" s="826"/>
      <c r="N362" s="826"/>
      <c r="O362" s="826"/>
      <c r="P362" s="869" t="s">
        <v>2859</v>
      </c>
      <c r="Q362" s="537" t="s">
        <v>2860</v>
      </c>
      <c r="R362" s="860" t="s">
        <v>2861</v>
      </c>
      <c r="S362" s="828" t="s">
        <v>2862</v>
      </c>
      <c r="T362" s="521" t="s">
        <v>814</v>
      </c>
      <c r="U362" s="522">
        <f t="shared" ref="U362" si="25">BK362/1100000</f>
        <v>0</v>
      </c>
      <c r="V362" s="523" t="s">
        <v>832</v>
      </c>
      <c r="W362" s="524" t="e">
        <f>U362*0.8-(#REF!+W363)</f>
        <v>#REF!</v>
      </c>
      <c r="X362" s="299" t="s">
        <v>812</v>
      </c>
      <c r="Y362" s="547" t="s">
        <v>813</v>
      </c>
      <c r="Z362" s="925" t="s">
        <v>2863</v>
      </c>
      <c r="AA362" s="925"/>
      <c r="AB362" s="735" t="s">
        <v>814</v>
      </c>
      <c r="AC362" s="794">
        <v>164688000</v>
      </c>
      <c r="AD362" s="749" t="s">
        <v>35</v>
      </c>
      <c r="AE362" s="738">
        <f>SUM(AF362:AS362)</f>
        <v>8484306</v>
      </c>
      <c r="AF362" s="830" t="s">
        <v>1078</v>
      </c>
      <c r="AG362" s="740">
        <v>2828102</v>
      </c>
      <c r="AH362" s="832" t="s">
        <v>1079</v>
      </c>
      <c r="AI362" s="740">
        <f>AG362</f>
        <v>2828102</v>
      </c>
      <c r="AJ362" s="832" t="s">
        <v>2512</v>
      </c>
      <c r="AK362" s="740">
        <f>AG362</f>
        <v>2828102</v>
      </c>
      <c r="AL362" s="832" t="s">
        <v>796</v>
      </c>
      <c r="AM362" s="740"/>
      <c r="AN362" s="832" t="s">
        <v>1081</v>
      </c>
      <c r="AO362" s="740"/>
      <c r="AP362" s="832"/>
      <c r="AQ362" s="740"/>
      <c r="AR362" s="832"/>
      <c r="AS362" s="740"/>
    </row>
    <row r="363" spans="1:51" s="741" customFormat="1" ht="22.5" customHeight="1" thickBot="1">
      <c r="A363" s="495"/>
      <c r="B363" s="833"/>
      <c r="C363" s="834"/>
      <c r="D363" s="560"/>
      <c r="E363" s="560"/>
      <c r="F363" s="560"/>
      <c r="G363" s="560"/>
      <c r="H363" s="560"/>
      <c r="I363" s="560"/>
      <c r="J363" s="560"/>
      <c r="K363" s="560"/>
      <c r="L363" s="560"/>
      <c r="M363" s="560"/>
      <c r="N363" s="560"/>
      <c r="O363" s="560"/>
      <c r="P363" s="870"/>
      <c r="Q363" s="531"/>
      <c r="R363" s="863"/>
      <c r="S363" s="843" t="s">
        <v>816</v>
      </c>
      <c r="T363" s="526" t="s">
        <v>817</v>
      </c>
      <c r="U363" s="527" t="e">
        <f>U362-#REF!</f>
        <v>#REF!</v>
      </c>
      <c r="V363" s="532" t="s">
        <v>818</v>
      </c>
      <c r="W363" s="529" t="e">
        <f>(#REF!+BM363)/1100000</f>
        <v>#REF!</v>
      </c>
      <c r="X363" s="89"/>
      <c r="Y363" s="73"/>
      <c r="Z363" s="837"/>
      <c r="AA363" s="837"/>
      <c r="AB363" s="735" t="s">
        <v>817</v>
      </c>
      <c r="AC363" s="744" t="e">
        <f>AC362-#REF!</f>
        <v>#REF!</v>
      </c>
      <c r="AD363" s="749" t="s">
        <v>824</v>
      </c>
      <c r="AE363" s="738"/>
      <c r="AF363" s="763"/>
      <c r="AG363" s="747"/>
      <c r="AH363" s="763"/>
      <c r="AI363" s="747"/>
      <c r="AJ363" s="763"/>
      <c r="AK363" s="747"/>
      <c r="AL363" s="763"/>
      <c r="AM363" s="747"/>
      <c r="AN363" s="763"/>
      <c r="AO363" s="747"/>
      <c r="AP363" s="763"/>
      <c r="AQ363" s="747"/>
      <c r="AR363" s="763"/>
      <c r="AS363" s="747"/>
    </row>
    <row r="364" spans="1:51" s="741" customFormat="1" ht="22.5" customHeight="1" thickBot="1">
      <c r="A364" s="490" t="s">
        <v>3075</v>
      </c>
      <c r="B364" s="824">
        <v>1</v>
      </c>
      <c r="C364" s="825">
        <f>B364+D364+E364+F364+G364+H364+I364+J364+K364+L364+M364+N364+O364</f>
        <v>1</v>
      </c>
      <c r="D364" s="826"/>
      <c r="E364" s="826"/>
      <c r="F364" s="826"/>
      <c r="G364" s="826"/>
      <c r="H364" s="826"/>
      <c r="I364" s="826"/>
      <c r="J364" s="826"/>
      <c r="K364" s="826"/>
      <c r="L364" s="826"/>
      <c r="M364" s="826"/>
      <c r="N364" s="826"/>
      <c r="O364" s="826"/>
      <c r="P364" s="838" t="s">
        <v>2866</v>
      </c>
      <c r="Q364" s="537" t="s">
        <v>2867</v>
      </c>
      <c r="R364" s="553" t="s">
        <v>2868</v>
      </c>
      <c r="S364" s="828" t="s">
        <v>2869</v>
      </c>
      <c r="T364" s="521" t="s">
        <v>814</v>
      </c>
      <c r="U364" s="522">
        <f t="shared" ref="U364" si="26">BK364/1100000</f>
        <v>0</v>
      </c>
      <c r="V364" s="523" t="s">
        <v>832</v>
      </c>
      <c r="W364" s="524" t="e">
        <f>U364*0.8-(#REF!+W365)</f>
        <v>#REF!</v>
      </c>
      <c r="X364" s="299" t="s">
        <v>812</v>
      </c>
      <c r="Y364" s="547" t="s">
        <v>813</v>
      </c>
      <c r="Z364" s="925" t="s">
        <v>2870</v>
      </c>
      <c r="AA364" s="925"/>
      <c r="AB364" s="735" t="s">
        <v>814</v>
      </c>
      <c r="AC364" s="794">
        <v>125430000</v>
      </c>
      <c r="AD364" s="749" t="s">
        <v>35</v>
      </c>
      <c r="AE364" s="738">
        <f>SUM(AF364:AS364)</f>
        <v>6904089</v>
      </c>
      <c r="AF364" s="830" t="s">
        <v>1078</v>
      </c>
      <c r="AG364" s="740"/>
      <c r="AH364" s="832" t="s">
        <v>1079</v>
      </c>
      <c r="AI364" s="740">
        <f>AG364</f>
        <v>0</v>
      </c>
      <c r="AJ364" s="832" t="s">
        <v>2512</v>
      </c>
      <c r="AK364" s="740">
        <f>AG364</f>
        <v>0</v>
      </c>
      <c r="AL364" s="832" t="s">
        <v>796</v>
      </c>
      <c r="AM364" s="740"/>
      <c r="AN364" s="832" t="s">
        <v>1081</v>
      </c>
      <c r="AO364" s="740">
        <v>6904089</v>
      </c>
      <c r="AP364" s="832"/>
      <c r="AQ364" s="740"/>
      <c r="AR364" s="832"/>
      <c r="AS364" s="740"/>
    </row>
    <row r="365" spans="1:51" s="741" customFormat="1" ht="22.5" customHeight="1" thickBot="1">
      <c r="A365" s="495"/>
      <c r="B365" s="833"/>
      <c r="C365" s="834"/>
      <c r="D365" s="560"/>
      <c r="E365" s="560"/>
      <c r="F365" s="560"/>
      <c r="G365" s="560"/>
      <c r="H365" s="560"/>
      <c r="I365" s="560"/>
      <c r="J365" s="560"/>
      <c r="K365" s="560"/>
      <c r="L365" s="560"/>
      <c r="M365" s="560"/>
      <c r="N365" s="560"/>
      <c r="O365" s="560"/>
      <c r="P365" s="870"/>
      <c r="Q365" s="531"/>
      <c r="R365" s="557"/>
      <c r="S365" s="843" t="s">
        <v>816</v>
      </c>
      <c r="T365" s="526" t="s">
        <v>817</v>
      </c>
      <c r="U365" s="527" t="e">
        <f>U364-#REF!</f>
        <v>#REF!</v>
      </c>
      <c r="V365" s="532" t="s">
        <v>818</v>
      </c>
      <c r="W365" s="529" t="e">
        <f>(#REF!+BM365)/1100000</f>
        <v>#REF!</v>
      </c>
      <c r="X365" s="89"/>
      <c r="Y365" s="73"/>
      <c r="Z365" s="837"/>
      <c r="AA365" s="837"/>
      <c r="AB365" s="735" t="s">
        <v>817</v>
      </c>
      <c r="AC365" s="744" t="e">
        <f>AC364-#REF!</f>
        <v>#REF!</v>
      </c>
      <c r="AD365" s="749" t="s">
        <v>824</v>
      </c>
      <c r="AE365" s="738"/>
      <c r="AF365" s="763"/>
      <c r="AG365" s="747"/>
      <c r="AH365" s="763"/>
      <c r="AI365" s="747"/>
      <c r="AJ365" s="763"/>
      <c r="AK365" s="747"/>
      <c r="AL365" s="763"/>
      <c r="AM365" s="747"/>
      <c r="AN365" s="763"/>
      <c r="AO365" s="747"/>
      <c r="AP365" s="763"/>
      <c r="AQ365" s="747"/>
      <c r="AR365" s="763"/>
      <c r="AS365" s="747"/>
    </row>
    <row r="366" spans="1:51" s="741" customFormat="1" ht="22.5" customHeight="1" thickBot="1">
      <c r="A366" s="490" t="s">
        <v>2873</v>
      </c>
      <c r="B366" s="824">
        <v>0.19209999999999999</v>
      </c>
      <c r="C366" s="825">
        <f>B366+D366+E366+F366+G366+H366+I366+J366+K366+L366+M366+N366+O366</f>
        <v>0.47310000000000019</v>
      </c>
      <c r="D366" s="826">
        <v>0.01</v>
      </c>
      <c r="E366" s="826">
        <v>0.01</v>
      </c>
      <c r="F366" s="826">
        <v>2.9000000000000001E-2</v>
      </c>
      <c r="G366" s="826">
        <v>2.9000000000000001E-2</v>
      </c>
      <c r="H366" s="826">
        <v>2.9000000000000001E-2</v>
      </c>
      <c r="I366" s="826">
        <v>2.9000000000000001E-2</v>
      </c>
      <c r="J366" s="826">
        <v>2.9000000000000001E-2</v>
      </c>
      <c r="K366" s="826">
        <v>2.9000000000000001E-2</v>
      </c>
      <c r="L366" s="826">
        <v>2.9000000000000001E-2</v>
      </c>
      <c r="M366" s="826">
        <v>2.9000000000000001E-2</v>
      </c>
      <c r="N366" s="826">
        <v>2.9000000000000001E-2</v>
      </c>
      <c r="O366" s="826"/>
      <c r="P366" s="869" t="s">
        <v>2874</v>
      </c>
      <c r="Q366" s="927" t="s">
        <v>2875</v>
      </c>
      <c r="R366" s="254" t="s">
        <v>2876</v>
      </c>
      <c r="S366" s="828" t="s">
        <v>2877</v>
      </c>
      <c r="T366" s="521" t="s">
        <v>814</v>
      </c>
      <c r="U366" s="522">
        <f>BK366/1100000</f>
        <v>0</v>
      </c>
      <c r="V366" s="523" t="s">
        <v>832</v>
      </c>
      <c r="W366" s="524" t="e">
        <f>U366*0.8-(#REF!+W367)</f>
        <v>#REF!</v>
      </c>
      <c r="X366" s="299" t="s">
        <v>812</v>
      </c>
      <c r="Y366" s="547" t="s">
        <v>813</v>
      </c>
      <c r="Z366" s="925" t="s">
        <v>2878</v>
      </c>
      <c r="AA366" s="925"/>
      <c r="AB366" s="735" t="s">
        <v>814</v>
      </c>
      <c r="AC366" s="794">
        <v>936056000</v>
      </c>
      <c r="AD366" s="749" t="s">
        <v>35</v>
      </c>
      <c r="AE366" s="738">
        <f>SUM(AF366:AS366)</f>
        <v>23567521</v>
      </c>
      <c r="AF366" s="830" t="s">
        <v>1078</v>
      </c>
      <c r="AG366" s="740">
        <v>23567521</v>
      </c>
      <c r="AH366" s="832" t="s">
        <v>1079</v>
      </c>
      <c r="AI366" s="740"/>
      <c r="AJ366" s="832" t="s">
        <v>2512</v>
      </c>
      <c r="AK366" s="740"/>
      <c r="AL366" s="832" t="s">
        <v>796</v>
      </c>
      <c r="AM366" s="740"/>
      <c r="AN366" s="832" t="s">
        <v>1081</v>
      </c>
      <c r="AO366" s="740"/>
      <c r="AP366" s="832"/>
      <c r="AQ366" s="740"/>
      <c r="AR366" s="832"/>
      <c r="AS366" s="740"/>
    </row>
    <row r="367" spans="1:51" s="741" customFormat="1" ht="22.5" customHeight="1" thickBot="1">
      <c r="A367" s="495"/>
      <c r="B367" s="833"/>
      <c r="C367" s="834"/>
      <c r="D367" s="560" t="s">
        <v>2567</v>
      </c>
      <c r="E367" s="560" t="s">
        <v>2879</v>
      </c>
      <c r="F367" s="560" t="s">
        <v>2880</v>
      </c>
      <c r="G367" s="560" t="s">
        <v>2881</v>
      </c>
      <c r="H367" s="560" t="s">
        <v>2882</v>
      </c>
      <c r="I367" s="560" t="s">
        <v>2883</v>
      </c>
      <c r="J367" s="560" t="s">
        <v>2884</v>
      </c>
      <c r="K367" s="560" t="s">
        <v>2885</v>
      </c>
      <c r="L367" s="560" t="s">
        <v>2886</v>
      </c>
      <c r="M367" s="560" t="s">
        <v>2887</v>
      </c>
      <c r="N367" s="560" t="s">
        <v>2888</v>
      </c>
      <c r="O367" s="560"/>
      <c r="P367" s="870"/>
      <c r="Q367" s="928"/>
      <c r="R367" s="255"/>
      <c r="S367" s="843" t="s">
        <v>816</v>
      </c>
      <c r="T367" s="526" t="s">
        <v>817</v>
      </c>
      <c r="U367" s="527" t="e">
        <f>U366-#REF!</f>
        <v>#REF!</v>
      </c>
      <c r="V367" s="532" t="s">
        <v>818</v>
      </c>
      <c r="W367" s="529" t="e">
        <f>(#REF!+BM367)/1100000</f>
        <v>#REF!</v>
      </c>
      <c r="X367" s="89"/>
      <c r="Y367" s="73"/>
      <c r="Z367" s="837"/>
      <c r="AA367" s="837"/>
      <c r="AB367" s="735" t="s">
        <v>817</v>
      </c>
      <c r="AC367" s="744" t="e">
        <f>AC366-#REF!</f>
        <v>#REF!</v>
      </c>
      <c r="AD367" s="749" t="s">
        <v>824</v>
      </c>
      <c r="AE367" s="738"/>
      <c r="AF367" s="763"/>
      <c r="AG367" s="747"/>
      <c r="AH367" s="763"/>
      <c r="AI367" s="747"/>
      <c r="AJ367" s="763"/>
      <c r="AK367" s="747"/>
      <c r="AL367" s="763"/>
      <c r="AM367" s="747"/>
      <c r="AN367" s="763"/>
      <c r="AO367" s="747"/>
      <c r="AP367" s="763"/>
      <c r="AQ367" s="747"/>
      <c r="AR367" s="763"/>
      <c r="AS367" s="747"/>
    </row>
    <row r="368" spans="1:51" s="741" customFormat="1" ht="22.5" customHeight="1" thickBot="1">
      <c r="A368" s="490" t="s">
        <v>2893</v>
      </c>
      <c r="B368" s="824">
        <v>0.63100000000000001</v>
      </c>
      <c r="C368" s="825">
        <f>B368+D368+E368+F368+G368+H368+I368+J368+K368+L368+M368+N368+O368</f>
        <v>0.88300000000000023</v>
      </c>
      <c r="D368" s="826"/>
      <c r="E368" s="826"/>
      <c r="F368" s="826">
        <v>2.8000000000000001E-2</v>
      </c>
      <c r="G368" s="826">
        <v>2.8000000000000001E-2</v>
      </c>
      <c r="H368" s="826">
        <v>2.8000000000000001E-2</v>
      </c>
      <c r="I368" s="826">
        <v>2.8000000000000001E-2</v>
      </c>
      <c r="J368" s="826">
        <v>2.8000000000000001E-2</v>
      </c>
      <c r="K368" s="826">
        <v>2.8000000000000001E-2</v>
      </c>
      <c r="L368" s="826">
        <v>2.8000000000000001E-2</v>
      </c>
      <c r="M368" s="826">
        <v>2.8000000000000001E-2</v>
      </c>
      <c r="N368" s="826">
        <v>2.8000000000000001E-2</v>
      </c>
      <c r="O368" s="826"/>
      <c r="P368" s="869" t="s">
        <v>2894</v>
      </c>
      <c r="Q368" s="537" t="s">
        <v>2895</v>
      </c>
      <c r="R368" s="553" t="s">
        <v>2896</v>
      </c>
      <c r="S368" s="828" t="s">
        <v>2897</v>
      </c>
      <c r="T368" s="521" t="s">
        <v>814</v>
      </c>
      <c r="U368" s="522">
        <f>BK368/1100000</f>
        <v>0</v>
      </c>
      <c r="V368" s="523" t="s">
        <v>832</v>
      </c>
      <c r="W368" s="524" t="e">
        <f>U368*0.8-(#REF!+W369)</f>
        <v>#REF!</v>
      </c>
      <c r="X368" s="299" t="s">
        <v>812</v>
      </c>
      <c r="Y368" s="547" t="s">
        <v>813</v>
      </c>
      <c r="Z368" s="925" t="s">
        <v>2898</v>
      </c>
      <c r="AA368" s="925"/>
      <c r="AB368" s="735" t="s">
        <v>814</v>
      </c>
      <c r="AC368" s="794">
        <f>901100000*0.35</f>
        <v>315385000</v>
      </c>
      <c r="AD368" s="749" t="s">
        <v>35</v>
      </c>
      <c r="AE368" s="738">
        <f>SUM(AF368:AS368)</f>
        <v>0</v>
      </c>
      <c r="AF368" s="830" t="s">
        <v>1078</v>
      </c>
      <c r="AG368" s="740"/>
      <c r="AH368" s="832" t="s">
        <v>1079</v>
      </c>
      <c r="AI368" s="740">
        <f>AG368</f>
        <v>0</v>
      </c>
      <c r="AJ368" s="832" t="s">
        <v>2512</v>
      </c>
      <c r="AK368" s="740">
        <f>AG368</f>
        <v>0</v>
      </c>
      <c r="AL368" s="832" t="s">
        <v>796</v>
      </c>
      <c r="AM368" s="740"/>
      <c r="AN368" s="832" t="s">
        <v>1081</v>
      </c>
      <c r="AO368" s="740"/>
      <c r="AP368" s="832"/>
      <c r="AQ368" s="740"/>
      <c r="AR368" s="832"/>
      <c r="AS368" s="740"/>
    </row>
    <row r="369" spans="1:51" s="741" customFormat="1" ht="22.5" customHeight="1" thickBot="1">
      <c r="A369" s="495"/>
      <c r="B369" s="833"/>
      <c r="C369" s="834"/>
      <c r="D369" s="560" t="s">
        <v>2567</v>
      </c>
      <c r="E369" s="560" t="s">
        <v>2567</v>
      </c>
      <c r="F369" s="560" t="s">
        <v>2899</v>
      </c>
      <c r="G369" s="560" t="s">
        <v>2899</v>
      </c>
      <c r="H369" s="560" t="s">
        <v>2899</v>
      </c>
      <c r="I369" s="560" t="s">
        <v>2899</v>
      </c>
      <c r="J369" s="560" t="s">
        <v>2899</v>
      </c>
      <c r="K369" s="560" t="s">
        <v>2900</v>
      </c>
      <c r="L369" s="560" t="s">
        <v>2901</v>
      </c>
      <c r="M369" s="560" t="s">
        <v>2902</v>
      </c>
      <c r="N369" s="560" t="s">
        <v>2903</v>
      </c>
      <c r="O369" s="560"/>
      <c r="P369" s="870"/>
      <c r="Q369" s="531"/>
      <c r="R369" s="557"/>
      <c r="S369" s="843" t="s">
        <v>2904</v>
      </c>
      <c r="T369" s="526" t="s">
        <v>817</v>
      </c>
      <c r="U369" s="527" t="e">
        <f>U368-#REF!</f>
        <v>#REF!</v>
      </c>
      <c r="V369" s="532" t="s">
        <v>818</v>
      </c>
      <c r="W369" s="529" t="e">
        <f>(#REF!+BM369)/1100000</f>
        <v>#REF!</v>
      </c>
      <c r="X369" s="89"/>
      <c r="Y369" s="73"/>
      <c r="Z369" s="837"/>
      <c r="AA369" s="837"/>
      <c r="AB369" s="735" t="s">
        <v>817</v>
      </c>
      <c r="AC369" s="744" t="e">
        <f>AC368-#REF!</f>
        <v>#REF!</v>
      </c>
      <c r="AD369" s="749" t="s">
        <v>824</v>
      </c>
      <c r="AE369" s="738"/>
      <c r="AF369" s="763"/>
      <c r="AG369" s="747"/>
      <c r="AH369" s="763"/>
      <c r="AI369" s="747"/>
      <c r="AJ369" s="763"/>
      <c r="AK369" s="747"/>
      <c r="AL369" s="763"/>
      <c r="AM369" s="747"/>
      <c r="AN369" s="763"/>
      <c r="AO369" s="747"/>
      <c r="AP369" s="763"/>
      <c r="AQ369" s="747"/>
      <c r="AR369" s="763"/>
      <c r="AS369" s="747"/>
    </row>
    <row r="370" spans="1:51" s="741" customFormat="1" ht="22.5" customHeight="1" thickBot="1">
      <c r="A370" s="490" t="s">
        <v>2905</v>
      </c>
      <c r="B370" s="824">
        <v>0</v>
      </c>
      <c r="C370" s="825">
        <f>B370+D370+E370+F370+G370+H370+I370+J370+K370+L370+M370+N370+O370</f>
        <v>0.41799999999999993</v>
      </c>
      <c r="D370" s="826">
        <v>3.7999999999999999E-2</v>
      </c>
      <c r="E370" s="826">
        <v>3.7999999999999999E-2</v>
      </c>
      <c r="F370" s="826">
        <v>3.7999999999999999E-2</v>
      </c>
      <c r="G370" s="826">
        <v>3.7999999999999999E-2</v>
      </c>
      <c r="H370" s="826">
        <v>3.7999999999999999E-2</v>
      </c>
      <c r="I370" s="826">
        <v>3.7999999999999999E-2</v>
      </c>
      <c r="J370" s="826">
        <v>3.7999999999999999E-2</v>
      </c>
      <c r="K370" s="826">
        <v>3.7999999999999999E-2</v>
      </c>
      <c r="L370" s="826">
        <v>3.7999999999999999E-2</v>
      </c>
      <c r="M370" s="826">
        <v>3.7999999999999999E-2</v>
      </c>
      <c r="N370" s="826">
        <v>3.7999999999999999E-2</v>
      </c>
      <c r="O370" s="826"/>
      <c r="P370" s="869" t="s">
        <v>2906</v>
      </c>
      <c r="Q370" s="537" t="s">
        <v>2907</v>
      </c>
      <c r="R370" s="553" t="s">
        <v>2908</v>
      </c>
      <c r="S370" s="828" t="s">
        <v>2909</v>
      </c>
      <c r="T370" s="521" t="s">
        <v>814</v>
      </c>
      <c r="U370" s="522">
        <f>BK370/1100000</f>
        <v>0</v>
      </c>
      <c r="V370" s="523" t="s">
        <v>832</v>
      </c>
      <c r="W370" s="524" t="e">
        <f>U370*0.8-(#REF!+W371)</f>
        <v>#REF!</v>
      </c>
      <c r="X370" s="299" t="s">
        <v>812</v>
      </c>
      <c r="Y370" s="547" t="s">
        <v>813</v>
      </c>
      <c r="Z370" s="925" t="s">
        <v>2910</v>
      </c>
      <c r="AA370" s="925"/>
      <c r="AB370" s="735" t="s">
        <v>814</v>
      </c>
      <c r="AC370" s="794">
        <f>896772000*0.4</f>
        <v>358708800</v>
      </c>
      <c r="AD370" s="749" t="s">
        <v>35</v>
      </c>
      <c r="AE370" s="738">
        <f>SUM(AF370:AS370)</f>
        <v>0</v>
      </c>
      <c r="AF370" s="830" t="s">
        <v>1078</v>
      </c>
      <c r="AG370" s="740"/>
      <c r="AH370" s="832" t="s">
        <v>1079</v>
      </c>
      <c r="AI370" s="740">
        <f>AG370</f>
        <v>0</v>
      </c>
      <c r="AJ370" s="832" t="s">
        <v>2512</v>
      </c>
      <c r="AK370" s="740">
        <f>AG370</f>
        <v>0</v>
      </c>
      <c r="AL370" s="832" t="s">
        <v>55</v>
      </c>
      <c r="AM370" s="740"/>
      <c r="AN370" s="832" t="s">
        <v>52</v>
      </c>
      <c r="AO370" s="740"/>
      <c r="AP370" s="832"/>
      <c r="AQ370" s="740"/>
      <c r="AR370" s="832"/>
      <c r="AS370" s="740"/>
    </row>
    <row r="371" spans="1:51" s="741" customFormat="1" ht="22.5" customHeight="1" thickBot="1">
      <c r="A371" s="495"/>
      <c r="B371" s="833"/>
      <c r="C371" s="834"/>
      <c r="D371" s="560" t="s">
        <v>2911</v>
      </c>
      <c r="E371" s="560" t="s">
        <v>2912</v>
      </c>
      <c r="F371" s="560" t="s">
        <v>2913</v>
      </c>
      <c r="G371" s="560" t="s">
        <v>2914</v>
      </c>
      <c r="H371" s="560" t="s">
        <v>2915</v>
      </c>
      <c r="I371" s="560" t="s">
        <v>2916</v>
      </c>
      <c r="J371" s="560" t="s">
        <v>2917</v>
      </c>
      <c r="K371" s="560" t="s">
        <v>2918</v>
      </c>
      <c r="L371" s="560" t="s">
        <v>2919</v>
      </c>
      <c r="M371" s="560" t="s">
        <v>2920</v>
      </c>
      <c r="N371" s="560" t="s">
        <v>2921</v>
      </c>
      <c r="O371" s="560"/>
      <c r="P371" s="870"/>
      <c r="Q371" s="531"/>
      <c r="R371" s="557"/>
      <c r="S371" s="843" t="s">
        <v>67</v>
      </c>
      <c r="T371" s="526" t="s">
        <v>196</v>
      </c>
      <c r="U371" s="527" t="e">
        <f>U370-#REF!</f>
        <v>#REF!</v>
      </c>
      <c r="V371" s="532" t="s">
        <v>15</v>
      </c>
      <c r="W371" s="529" t="e">
        <f>(#REF!+BM371)/1100000</f>
        <v>#REF!</v>
      </c>
      <c r="X371" s="89"/>
      <c r="Y371" s="73"/>
      <c r="Z371" s="837"/>
      <c r="AA371" s="837"/>
      <c r="AB371" s="735" t="s">
        <v>196</v>
      </c>
      <c r="AC371" s="744" t="e">
        <f>AC370-#REF!</f>
        <v>#REF!</v>
      </c>
      <c r="AD371" s="749" t="s">
        <v>100</v>
      </c>
      <c r="AE371" s="738"/>
      <c r="AF371" s="763"/>
      <c r="AG371" s="747"/>
      <c r="AH371" s="763"/>
      <c r="AI371" s="747"/>
      <c r="AJ371" s="763"/>
      <c r="AK371" s="747"/>
      <c r="AL371" s="763"/>
      <c r="AM371" s="747"/>
      <c r="AN371" s="763"/>
      <c r="AO371" s="747"/>
      <c r="AP371" s="763"/>
      <c r="AQ371" s="747"/>
      <c r="AR371" s="763"/>
      <c r="AS371" s="747"/>
    </row>
    <row r="372" spans="1:51" s="741" customFormat="1" ht="22.5" customHeight="1" thickBot="1">
      <c r="A372" s="490" t="s">
        <v>749</v>
      </c>
      <c r="B372" s="824">
        <v>0.13350000000000001</v>
      </c>
      <c r="C372" s="825">
        <f>B372+D372+E372+F372+G372+H372+I372+J372+K372+L372+M372+N372+O372</f>
        <v>0.36450000000000005</v>
      </c>
      <c r="D372" s="826">
        <v>2.1000000000000001E-2</v>
      </c>
      <c r="E372" s="826">
        <v>2.1000000000000001E-2</v>
      </c>
      <c r="F372" s="826">
        <v>2.1000000000000001E-2</v>
      </c>
      <c r="G372" s="826">
        <v>2.1000000000000001E-2</v>
      </c>
      <c r="H372" s="826">
        <v>2.1000000000000001E-2</v>
      </c>
      <c r="I372" s="826">
        <v>2.1000000000000001E-2</v>
      </c>
      <c r="J372" s="826">
        <v>2.1000000000000001E-2</v>
      </c>
      <c r="K372" s="826">
        <v>2.1000000000000001E-2</v>
      </c>
      <c r="L372" s="826">
        <v>2.1000000000000001E-2</v>
      </c>
      <c r="M372" s="826">
        <v>2.1000000000000001E-2</v>
      </c>
      <c r="N372" s="826">
        <v>2.1000000000000001E-2</v>
      </c>
      <c r="O372" s="826"/>
      <c r="P372" s="838" t="s">
        <v>2593</v>
      </c>
      <c r="Q372" s="537" t="s">
        <v>2922</v>
      </c>
      <c r="R372" s="254" t="s">
        <v>2923</v>
      </c>
      <c r="S372" s="828" t="s">
        <v>2924</v>
      </c>
      <c r="T372" s="521" t="s">
        <v>89</v>
      </c>
      <c r="U372" s="522">
        <f>BK372/1100000</f>
        <v>0</v>
      </c>
      <c r="V372" s="523" t="s">
        <v>7</v>
      </c>
      <c r="W372" s="524" t="e">
        <f>U372*0.8-(#REF!+W373)</f>
        <v>#REF!</v>
      </c>
      <c r="X372" s="299" t="s">
        <v>90</v>
      </c>
      <c r="Y372" s="547" t="s">
        <v>34</v>
      </c>
      <c r="Z372" s="925" t="s">
        <v>1950</v>
      </c>
      <c r="AA372" s="925"/>
      <c r="AB372" s="735" t="s">
        <v>89</v>
      </c>
      <c r="AC372" s="794">
        <f>2355103000*0.4</f>
        <v>942041200</v>
      </c>
      <c r="AD372" s="749" t="s">
        <v>98</v>
      </c>
      <c r="AE372" s="738">
        <f>SUM(AF372:AS372)</f>
        <v>27226395</v>
      </c>
      <c r="AF372" s="830" t="s">
        <v>1104</v>
      </c>
      <c r="AG372" s="740"/>
      <c r="AH372" s="832" t="s">
        <v>1105</v>
      </c>
      <c r="AI372" s="740">
        <v>27226395</v>
      </c>
      <c r="AJ372" s="832" t="s">
        <v>2543</v>
      </c>
      <c r="AK372" s="740">
        <f>AG372</f>
        <v>0</v>
      </c>
      <c r="AL372" s="832" t="s">
        <v>796</v>
      </c>
      <c r="AM372" s="740"/>
      <c r="AN372" s="832" t="s">
        <v>1081</v>
      </c>
      <c r="AO372" s="740"/>
      <c r="AP372" s="832"/>
      <c r="AQ372" s="740"/>
      <c r="AR372" s="832"/>
      <c r="AS372" s="740"/>
    </row>
    <row r="373" spans="1:51" s="741" customFormat="1" ht="22.5" customHeight="1" thickBot="1">
      <c r="A373" s="495"/>
      <c r="B373" s="833"/>
      <c r="C373" s="834"/>
      <c r="D373" s="560" t="s">
        <v>2925</v>
      </c>
      <c r="E373" s="560" t="s">
        <v>2926</v>
      </c>
      <c r="F373" s="560" t="s">
        <v>2927</v>
      </c>
      <c r="G373" s="560" t="s">
        <v>2928</v>
      </c>
      <c r="H373" s="560" t="s">
        <v>2929</v>
      </c>
      <c r="I373" s="560" t="s">
        <v>2930</v>
      </c>
      <c r="J373" s="560" t="s">
        <v>2931</v>
      </c>
      <c r="K373" s="560" t="s">
        <v>2932</v>
      </c>
      <c r="L373" s="560" t="s">
        <v>2933</v>
      </c>
      <c r="M373" s="560" t="s">
        <v>2934</v>
      </c>
      <c r="N373" s="560" t="s">
        <v>2935</v>
      </c>
      <c r="O373" s="560"/>
      <c r="P373" s="870"/>
      <c r="Q373" s="531"/>
      <c r="R373" s="255"/>
      <c r="S373" s="843" t="s">
        <v>816</v>
      </c>
      <c r="T373" s="526" t="s">
        <v>817</v>
      </c>
      <c r="U373" s="527" t="e">
        <f>U372-#REF!</f>
        <v>#REF!</v>
      </c>
      <c r="V373" s="532" t="s">
        <v>818</v>
      </c>
      <c r="W373" s="529" t="e">
        <f>(#REF!+BM373)/1100000</f>
        <v>#REF!</v>
      </c>
      <c r="X373" s="89"/>
      <c r="Y373" s="73"/>
      <c r="Z373" s="837"/>
      <c r="AA373" s="837"/>
      <c r="AB373" s="735" t="s">
        <v>817</v>
      </c>
      <c r="AC373" s="744" t="e">
        <f>AC372-#REF!</f>
        <v>#REF!</v>
      </c>
      <c r="AD373" s="749" t="s">
        <v>824</v>
      </c>
      <c r="AE373" s="738"/>
      <c r="AF373" s="763"/>
      <c r="AG373" s="747"/>
      <c r="AH373" s="763"/>
      <c r="AI373" s="747"/>
      <c r="AJ373" s="763"/>
      <c r="AK373" s="747"/>
      <c r="AL373" s="763"/>
      <c r="AM373" s="747"/>
      <c r="AN373" s="763"/>
      <c r="AO373" s="747"/>
      <c r="AP373" s="763"/>
      <c r="AQ373" s="747"/>
      <c r="AR373" s="763"/>
      <c r="AS373" s="747"/>
    </row>
    <row r="374" spans="1:51" s="741" customFormat="1" ht="22.5" customHeight="1" thickBot="1">
      <c r="A374" s="490" t="s">
        <v>2936</v>
      </c>
      <c r="B374" s="824">
        <v>0.1071</v>
      </c>
      <c r="C374" s="825">
        <f>B374+D374+E374+F374+G374+H374+I374+J374+K374+L374+M374+N374+O374</f>
        <v>0.33910000000000007</v>
      </c>
      <c r="D374" s="826">
        <v>3.3000000000000002E-2</v>
      </c>
      <c r="E374" s="826"/>
      <c r="F374" s="826">
        <v>0</v>
      </c>
      <c r="G374" s="826"/>
      <c r="H374" s="826">
        <v>1.7000000000000001E-2</v>
      </c>
      <c r="I374" s="826">
        <v>1.7000000000000001E-2</v>
      </c>
      <c r="J374" s="826">
        <v>3.3000000000000002E-2</v>
      </c>
      <c r="K374" s="826">
        <v>3.3000000000000002E-2</v>
      </c>
      <c r="L374" s="826">
        <v>3.3000000000000002E-2</v>
      </c>
      <c r="M374" s="826">
        <v>3.3000000000000002E-2</v>
      </c>
      <c r="N374" s="826">
        <v>3.3000000000000002E-2</v>
      </c>
      <c r="O374" s="826"/>
      <c r="P374" s="869" t="s">
        <v>2937</v>
      </c>
      <c r="Q374" s="537" t="s">
        <v>2938</v>
      </c>
      <c r="R374" s="553" t="s">
        <v>2939</v>
      </c>
      <c r="S374" s="828" t="s">
        <v>2940</v>
      </c>
      <c r="T374" s="521" t="s">
        <v>814</v>
      </c>
      <c r="U374" s="522">
        <f>BK374/1100000</f>
        <v>0</v>
      </c>
      <c r="V374" s="523" t="s">
        <v>832</v>
      </c>
      <c r="W374" s="524" t="e">
        <f>U374*0.8-(#REF!+W375)</f>
        <v>#REF!</v>
      </c>
      <c r="X374" s="299" t="s">
        <v>812</v>
      </c>
      <c r="Y374" s="547" t="s">
        <v>813</v>
      </c>
      <c r="Z374" s="925" t="s">
        <v>2941</v>
      </c>
      <c r="AA374" s="925"/>
      <c r="AB374" s="735" t="s">
        <v>814</v>
      </c>
      <c r="AC374" s="794">
        <v>411660000</v>
      </c>
      <c r="AD374" s="749" t="s">
        <v>35</v>
      </c>
      <c r="AE374" s="738">
        <f>SUM(AF374:AS374)</f>
        <v>13437462</v>
      </c>
      <c r="AF374" s="830" t="s">
        <v>1078</v>
      </c>
      <c r="AG374" s="740"/>
      <c r="AH374" s="832" t="s">
        <v>1079</v>
      </c>
      <c r="AI374" s="740">
        <f>AG374</f>
        <v>0</v>
      </c>
      <c r="AJ374" s="832" t="s">
        <v>2543</v>
      </c>
      <c r="AK374" s="740">
        <v>13437462</v>
      </c>
      <c r="AL374" s="832" t="s">
        <v>55</v>
      </c>
      <c r="AM374" s="740"/>
      <c r="AN374" s="832" t="s">
        <v>52</v>
      </c>
      <c r="AO374" s="740"/>
      <c r="AP374" s="832"/>
      <c r="AQ374" s="740"/>
      <c r="AR374" s="832"/>
      <c r="AS374" s="740"/>
    </row>
    <row r="375" spans="1:51" s="741" customFormat="1" ht="22.5" customHeight="1" thickBot="1">
      <c r="A375" s="495"/>
      <c r="B375" s="833"/>
      <c r="C375" s="834"/>
      <c r="D375" s="560" t="s">
        <v>2942</v>
      </c>
      <c r="E375" s="560" t="s">
        <v>2566</v>
      </c>
      <c r="F375" s="560" t="s">
        <v>2943</v>
      </c>
      <c r="G375" s="560" t="s">
        <v>2943</v>
      </c>
      <c r="H375" s="560" t="s">
        <v>2944</v>
      </c>
      <c r="I375" s="560" t="s">
        <v>2945</v>
      </c>
      <c r="J375" s="560" t="s">
        <v>2946</v>
      </c>
      <c r="K375" s="560" t="s">
        <v>2946</v>
      </c>
      <c r="L375" s="560" t="s">
        <v>2946</v>
      </c>
      <c r="M375" s="560" t="s">
        <v>2947</v>
      </c>
      <c r="N375" s="560" t="s">
        <v>2948</v>
      </c>
      <c r="O375" s="560"/>
      <c r="P375" s="870"/>
      <c r="Q375" s="531"/>
      <c r="R375" s="557"/>
      <c r="S375" s="843" t="s">
        <v>67</v>
      </c>
      <c r="T375" s="526" t="s">
        <v>196</v>
      </c>
      <c r="U375" s="527" t="e">
        <f>U374-#REF!</f>
        <v>#REF!</v>
      </c>
      <c r="V375" s="532" t="s">
        <v>15</v>
      </c>
      <c r="W375" s="529" t="e">
        <f>(#REF!+BM375)/1100000</f>
        <v>#REF!</v>
      </c>
      <c r="X375" s="89"/>
      <c r="Y375" s="73"/>
      <c r="Z375" s="837"/>
      <c r="AA375" s="837"/>
      <c r="AB375" s="735" t="s">
        <v>196</v>
      </c>
      <c r="AC375" s="744" t="e">
        <f>AC374-#REF!</f>
        <v>#REF!</v>
      </c>
      <c r="AD375" s="749" t="s">
        <v>100</v>
      </c>
      <c r="AE375" s="738"/>
      <c r="AF375" s="763"/>
      <c r="AG375" s="747"/>
      <c r="AH375" s="763"/>
      <c r="AI375" s="747"/>
      <c r="AJ375" s="763"/>
      <c r="AK375" s="747"/>
      <c r="AL375" s="763"/>
      <c r="AM375" s="747"/>
      <c r="AN375" s="763"/>
      <c r="AO375" s="747"/>
      <c r="AP375" s="763"/>
      <c r="AQ375" s="747"/>
      <c r="AR375" s="763"/>
      <c r="AS375" s="747"/>
    </row>
    <row r="376" spans="1:51" s="953" customFormat="1" ht="22.5" customHeight="1" thickBot="1">
      <c r="A376" s="563" t="s">
        <v>2949</v>
      </c>
      <c r="B376" s="941"/>
      <c r="C376" s="825">
        <f>B376+D376+E376+F376+G376+H376+I376+J376+K376+L376+M376+N376+O376</f>
        <v>0.17600000000000005</v>
      </c>
      <c r="D376" s="942">
        <v>1.6E-2</v>
      </c>
      <c r="E376" s="942">
        <v>1.6E-2</v>
      </c>
      <c r="F376" s="942">
        <v>1.6E-2</v>
      </c>
      <c r="G376" s="942">
        <v>1.6E-2</v>
      </c>
      <c r="H376" s="942">
        <v>1.6E-2</v>
      </c>
      <c r="I376" s="942">
        <v>1.6E-2</v>
      </c>
      <c r="J376" s="942">
        <v>1.6E-2</v>
      </c>
      <c r="K376" s="942">
        <v>1.6E-2</v>
      </c>
      <c r="L376" s="942">
        <v>1.6E-2</v>
      </c>
      <c r="M376" s="942">
        <v>1.6E-2</v>
      </c>
      <c r="N376" s="942">
        <v>1.6E-2</v>
      </c>
      <c r="O376" s="942"/>
      <c r="P376" s="962" t="s">
        <v>2950</v>
      </c>
      <c r="Q376" s="683" t="s">
        <v>2648</v>
      </c>
      <c r="R376" s="680" t="s">
        <v>2951</v>
      </c>
      <c r="S376" s="944" t="s">
        <v>304</v>
      </c>
      <c r="T376" s="632" t="s">
        <v>89</v>
      </c>
      <c r="U376" s="633">
        <f>BK376/1100000</f>
        <v>0</v>
      </c>
      <c r="V376" s="634" t="s">
        <v>7</v>
      </c>
      <c r="W376" s="635" t="e">
        <f>U376*0.8-(#REF!+W377)</f>
        <v>#REF!</v>
      </c>
      <c r="X376" s="945" t="s">
        <v>90</v>
      </c>
      <c r="Y376" s="946" t="s">
        <v>34</v>
      </c>
      <c r="Z376" s="1004" t="s">
        <v>116</v>
      </c>
      <c r="AA376" s="1004"/>
      <c r="AB376" s="948" t="s">
        <v>89</v>
      </c>
      <c r="AC376" s="949">
        <v>2950000000</v>
      </c>
      <c r="AD376" s="950" t="s">
        <v>98</v>
      </c>
      <c r="AE376" s="951">
        <f>SUM(AF376:AS376)</f>
        <v>0</v>
      </c>
      <c r="AF376" s="952" t="s">
        <v>1104</v>
      </c>
      <c r="AG376" s="951"/>
      <c r="AH376" s="950" t="s">
        <v>1105</v>
      </c>
      <c r="AI376" s="951">
        <f>AG376</f>
        <v>0</v>
      </c>
      <c r="AJ376" s="950" t="s">
        <v>2512</v>
      </c>
      <c r="AK376" s="951">
        <f>AG376</f>
        <v>0</v>
      </c>
      <c r="AL376" s="950" t="s">
        <v>796</v>
      </c>
      <c r="AM376" s="951"/>
      <c r="AN376" s="950" t="s">
        <v>1081</v>
      </c>
      <c r="AO376" s="951"/>
      <c r="AP376" s="950"/>
      <c r="AQ376" s="951"/>
      <c r="AR376" s="950"/>
      <c r="AS376" s="951"/>
    </row>
    <row r="377" spans="1:51" s="953" customFormat="1" ht="22.5" customHeight="1" thickBot="1">
      <c r="A377" s="564"/>
      <c r="B377" s="954"/>
      <c r="C377" s="834"/>
      <c r="D377" s="687" t="s">
        <v>2952</v>
      </c>
      <c r="E377" s="687" t="s">
        <v>2953</v>
      </c>
      <c r="F377" s="687" t="s">
        <v>2953</v>
      </c>
      <c r="G377" s="687"/>
      <c r="H377" s="687"/>
      <c r="I377" s="687" t="s">
        <v>2954</v>
      </c>
      <c r="J377" s="687" t="s">
        <v>2954</v>
      </c>
      <c r="K377" s="687" t="s">
        <v>2955</v>
      </c>
      <c r="L377" s="687" t="s">
        <v>2955</v>
      </c>
      <c r="M377" s="687" t="s">
        <v>2956</v>
      </c>
      <c r="N377" s="687" t="s">
        <v>2956</v>
      </c>
      <c r="O377" s="687"/>
      <c r="P377" s="956"/>
      <c r="Q377" s="640"/>
      <c r="R377" s="684"/>
      <c r="S377" s="957" t="s">
        <v>816</v>
      </c>
      <c r="T377" s="637" t="s">
        <v>817</v>
      </c>
      <c r="U377" s="638" t="e">
        <f>U376-#REF!</f>
        <v>#REF!</v>
      </c>
      <c r="V377" s="641" t="s">
        <v>818</v>
      </c>
      <c r="W377" s="639" t="e">
        <f>(#REF!+BM377)/1100000</f>
        <v>#REF!</v>
      </c>
      <c r="X377" s="945"/>
      <c r="Y377" s="946"/>
      <c r="Z377" s="958"/>
      <c r="AA377" s="958"/>
      <c r="AB377" s="948" t="s">
        <v>817</v>
      </c>
      <c r="AC377" s="959" t="e">
        <f>AC376-#REF!</f>
        <v>#REF!</v>
      </c>
      <c r="AD377" s="950" t="s">
        <v>824</v>
      </c>
      <c r="AE377" s="951"/>
      <c r="AF377" s="960"/>
      <c r="AG377" s="961"/>
      <c r="AH377" s="960"/>
      <c r="AI377" s="961"/>
      <c r="AJ377" s="960"/>
      <c r="AK377" s="961"/>
      <c r="AL377" s="960"/>
      <c r="AM377" s="961"/>
      <c r="AN377" s="960"/>
      <c r="AO377" s="961"/>
      <c r="AP377" s="960"/>
      <c r="AQ377" s="961"/>
      <c r="AR377" s="960"/>
      <c r="AS377" s="961"/>
    </row>
    <row r="378" spans="1:51" s="741" customFormat="1" ht="22.5" customHeight="1" thickBot="1">
      <c r="A378" s="490" t="s">
        <v>2957</v>
      </c>
      <c r="B378" s="858">
        <v>0.3402</v>
      </c>
      <c r="C378" s="825">
        <f>B378+D378+E378+F378+G378+H378+I378+J378+K378+L378+M378+N378+O378</f>
        <v>0.67020000000000024</v>
      </c>
      <c r="D378" s="826">
        <v>0.03</v>
      </c>
      <c r="E378" s="826">
        <v>0.03</v>
      </c>
      <c r="F378" s="826">
        <v>0.03</v>
      </c>
      <c r="G378" s="826">
        <v>0.03</v>
      </c>
      <c r="H378" s="826">
        <v>0.03</v>
      </c>
      <c r="I378" s="826">
        <v>0.03</v>
      </c>
      <c r="J378" s="826">
        <v>0.03</v>
      </c>
      <c r="K378" s="826">
        <v>0.03</v>
      </c>
      <c r="L378" s="826">
        <v>0.03</v>
      </c>
      <c r="M378" s="826">
        <v>0.03</v>
      </c>
      <c r="N378" s="826">
        <v>0.03</v>
      </c>
      <c r="O378" s="826"/>
      <c r="P378" s="838" t="s">
        <v>2958</v>
      </c>
      <c r="Q378" s="537" t="s">
        <v>2959</v>
      </c>
      <c r="R378" s="254" t="s">
        <v>2960</v>
      </c>
      <c r="S378" s="828" t="s">
        <v>2961</v>
      </c>
      <c r="T378" s="521" t="s">
        <v>814</v>
      </c>
      <c r="U378" s="522">
        <f>BK378/1100000</f>
        <v>0</v>
      </c>
      <c r="V378" s="523" t="s">
        <v>832</v>
      </c>
      <c r="W378" s="524" t="e">
        <f>U378*0.8-(#REF!+W379)</f>
        <v>#REF!</v>
      </c>
      <c r="X378" s="299" t="s">
        <v>812</v>
      </c>
      <c r="Y378" s="547" t="s">
        <v>813</v>
      </c>
      <c r="Z378" s="930" t="s">
        <v>2962</v>
      </c>
      <c r="AA378" s="930"/>
      <c r="AB378" s="735" t="s">
        <v>814</v>
      </c>
      <c r="AC378" s="794">
        <v>352689600</v>
      </c>
      <c r="AD378" s="749" t="s">
        <v>35</v>
      </c>
      <c r="AE378" s="738">
        <f>SUM(AF378:AS378)</f>
        <v>16464874</v>
      </c>
      <c r="AF378" s="830" t="s">
        <v>1078</v>
      </c>
      <c r="AG378" s="740"/>
      <c r="AH378" s="832" t="s">
        <v>1079</v>
      </c>
      <c r="AI378" s="740">
        <v>16464874</v>
      </c>
      <c r="AJ378" s="832" t="s">
        <v>2512</v>
      </c>
      <c r="AK378" s="740">
        <f>AG378</f>
        <v>0</v>
      </c>
      <c r="AL378" s="832" t="s">
        <v>796</v>
      </c>
      <c r="AM378" s="740"/>
      <c r="AN378" s="832" t="s">
        <v>1081</v>
      </c>
      <c r="AO378" s="740"/>
      <c r="AP378" s="832"/>
      <c r="AQ378" s="740"/>
      <c r="AR378" s="832"/>
      <c r="AS378" s="740"/>
    </row>
    <row r="379" spans="1:51" s="741" customFormat="1" ht="22.5" customHeight="1" thickBot="1">
      <c r="A379" s="495"/>
      <c r="B379" s="861"/>
      <c r="C379" s="834"/>
      <c r="D379" s="560" t="s">
        <v>2963</v>
      </c>
      <c r="E379" s="560" t="s">
        <v>2964</v>
      </c>
      <c r="F379" s="560" t="s">
        <v>2965</v>
      </c>
      <c r="G379" s="560" t="s">
        <v>2966</v>
      </c>
      <c r="H379" s="560" t="s">
        <v>2967</v>
      </c>
      <c r="I379" s="560" t="s">
        <v>2968</v>
      </c>
      <c r="J379" s="560" t="s">
        <v>2969</v>
      </c>
      <c r="K379" s="560" t="s">
        <v>2970</v>
      </c>
      <c r="L379" s="560" t="s">
        <v>2971</v>
      </c>
      <c r="M379" s="560" t="s">
        <v>2972</v>
      </c>
      <c r="N379" s="560" t="s">
        <v>2973</v>
      </c>
      <c r="O379" s="560"/>
      <c r="P379" s="870"/>
      <c r="Q379" s="531"/>
      <c r="R379" s="255"/>
      <c r="S379" s="843" t="s">
        <v>816</v>
      </c>
      <c r="T379" s="526" t="s">
        <v>817</v>
      </c>
      <c r="U379" s="527" t="e">
        <f>U378-#REF!</f>
        <v>#REF!</v>
      </c>
      <c r="V379" s="532" t="s">
        <v>818</v>
      </c>
      <c r="W379" s="529" t="e">
        <f>(#REF!+BM379)/1100000</f>
        <v>#REF!</v>
      </c>
      <c r="X379" s="89"/>
      <c r="Y379" s="73"/>
      <c r="Z379" s="837"/>
      <c r="AA379" s="837"/>
      <c r="AB379" s="735" t="s">
        <v>817</v>
      </c>
      <c r="AC379" s="744" t="e">
        <f>AC378-#REF!</f>
        <v>#REF!</v>
      </c>
      <c r="AD379" s="749" t="s">
        <v>824</v>
      </c>
      <c r="AE379" s="738"/>
      <c r="AF379" s="763"/>
      <c r="AG379" s="747"/>
      <c r="AH379" s="763"/>
      <c r="AI379" s="747"/>
      <c r="AJ379" s="763"/>
      <c r="AK379" s="747"/>
      <c r="AL379" s="763"/>
      <c r="AM379" s="747"/>
      <c r="AN379" s="763"/>
      <c r="AO379" s="747"/>
      <c r="AP379" s="763"/>
      <c r="AQ379" s="747"/>
      <c r="AR379" s="763"/>
      <c r="AS379" s="747"/>
      <c r="AT379" s="745"/>
      <c r="AU379" s="745"/>
      <c r="AV379" s="745"/>
      <c r="AW379" s="745"/>
      <c r="AX379" s="745"/>
      <c r="AY379" s="745"/>
    </row>
    <row r="380" spans="1:51" s="741" customFormat="1" ht="22.5" customHeight="1" thickBot="1">
      <c r="A380" s="490" t="s">
        <v>2974</v>
      </c>
      <c r="B380" s="858"/>
      <c r="C380" s="825">
        <f>B380+D380+E380+F380+G380+H380+I380+J380+K380+L380+M380+N380+O380</f>
        <v>0.28600000000000003</v>
      </c>
      <c r="D380" s="826">
        <v>2.5999999999999999E-2</v>
      </c>
      <c r="E380" s="826">
        <v>2.5999999999999999E-2</v>
      </c>
      <c r="F380" s="826">
        <v>2.5999999999999999E-2</v>
      </c>
      <c r="G380" s="826">
        <v>2.5999999999999999E-2</v>
      </c>
      <c r="H380" s="826">
        <v>2.5999999999999999E-2</v>
      </c>
      <c r="I380" s="826">
        <v>2.5999999999999999E-2</v>
      </c>
      <c r="J380" s="826">
        <v>2.5999999999999999E-2</v>
      </c>
      <c r="K380" s="826">
        <v>2.5999999999999999E-2</v>
      </c>
      <c r="L380" s="826">
        <v>2.5999999999999999E-2</v>
      </c>
      <c r="M380" s="826">
        <v>2.5999999999999999E-2</v>
      </c>
      <c r="N380" s="826">
        <v>2.5999999999999999E-2</v>
      </c>
      <c r="O380" s="826"/>
      <c r="P380" s="838" t="s">
        <v>2975</v>
      </c>
      <c r="Q380" s="537" t="s">
        <v>2976</v>
      </c>
      <c r="R380" s="254" t="s">
        <v>2977</v>
      </c>
      <c r="S380" s="828" t="s">
        <v>2978</v>
      </c>
      <c r="T380" s="521" t="s">
        <v>814</v>
      </c>
      <c r="U380" s="522">
        <f>BK380/1100000</f>
        <v>0</v>
      </c>
      <c r="V380" s="523" t="s">
        <v>832</v>
      </c>
      <c r="W380" s="524" t="e">
        <f>U380*0.8-(#REF!+W381)</f>
        <v>#REF!</v>
      </c>
      <c r="X380" s="299" t="s">
        <v>812</v>
      </c>
      <c r="Y380" s="547" t="s">
        <v>813</v>
      </c>
      <c r="Z380" s="930" t="s">
        <v>2979</v>
      </c>
      <c r="AA380" s="930"/>
      <c r="AB380" s="735" t="s">
        <v>814</v>
      </c>
      <c r="AC380" s="794">
        <v>645156000</v>
      </c>
      <c r="AD380" s="749" t="s">
        <v>35</v>
      </c>
      <c r="AE380" s="738">
        <f>SUM(AF380:AS380)</f>
        <v>17757491</v>
      </c>
      <c r="AF380" s="830" t="s">
        <v>1078</v>
      </c>
      <c r="AG380" s="740"/>
      <c r="AH380" s="832" t="s">
        <v>1079</v>
      </c>
      <c r="AI380" s="740">
        <v>17757491</v>
      </c>
      <c r="AJ380" s="832" t="s">
        <v>2512</v>
      </c>
      <c r="AK380" s="740">
        <f>AG380</f>
        <v>0</v>
      </c>
      <c r="AL380" s="832" t="s">
        <v>55</v>
      </c>
      <c r="AM380" s="740"/>
      <c r="AN380" s="832" t="s">
        <v>52</v>
      </c>
      <c r="AO380" s="740"/>
      <c r="AP380" s="832"/>
      <c r="AQ380" s="740"/>
      <c r="AR380" s="832"/>
      <c r="AS380" s="740"/>
    </row>
    <row r="381" spans="1:51" s="741" customFormat="1" ht="22.5" customHeight="1" thickBot="1">
      <c r="A381" s="495"/>
      <c r="B381" s="861"/>
      <c r="C381" s="834"/>
      <c r="D381" s="560" t="s">
        <v>2980</v>
      </c>
      <c r="E381" s="560" t="s">
        <v>2980</v>
      </c>
      <c r="F381" s="560" t="s">
        <v>2981</v>
      </c>
      <c r="G381" s="560" t="s">
        <v>2982</v>
      </c>
      <c r="H381" s="560" t="s">
        <v>2983</v>
      </c>
      <c r="I381" s="560" t="s">
        <v>2984</v>
      </c>
      <c r="J381" s="560" t="s">
        <v>2985</v>
      </c>
      <c r="K381" s="560" t="s">
        <v>2986</v>
      </c>
      <c r="L381" s="560" t="s">
        <v>2987</v>
      </c>
      <c r="M381" s="560" t="s">
        <v>2988</v>
      </c>
      <c r="N381" s="560" t="s">
        <v>2989</v>
      </c>
      <c r="O381" s="560"/>
      <c r="P381" s="870"/>
      <c r="Q381" s="531"/>
      <c r="R381" s="255"/>
      <c r="S381" s="843" t="s">
        <v>67</v>
      </c>
      <c r="T381" s="526" t="s">
        <v>196</v>
      </c>
      <c r="U381" s="527" t="e">
        <f>U380-#REF!</f>
        <v>#REF!</v>
      </c>
      <c r="V381" s="532" t="s">
        <v>15</v>
      </c>
      <c r="W381" s="529" t="e">
        <f>(#REF!+BM381)/1100000</f>
        <v>#REF!</v>
      </c>
      <c r="X381" s="89"/>
      <c r="Y381" s="73"/>
      <c r="Z381" s="837"/>
      <c r="AA381" s="837"/>
      <c r="AB381" s="735" t="s">
        <v>196</v>
      </c>
      <c r="AC381" s="744" t="e">
        <f>AC380-#REF!</f>
        <v>#REF!</v>
      </c>
      <c r="AD381" s="749" t="s">
        <v>100</v>
      </c>
      <c r="AE381" s="738"/>
      <c r="AF381" s="763"/>
      <c r="AG381" s="747"/>
      <c r="AH381" s="763"/>
      <c r="AI381" s="747"/>
      <c r="AJ381" s="763"/>
      <c r="AK381" s="747"/>
      <c r="AL381" s="763"/>
      <c r="AM381" s="747"/>
      <c r="AN381" s="763"/>
      <c r="AO381" s="747"/>
      <c r="AP381" s="763"/>
      <c r="AQ381" s="747"/>
      <c r="AR381" s="763"/>
      <c r="AS381" s="747"/>
      <c r="AT381" s="745"/>
      <c r="AU381" s="745"/>
      <c r="AV381" s="745"/>
      <c r="AW381" s="745"/>
      <c r="AX381" s="745"/>
      <c r="AY381" s="745"/>
    </row>
    <row r="382" spans="1:51" s="953" customFormat="1" ht="22.5" customHeight="1" thickBot="1">
      <c r="A382" s="563" t="s">
        <v>2990</v>
      </c>
      <c r="B382" s="941">
        <v>1</v>
      </c>
      <c r="C382" s="825">
        <f>B382+D382+E382+F382+G382+H382+I382+J382+K382+L382+M382+N382+O382</f>
        <v>1</v>
      </c>
      <c r="D382" s="942"/>
      <c r="E382" s="942"/>
      <c r="F382" s="942"/>
      <c r="G382" s="942"/>
      <c r="H382" s="942"/>
      <c r="I382" s="942"/>
      <c r="J382" s="942"/>
      <c r="K382" s="942"/>
      <c r="L382" s="942"/>
      <c r="M382" s="942"/>
      <c r="N382" s="942"/>
      <c r="O382" s="942"/>
      <c r="P382" s="943" t="s">
        <v>2817</v>
      </c>
      <c r="Q382" s="683"/>
      <c r="R382" s="680" t="s">
        <v>2991</v>
      </c>
      <c r="S382" s="944" t="s">
        <v>2992</v>
      </c>
      <c r="T382" s="632" t="s">
        <v>89</v>
      </c>
      <c r="U382" s="633">
        <f>BK382/1100000</f>
        <v>0</v>
      </c>
      <c r="V382" s="634" t="s">
        <v>7</v>
      </c>
      <c r="W382" s="635" t="e">
        <f>U382*0.8-(#REF!+W383)</f>
        <v>#REF!</v>
      </c>
      <c r="X382" s="945" t="s">
        <v>90</v>
      </c>
      <c r="Y382" s="946" t="s">
        <v>34</v>
      </c>
      <c r="Z382" s="1004" t="s">
        <v>177</v>
      </c>
      <c r="AA382" s="1004"/>
      <c r="AB382" s="948" t="s">
        <v>89</v>
      </c>
      <c r="AC382" s="949">
        <f>1439000+6420000</f>
        <v>7859000</v>
      </c>
      <c r="AD382" s="950" t="s">
        <v>98</v>
      </c>
      <c r="AE382" s="951">
        <f>SUM(AF382:AS382)</f>
        <v>0</v>
      </c>
      <c r="AF382" s="952" t="s">
        <v>1104</v>
      </c>
      <c r="AG382" s="951"/>
      <c r="AH382" s="950" t="s">
        <v>1105</v>
      </c>
      <c r="AI382" s="951"/>
      <c r="AJ382" s="950" t="s">
        <v>2543</v>
      </c>
      <c r="AK382" s="951"/>
      <c r="AL382" s="950" t="s">
        <v>55</v>
      </c>
      <c r="AM382" s="951"/>
      <c r="AN382" s="950" t="s">
        <v>52</v>
      </c>
      <c r="AO382" s="951"/>
      <c r="AP382" s="950"/>
      <c r="AQ382" s="951"/>
      <c r="AR382" s="950"/>
      <c r="AS382" s="951"/>
    </row>
    <row r="383" spans="1:51" s="953" customFormat="1" ht="22.5" customHeight="1" thickBot="1">
      <c r="A383" s="564"/>
      <c r="B383" s="954"/>
      <c r="C383" s="834"/>
      <c r="D383" s="687"/>
      <c r="E383" s="687"/>
      <c r="F383" s="687"/>
      <c r="G383" s="687"/>
      <c r="H383" s="687"/>
      <c r="I383" s="687"/>
      <c r="J383" s="955"/>
      <c r="K383" s="955"/>
      <c r="L383" s="687"/>
      <c r="M383" s="687"/>
      <c r="N383" s="687"/>
      <c r="O383" s="687"/>
      <c r="P383" s="956"/>
      <c r="Q383" s="640"/>
      <c r="R383" s="684"/>
      <c r="S383" s="957" t="s">
        <v>67</v>
      </c>
      <c r="T383" s="637" t="s">
        <v>196</v>
      </c>
      <c r="U383" s="638" t="e">
        <f>U382-#REF!</f>
        <v>#REF!</v>
      </c>
      <c r="V383" s="641" t="s">
        <v>15</v>
      </c>
      <c r="W383" s="639" t="e">
        <f>(#REF!+BM383)/1100000</f>
        <v>#REF!</v>
      </c>
      <c r="X383" s="945"/>
      <c r="Y383" s="946"/>
      <c r="Z383" s="958"/>
      <c r="AA383" s="958"/>
      <c r="AB383" s="948" t="s">
        <v>196</v>
      </c>
      <c r="AC383" s="959" t="e">
        <f>AC382-#REF!</f>
        <v>#REF!</v>
      </c>
      <c r="AD383" s="950" t="s">
        <v>100</v>
      </c>
      <c r="AE383" s="951"/>
      <c r="AF383" s="960"/>
      <c r="AG383" s="961"/>
      <c r="AH383" s="960"/>
      <c r="AI383" s="961"/>
      <c r="AJ383" s="960"/>
      <c r="AK383" s="961"/>
      <c r="AL383" s="960"/>
      <c r="AM383" s="961"/>
      <c r="AN383" s="960"/>
      <c r="AO383" s="961"/>
      <c r="AP383" s="960"/>
      <c r="AQ383" s="961"/>
      <c r="AR383" s="960"/>
      <c r="AS383" s="961"/>
    </row>
    <row r="384" spans="1:51" s="741" customFormat="1" ht="22.5" customHeight="1" thickBot="1">
      <c r="A384" s="257" t="s">
        <v>2993</v>
      </c>
      <c r="B384" s="824"/>
      <c r="C384" s="825">
        <f>B384+D384+E384+F384+G384+H384+I384+J384+K384+L384+M384+N384+O384</f>
        <v>0.29700000000000004</v>
      </c>
      <c r="D384" s="826"/>
      <c r="E384" s="826"/>
      <c r="F384" s="826">
        <v>3.3000000000000002E-2</v>
      </c>
      <c r="G384" s="826">
        <v>3.3000000000000002E-2</v>
      </c>
      <c r="H384" s="826">
        <v>3.3000000000000002E-2</v>
      </c>
      <c r="I384" s="826">
        <v>3.3000000000000002E-2</v>
      </c>
      <c r="J384" s="826">
        <v>3.3000000000000002E-2</v>
      </c>
      <c r="K384" s="826">
        <v>3.3000000000000002E-2</v>
      </c>
      <c r="L384" s="826">
        <v>3.3000000000000002E-2</v>
      </c>
      <c r="M384" s="826">
        <v>3.3000000000000002E-2</v>
      </c>
      <c r="N384" s="826">
        <v>3.3000000000000002E-2</v>
      </c>
      <c r="O384" s="826"/>
      <c r="P384" s="838" t="s">
        <v>2593</v>
      </c>
      <c r="Q384" s="537" t="s">
        <v>2994</v>
      </c>
      <c r="R384" s="254" t="s">
        <v>2995</v>
      </c>
      <c r="S384" s="828" t="s">
        <v>2996</v>
      </c>
      <c r="T384" s="521" t="s">
        <v>89</v>
      </c>
      <c r="U384" s="522">
        <f>BK384/1100000</f>
        <v>0</v>
      </c>
      <c r="V384" s="523" t="s">
        <v>7</v>
      </c>
      <c r="W384" s="524" t="e">
        <f>U384*0.8-(#REF!+W385)</f>
        <v>#REF!</v>
      </c>
      <c r="X384" s="299" t="s">
        <v>90</v>
      </c>
      <c r="Y384" s="547" t="s">
        <v>34</v>
      </c>
      <c r="Z384" s="925" t="s">
        <v>1517</v>
      </c>
      <c r="AA384" s="925"/>
      <c r="AB384" s="735" t="s">
        <v>89</v>
      </c>
      <c r="AC384" s="794">
        <v>559350000</v>
      </c>
      <c r="AD384" s="749" t="s">
        <v>98</v>
      </c>
      <c r="AE384" s="738">
        <f>SUM(AF384:AS384)</f>
        <v>0</v>
      </c>
      <c r="AF384" s="830" t="s">
        <v>1104</v>
      </c>
      <c r="AG384" s="740"/>
      <c r="AH384" s="832" t="s">
        <v>1105</v>
      </c>
      <c r="AI384" s="740"/>
      <c r="AJ384" s="832" t="s">
        <v>2543</v>
      </c>
      <c r="AK384" s="740"/>
      <c r="AL384" s="832" t="s">
        <v>55</v>
      </c>
      <c r="AM384" s="740"/>
      <c r="AN384" s="832" t="s">
        <v>52</v>
      </c>
      <c r="AO384" s="740"/>
      <c r="AP384" s="832"/>
      <c r="AQ384" s="740"/>
      <c r="AR384" s="832"/>
      <c r="AS384" s="740"/>
    </row>
    <row r="385" spans="1:51" s="741" customFormat="1" ht="22.5" customHeight="1" thickBot="1">
      <c r="A385" s="258"/>
      <c r="B385" s="833"/>
      <c r="C385" s="834"/>
      <c r="D385" s="560"/>
      <c r="E385" s="560"/>
      <c r="F385" s="560" t="s">
        <v>2981</v>
      </c>
      <c r="G385" s="560" t="s">
        <v>2981</v>
      </c>
      <c r="H385" s="560" t="s">
        <v>2981</v>
      </c>
      <c r="I385" s="560" t="s">
        <v>2981</v>
      </c>
      <c r="J385" s="560" t="s">
        <v>2981</v>
      </c>
      <c r="K385" s="841" t="s">
        <v>2997</v>
      </c>
      <c r="L385" s="560" t="s">
        <v>2911</v>
      </c>
      <c r="M385" s="560" t="s">
        <v>2998</v>
      </c>
      <c r="N385" s="560" t="s">
        <v>2999</v>
      </c>
      <c r="O385" s="560"/>
      <c r="P385" s="870"/>
      <c r="Q385" s="531"/>
      <c r="R385" s="255"/>
      <c r="S385" s="843" t="s">
        <v>67</v>
      </c>
      <c r="T385" s="526" t="s">
        <v>196</v>
      </c>
      <c r="U385" s="527" t="e">
        <f>U384-#REF!</f>
        <v>#REF!</v>
      </c>
      <c r="V385" s="532" t="s">
        <v>15</v>
      </c>
      <c r="W385" s="529" t="e">
        <f>(#REF!+BM385)/1100000</f>
        <v>#REF!</v>
      </c>
      <c r="X385" s="89"/>
      <c r="Y385" s="73"/>
      <c r="Z385" s="837"/>
      <c r="AA385" s="837"/>
      <c r="AB385" s="735" t="s">
        <v>196</v>
      </c>
      <c r="AC385" s="744" t="e">
        <f>AC384-#REF!</f>
        <v>#REF!</v>
      </c>
      <c r="AD385" s="749" t="s">
        <v>100</v>
      </c>
      <c r="AE385" s="738"/>
      <c r="AF385" s="763"/>
      <c r="AG385" s="747"/>
      <c r="AH385" s="763"/>
      <c r="AI385" s="747"/>
      <c r="AJ385" s="763"/>
      <c r="AK385" s="747"/>
      <c r="AL385" s="763"/>
      <c r="AM385" s="747"/>
      <c r="AN385" s="763"/>
      <c r="AO385" s="747"/>
      <c r="AP385" s="763"/>
      <c r="AQ385" s="747"/>
      <c r="AR385" s="763"/>
      <c r="AS385" s="747"/>
      <c r="AT385" s="745"/>
      <c r="AU385" s="745"/>
      <c r="AV385" s="745"/>
      <c r="AW385" s="745"/>
      <c r="AX385" s="745"/>
      <c r="AY385" s="745"/>
    </row>
    <row r="386" spans="1:51" s="741" customFormat="1" ht="22.5" customHeight="1" thickBot="1">
      <c r="A386" s="257" t="s">
        <v>3000</v>
      </c>
      <c r="B386" s="824"/>
      <c r="C386" s="825">
        <f>B386+D386+E386+F386+G386+H386+I386+J386+K386+L386+M386+N386+O386</f>
        <v>8.5000000000000006E-2</v>
      </c>
      <c r="D386" s="826"/>
      <c r="E386" s="826"/>
      <c r="F386" s="826"/>
      <c r="G386" s="826"/>
      <c r="H386" s="826"/>
      <c r="I386" s="826"/>
      <c r="J386" s="826">
        <v>8.9999999999999993E-3</v>
      </c>
      <c r="K386" s="826">
        <v>1.9E-2</v>
      </c>
      <c r="L386" s="826">
        <v>1.9E-2</v>
      </c>
      <c r="M386" s="826">
        <v>1.9E-2</v>
      </c>
      <c r="N386" s="826">
        <v>1.9E-2</v>
      </c>
      <c r="O386" s="826"/>
      <c r="P386" s="838" t="s">
        <v>2593</v>
      </c>
      <c r="Q386" s="537" t="s">
        <v>3001</v>
      </c>
      <c r="R386" s="254" t="s">
        <v>3002</v>
      </c>
      <c r="S386" s="828" t="s">
        <v>2996</v>
      </c>
      <c r="T386" s="521" t="s">
        <v>89</v>
      </c>
      <c r="U386" s="522">
        <f>BK386/1100000</f>
        <v>0</v>
      </c>
      <c r="V386" s="523" t="s">
        <v>7</v>
      </c>
      <c r="W386" s="524" t="e">
        <f>U386*0.8-(#REF!+W387)</f>
        <v>#REF!</v>
      </c>
      <c r="X386" s="299" t="s">
        <v>90</v>
      </c>
      <c r="Y386" s="547" t="s">
        <v>34</v>
      </c>
      <c r="Z386" s="925" t="s">
        <v>3003</v>
      </c>
      <c r="AA386" s="925"/>
      <c r="AB386" s="735" t="s">
        <v>89</v>
      </c>
      <c r="AC386" s="794">
        <v>717100000</v>
      </c>
      <c r="AD386" s="749" t="s">
        <v>98</v>
      </c>
      <c r="AE386" s="738">
        <f>SUM(AF386:AS386)</f>
        <v>0</v>
      </c>
      <c r="AF386" s="931" t="s">
        <v>1104</v>
      </c>
      <c r="AG386" s="740"/>
      <c r="AH386" s="832" t="s">
        <v>1105</v>
      </c>
      <c r="AI386" s="740"/>
      <c r="AJ386" s="832" t="s">
        <v>2543</v>
      </c>
      <c r="AK386" s="740"/>
      <c r="AL386" s="832" t="s">
        <v>55</v>
      </c>
      <c r="AM386" s="740"/>
      <c r="AN386" s="832" t="s">
        <v>52</v>
      </c>
      <c r="AO386" s="740"/>
      <c r="AP386" s="832"/>
      <c r="AQ386" s="740"/>
      <c r="AR386" s="832"/>
      <c r="AS386" s="740"/>
    </row>
    <row r="387" spans="1:51" s="741" customFormat="1" ht="22.5" customHeight="1" thickBot="1">
      <c r="A387" s="258"/>
      <c r="B387" s="833"/>
      <c r="C387" s="834"/>
      <c r="D387" s="560"/>
      <c r="E387" s="560"/>
      <c r="F387" s="560"/>
      <c r="G387" s="560"/>
      <c r="H387" s="560"/>
      <c r="I387" s="560"/>
      <c r="J387" s="841" t="s">
        <v>2981</v>
      </c>
      <c r="K387" s="841" t="s">
        <v>3004</v>
      </c>
      <c r="L387" s="560" t="s">
        <v>3005</v>
      </c>
      <c r="M387" s="560" t="s">
        <v>3006</v>
      </c>
      <c r="N387" s="560" t="s">
        <v>3007</v>
      </c>
      <c r="O387" s="560"/>
      <c r="P387" s="870"/>
      <c r="Q387" s="531"/>
      <c r="R387" s="255"/>
      <c r="S387" s="843" t="s">
        <v>67</v>
      </c>
      <c r="T387" s="526" t="s">
        <v>196</v>
      </c>
      <c r="U387" s="527" t="e">
        <f>U386-#REF!</f>
        <v>#REF!</v>
      </c>
      <c r="V387" s="532" t="s">
        <v>15</v>
      </c>
      <c r="W387" s="529" t="e">
        <f>(#REF!+BM387)/1100000</f>
        <v>#REF!</v>
      </c>
      <c r="X387" s="89"/>
      <c r="Y387" s="73"/>
      <c r="Z387" s="837"/>
      <c r="AA387" s="837"/>
      <c r="AB387" s="735" t="s">
        <v>196</v>
      </c>
      <c r="AC387" s="744" t="e">
        <f>AC386-#REF!</f>
        <v>#REF!</v>
      </c>
      <c r="AD387" s="749" t="s">
        <v>100</v>
      </c>
      <c r="AE387" s="738"/>
      <c r="AF387" s="763"/>
      <c r="AG387" s="747"/>
      <c r="AH387" s="763"/>
      <c r="AI387" s="747"/>
      <c r="AJ387" s="763"/>
      <c r="AK387" s="747"/>
      <c r="AL387" s="763"/>
      <c r="AM387" s="747"/>
      <c r="AN387" s="763"/>
      <c r="AO387" s="747"/>
      <c r="AP387" s="763"/>
      <c r="AQ387" s="747"/>
      <c r="AR387" s="763"/>
      <c r="AS387" s="747"/>
      <c r="AT387" s="745"/>
      <c r="AU387" s="745"/>
      <c r="AV387" s="745"/>
      <c r="AW387" s="745"/>
      <c r="AX387" s="745"/>
      <c r="AY387" s="745"/>
    </row>
    <row r="388" spans="1:51" s="741" customFormat="1" ht="22.5" customHeight="1" thickBot="1">
      <c r="A388" s="257" t="s">
        <v>3008</v>
      </c>
      <c r="B388" s="824"/>
      <c r="C388" s="825">
        <f>B388+D388+E388+F388+G388+H388+I388+J388+K388+L388+M388+N388+O388</f>
        <v>0.17400000000000002</v>
      </c>
      <c r="D388" s="826"/>
      <c r="E388" s="826"/>
      <c r="F388" s="826"/>
      <c r="G388" s="826"/>
      <c r="H388" s="826"/>
      <c r="I388" s="826">
        <v>2.9000000000000001E-2</v>
      </c>
      <c r="J388" s="826">
        <v>2.9000000000000001E-2</v>
      </c>
      <c r="K388" s="826">
        <v>2.9000000000000001E-2</v>
      </c>
      <c r="L388" s="826">
        <v>2.9000000000000001E-2</v>
      </c>
      <c r="M388" s="826">
        <v>2.9000000000000001E-2</v>
      </c>
      <c r="N388" s="826">
        <v>2.9000000000000001E-2</v>
      </c>
      <c r="O388" s="826"/>
      <c r="P388" s="838" t="s">
        <v>3009</v>
      </c>
      <c r="Q388" s="537" t="s">
        <v>3010</v>
      </c>
      <c r="R388" s="254" t="s">
        <v>3011</v>
      </c>
      <c r="S388" s="828" t="s">
        <v>3012</v>
      </c>
      <c r="T388" s="521" t="s">
        <v>89</v>
      </c>
      <c r="U388" s="522">
        <f>BK388/1100000</f>
        <v>0</v>
      </c>
      <c r="V388" s="523" t="s">
        <v>7</v>
      </c>
      <c r="W388" s="524" t="e">
        <f>U388*0.8-(#REF!+W389)</f>
        <v>#REF!</v>
      </c>
      <c r="X388" s="299" t="s">
        <v>90</v>
      </c>
      <c r="Y388" s="547" t="s">
        <v>34</v>
      </c>
      <c r="Z388" s="925" t="s">
        <v>178</v>
      </c>
      <c r="AA388" s="925"/>
      <c r="AB388" s="735" t="s">
        <v>89</v>
      </c>
      <c r="AC388" s="794">
        <v>527250000</v>
      </c>
      <c r="AD388" s="749" t="s">
        <v>98</v>
      </c>
      <c r="AE388" s="738">
        <f>SUM(AF388:AS388)</f>
        <v>24805546</v>
      </c>
      <c r="AF388" s="830" t="s">
        <v>1104</v>
      </c>
      <c r="AG388" s="740"/>
      <c r="AH388" s="832" t="s">
        <v>1105</v>
      </c>
      <c r="AI388" s="740">
        <v>24805546</v>
      </c>
      <c r="AJ388" s="832" t="s">
        <v>2543</v>
      </c>
      <c r="AK388" s="740"/>
      <c r="AL388" s="832" t="s">
        <v>55</v>
      </c>
      <c r="AM388" s="740"/>
      <c r="AN388" s="832" t="s">
        <v>52</v>
      </c>
      <c r="AO388" s="740"/>
      <c r="AP388" s="832"/>
      <c r="AQ388" s="740"/>
      <c r="AR388" s="832"/>
      <c r="AS388" s="740"/>
    </row>
    <row r="389" spans="1:51" s="741" customFormat="1" ht="22.5" customHeight="1" thickBot="1">
      <c r="A389" s="258"/>
      <c r="B389" s="833"/>
      <c r="C389" s="834"/>
      <c r="D389" s="560"/>
      <c r="E389" s="560"/>
      <c r="F389" s="560"/>
      <c r="G389" s="560"/>
      <c r="H389" s="560" t="s">
        <v>3013</v>
      </c>
      <c r="I389" s="560" t="s">
        <v>3014</v>
      </c>
      <c r="J389" s="841" t="s">
        <v>3015</v>
      </c>
      <c r="K389" s="841" t="s">
        <v>3016</v>
      </c>
      <c r="L389" s="560" t="s">
        <v>3017</v>
      </c>
      <c r="M389" s="560" t="s">
        <v>3018</v>
      </c>
      <c r="N389" s="560" t="s">
        <v>3019</v>
      </c>
      <c r="O389" s="560"/>
      <c r="P389" s="870"/>
      <c r="Q389" s="531"/>
      <c r="R389" s="255"/>
      <c r="S389" s="843" t="s">
        <v>67</v>
      </c>
      <c r="T389" s="526" t="s">
        <v>196</v>
      </c>
      <c r="U389" s="527" t="e">
        <f>U388-#REF!</f>
        <v>#REF!</v>
      </c>
      <c r="V389" s="532" t="s">
        <v>15</v>
      </c>
      <c r="W389" s="529" t="e">
        <f>(#REF!+BM389)/1100000</f>
        <v>#REF!</v>
      </c>
      <c r="X389" s="89"/>
      <c r="Y389" s="73"/>
      <c r="Z389" s="837"/>
      <c r="AA389" s="837"/>
      <c r="AB389" s="735" t="s">
        <v>196</v>
      </c>
      <c r="AC389" s="744" t="e">
        <f>AC388-#REF!</f>
        <v>#REF!</v>
      </c>
      <c r="AD389" s="749" t="s">
        <v>100</v>
      </c>
      <c r="AE389" s="738"/>
      <c r="AF389" s="763"/>
      <c r="AG389" s="747"/>
      <c r="AH389" s="763"/>
      <c r="AI389" s="747"/>
      <c r="AJ389" s="763"/>
      <c r="AK389" s="747"/>
      <c r="AL389" s="763"/>
      <c r="AM389" s="747"/>
      <c r="AN389" s="763"/>
      <c r="AO389" s="747"/>
      <c r="AP389" s="763"/>
      <c r="AQ389" s="747"/>
      <c r="AR389" s="763"/>
      <c r="AS389" s="747"/>
      <c r="AT389" s="745"/>
      <c r="AU389" s="745"/>
      <c r="AV389" s="745"/>
      <c r="AW389" s="745"/>
      <c r="AX389" s="745"/>
      <c r="AY389" s="745"/>
    </row>
    <row r="390" spans="1:51" s="741" customFormat="1" ht="22.5" customHeight="1" thickBot="1">
      <c r="A390" s="257" t="s">
        <v>3020</v>
      </c>
      <c r="B390" s="824"/>
      <c r="C390" s="825">
        <f>B390+D390+E390+F390+G390+H390+I390+J390+K390+L390+M390+N390+O390</f>
        <v>0.22000000000000003</v>
      </c>
      <c r="D390" s="826"/>
      <c r="E390" s="826"/>
      <c r="F390" s="826"/>
      <c r="G390" s="826"/>
      <c r="H390" s="826"/>
      <c r="I390" s="826">
        <v>0.02</v>
      </c>
      <c r="J390" s="826">
        <v>0.04</v>
      </c>
      <c r="K390" s="826">
        <v>0.04</v>
      </c>
      <c r="L390" s="826">
        <v>0.04</v>
      </c>
      <c r="M390" s="826">
        <v>0.04</v>
      </c>
      <c r="N390" s="826">
        <v>0.04</v>
      </c>
      <c r="O390" s="826"/>
      <c r="P390" s="838" t="s">
        <v>2593</v>
      </c>
      <c r="Q390" s="537" t="s">
        <v>3021</v>
      </c>
      <c r="R390" s="254" t="s">
        <v>3022</v>
      </c>
      <c r="S390" s="828" t="s">
        <v>3023</v>
      </c>
      <c r="T390" s="521" t="s">
        <v>89</v>
      </c>
      <c r="U390" s="522">
        <f>BK390/1100000</f>
        <v>0</v>
      </c>
      <c r="V390" s="523" t="s">
        <v>7</v>
      </c>
      <c r="W390" s="524" t="e">
        <f>U390*0.8-(#REF!+W391)</f>
        <v>#REF!</v>
      </c>
      <c r="X390" s="299" t="s">
        <v>90</v>
      </c>
      <c r="Y390" s="547" t="s">
        <v>34</v>
      </c>
      <c r="Z390" s="925" t="s">
        <v>1788</v>
      </c>
      <c r="AA390" s="925"/>
      <c r="AB390" s="735" t="s">
        <v>89</v>
      </c>
      <c r="AC390" s="794">
        <v>571388000</v>
      </c>
      <c r="AD390" s="749" t="s">
        <v>98</v>
      </c>
      <c r="AE390" s="738">
        <f>SUM(AF390:AS390)</f>
        <v>0</v>
      </c>
      <c r="AF390" s="830" t="s">
        <v>1104</v>
      </c>
      <c r="AG390" s="740"/>
      <c r="AH390" s="832" t="s">
        <v>1105</v>
      </c>
      <c r="AI390" s="740"/>
      <c r="AJ390" s="832" t="s">
        <v>2543</v>
      </c>
      <c r="AK390" s="740"/>
      <c r="AL390" s="832" t="s">
        <v>55</v>
      </c>
      <c r="AM390" s="740"/>
      <c r="AN390" s="832" t="s">
        <v>52</v>
      </c>
      <c r="AO390" s="740"/>
      <c r="AP390" s="832"/>
      <c r="AQ390" s="740"/>
      <c r="AR390" s="832"/>
      <c r="AS390" s="740"/>
    </row>
    <row r="391" spans="1:51" s="741" customFormat="1" ht="22.5" customHeight="1" thickBot="1">
      <c r="A391" s="258"/>
      <c r="B391" s="833"/>
      <c r="C391" s="834"/>
      <c r="D391" s="560"/>
      <c r="E391" s="560"/>
      <c r="F391" s="560"/>
      <c r="G391" s="560"/>
      <c r="H391" s="560"/>
      <c r="I391" s="560" t="s">
        <v>3024</v>
      </c>
      <c r="J391" s="841" t="s">
        <v>3025</v>
      </c>
      <c r="K391" s="841" t="s">
        <v>3026</v>
      </c>
      <c r="L391" s="560" t="s">
        <v>3027</v>
      </c>
      <c r="M391" s="560" t="s">
        <v>3028</v>
      </c>
      <c r="N391" s="560" t="s">
        <v>3029</v>
      </c>
      <c r="O391" s="560"/>
      <c r="P391" s="870"/>
      <c r="Q391" s="531"/>
      <c r="R391" s="255"/>
      <c r="S391" s="843" t="s">
        <v>67</v>
      </c>
      <c r="T391" s="526" t="s">
        <v>196</v>
      </c>
      <c r="U391" s="527" t="e">
        <f>U390-#REF!</f>
        <v>#REF!</v>
      </c>
      <c r="V391" s="532" t="s">
        <v>15</v>
      </c>
      <c r="W391" s="529" t="e">
        <f>(#REF!+BM391)/1100000</f>
        <v>#REF!</v>
      </c>
      <c r="X391" s="89"/>
      <c r="Y391" s="73"/>
      <c r="Z391" s="837"/>
      <c r="AA391" s="837"/>
      <c r="AB391" s="735" t="s">
        <v>196</v>
      </c>
      <c r="AC391" s="744" t="e">
        <f>AC390-#REF!</f>
        <v>#REF!</v>
      </c>
      <c r="AD391" s="749" t="s">
        <v>100</v>
      </c>
      <c r="AE391" s="738"/>
      <c r="AF391" s="763"/>
      <c r="AG391" s="747"/>
      <c r="AH391" s="763"/>
      <c r="AI391" s="747"/>
      <c r="AJ391" s="763"/>
      <c r="AK391" s="747"/>
      <c r="AL391" s="763"/>
      <c r="AM391" s="747"/>
      <c r="AN391" s="763"/>
      <c r="AO391" s="747"/>
      <c r="AP391" s="763"/>
      <c r="AQ391" s="747"/>
      <c r="AR391" s="763"/>
      <c r="AS391" s="747"/>
      <c r="AT391" s="745"/>
      <c r="AU391" s="745"/>
      <c r="AV391" s="745"/>
      <c r="AW391" s="745"/>
      <c r="AX391" s="745"/>
      <c r="AY391" s="745"/>
    </row>
    <row r="392" spans="1:51" s="741" customFormat="1" ht="22.5" customHeight="1" thickBot="1">
      <c r="A392" s="257" t="s">
        <v>3030</v>
      </c>
      <c r="B392" s="824"/>
      <c r="C392" s="825">
        <f>B392+D392+E392+F392+G392+H392+I392+J392+K392+L392+M392+N392+O392</f>
        <v>2.1999999999999999E-2</v>
      </c>
      <c r="D392" s="826"/>
      <c r="E392" s="826"/>
      <c r="F392" s="826"/>
      <c r="G392" s="826"/>
      <c r="H392" s="826"/>
      <c r="I392" s="826"/>
      <c r="J392" s="826"/>
      <c r="K392" s="826"/>
      <c r="L392" s="826">
        <v>4.0000000000000001E-3</v>
      </c>
      <c r="M392" s="826">
        <v>4.0000000000000001E-3</v>
      </c>
      <c r="N392" s="826">
        <v>1.4E-2</v>
      </c>
      <c r="O392" s="826"/>
      <c r="P392" s="838" t="s">
        <v>3031</v>
      </c>
      <c r="Q392" s="537" t="s">
        <v>3032</v>
      </c>
      <c r="R392" s="254" t="s">
        <v>3033</v>
      </c>
      <c r="S392" s="828" t="s">
        <v>3034</v>
      </c>
      <c r="T392" s="521" t="s">
        <v>89</v>
      </c>
      <c r="U392" s="522">
        <f>BK392/1100000</f>
        <v>0</v>
      </c>
      <c r="V392" s="523" t="s">
        <v>7</v>
      </c>
      <c r="W392" s="524" t="e">
        <f>U392*0.8-(#REF!+W393)</f>
        <v>#REF!</v>
      </c>
      <c r="X392" s="299" t="s">
        <v>90</v>
      </c>
      <c r="Y392" s="547" t="s">
        <v>34</v>
      </c>
      <c r="Z392" s="925" t="s">
        <v>3035</v>
      </c>
      <c r="AA392" s="925"/>
      <c r="AB392" s="735" t="s">
        <v>89</v>
      </c>
      <c r="AC392" s="794">
        <v>559284000</v>
      </c>
      <c r="AD392" s="749" t="s">
        <v>98</v>
      </c>
      <c r="AE392" s="738">
        <f>SUM(AF392:AS392)</f>
        <v>0</v>
      </c>
      <c r="AF392" s="931" t="s">
        <v>1104</v>
      </c>
      <c r="AG392" s="740"/>
      <c r="AH392" s="832" t="s">
        <v>1105</v>
      </c>
      <c r="AI392" s="740"/>
      <c r="AJ392" s="832" t="s">
        <v>2543</v>
      </c>
      <c r="AK392" s="740"/>
      <c r="AL392" s="832" t="s">
        <v>55</v>
      </c>
      <c r="AM392" s="740"/>
      <c r="AN392" s="832" t="s">
        <v>52</v>
      </c>
      <c r="AO392" s="740"/>
      <c r="AP392" s="832"/>
      <c r="AQ392" s="740"/>
      <c r="AR392" s="832"/>
      <c r="AS392" s="740"/>
    </row>
    <row r="393" spans="1:51" s="741" customFormat="1" ht="22.5" customHeight="1" thickBot="1">
      <c r="A393" s="258"/>
      <c r="B393" s="833"/>
      <c r="C393" s="834"/>
      <c r="D393" s="560"/>
      <c r="E393" s="560"/>
      <c r="F393" s="560"/>
      <c r="G393" s="560"/>
      <c r="H393" s="560"/>
      <c r="I393" s="560"/>
      <c r="J393" s="841"/>
      <c r="K393" s="841"/>
      <c r="L393" s="560" t="s">
        <v>3005</v>
      </c>
      <c r="M393" s="560" t="s">
        <v>2911</v>
      </c>
      <c r="N393" s="560" t="s">
        <v>3036</v>
      </c>
      <c r="O393" s="560"/>
      <c r="P393" s="870"/>
      <c r="Q393" s="531"/>
      <c r="R393" s="255"/>
      <c r="S393" s="843" t="s">
        <v>67</v>
      </c>
      <c r="T393" s="526" t="s">
        <v>196</v>
      </c>
      <c r="U393" s="527" t="e">
        <f>U392-#REF!</f>
        <v>#REF!</v>
      </c>
      <c r="V393" s="532" t="s">
        <v>15</v>
      </c>
      <c r="W393" s="529" t="e">
        <f>(#REF!+BM393)/1100000</f>
        <v>#REF!</v>
      </c>
      <c r="X393" s="89"/>
      <c r="Y393" s="73"/>
      <c r="Z393" s="837"/>
      <c r="AA393" s="837"/>
      <c r="AB393" s="735" t="s">
        <v>196</v>
      </c>
      <c r="AC393" s="744" t="e">
        <f>AC392-#REF!</f>
        <v>#REF!</v>
      </c>
      <c r="AD393" s="749" t="s">
        <v>100</v>
      </c>
      <c r="AE393" s="738"/>
      <c r="AF393" s="763"/>
      <c r="AG393" s="747"/>
      <c r="AH393" s="763"/>
      <c r="AI393" s="747"/>
      <c r="AJ393" s="763"/>
      <c r="AK393" s="747"/>
      <c r="AL393" s="763"/>
      <c r="AM393" s="747"/>
      <c r="AN393" s="763"/>
      <c r="AO393" s="747"/>
      <c r="AP393" s="763"/>
      <c r="AQ393" s="747"/>
      <c r="AR393" s="763"/>
      <c r="AS393" s="747"/>
      <c r="AT393" s="745"/>
      <c r="AU393" s="745"/>
      <c r="AV393" s="745"/>
      <c r="AW393" s="745"/>
      <c r="AX393" s="745"/>
      <c r="AY393" s="745"/>
    </row>
    <row r="394" spans="1:51" s="741" customFormat="1" ht="22.5" customHeight="1" thickBot="1">
      <c r="A394" s="257" t="s">
        <v>3037</v>
      </c>
      <c r="B394" s="824"/>
      <c r="C394" s="825">
        <f>B394+D394+E394+F394+G394+H394+I394+J394+K394+L394+M394+N394+O394</f>
        <v>0.75</v>
      </c>
      <c r="D394" s="826"/>
      <c r="E394" s="826"/>
      <c r="F394" s="826"/>
      <c r="G394" s="826"/>
      <c r="H394" s="826"/>
      <c r="I394" s="826"/>
      <c r="J394" s="826"/>
      <c r="K394" s="826"/>
      <c r="L394" s="826">
        <v>0.25</v>
      </c>
      <c r="M394" s="826">
        <v>0.25</v>
      </c>
      <c r="N394" s="826">
        <v>0.25</v>
      </c>
      <c r="O394" s="826"/>
      <c r="P394" s="838" t="s">
        <v>3038</v>
      </c>
      <c r="Q394" s="537" t="s">
        <v>1302</v>
      </c>
      <c r="R394" s="254" t="s">
        <v>3039</v>
      </c>
      <c r="S394" s="828" t="s">
        <v>3040</v>
      </c>
      <c r="T394" s="521" t="s">
        <v>89</v>
      </c>
      <c r="U394" s="522">
        <f>BK394/1100000</f>
        <v>0</v>
      </c>
      <c r="V394" s="523" t="s">
        <v>7</v>
      </c>
      <c r="W394" s="932" t="e">
        <f>U394*0.8-(#REF!+W395)</f>
        <v>#REF!</v>
      </c>
      <c r="X394" s="299" t="s">
        <v>90</v>
      </c>
      <c r="Y394" s="547" t="s">
        <v>34</v>
      </c>
      <c r="Z394" s="925" t="s">
        <v>3041</v>
      </c>
      <c r="AA394" s="925"/>
      <c r="AB394" s="735" t="s">
        <v>89</v>
      </c>
      <c r="AC394" s="794">
        <v>20400000</v>
      </c>
      <c r="AD394" s="749" t="s">
        <v>98</v>
      </c>
      <c r="AE394" s="738">
        <f>SUM(AF394:AS394)</f>
        <v>14872234</v>
      </c>
      <c r="AF394" s="830" t="s">
        <v>1104</v>
      </c>
      <c r="AG394" s="740">
        <v>7436117</v>
      </c>
      <c r="AH394" s="832" t="s">
        <v>1105</v>
      </c>
      <c r="AI394" s="740">
        <v>7436117</v>
      </c>
      <c r="AJ394" s="832" t="s">
        <v>2543</v>
      </c>
      <c r="AK394" s="740"/>
      <c r="AL394" s="832" t="s">
        <v>55</v>
      </c>
      <c r="AM394" s="740"/>
      <c r="AN394" s="832" t="s">
        <v>52</v>
      </c>
      <c r="AO394" s="740"/>
      <c r="AP394" s="832"/>
      <c r="AQ394" s="740"/>
      <c r="AR394" s="832"/>
      <c r="AS394" s="740"/>
    </row>
    <row r="395" spans="1:51" s="741" customFormat="1" ht="22.5" customHeight="1" thickBot="1">
      <c r="A395" s="258"/>
      <c r="B395" s="833"/>
      <c r="C395" s="834"/>
      <c r="D395" s="560"/>
      <c r="E395" s="560"/>
      <c r="F395" s="560"/>
      <c r="G395" s="560"/>
      <c r="H395" s="560"/>
      <c r="I395" s="560"/>
      <c r="J395" s="841"/>
      <c r="K395" s="841"/>
      <c r="L395" s="560"/>
      <c r="M395" s="560"/>
      <c r="N395" s="560"/>
      <c r="O395" s="560"/>
      <c r="P395" s="870"/>
      <c r="Q395" s="531"/>
      <c r="R395" s="255"/>
      <c r="S395" s="843" t="s">
        <v>67</v>
      </c>
      <c r="T395" s="526" t="s">
        <v>196</v>
      </c>
      <c r="U395" s="527" t="e">
        <f>U394-#REF!</f>
        <v>#REF!</v>
      </c>
      <c r="V395" s="532" t="s">
        <v>15</v>
      </c>
      <c r="W395" s="529" t="e">
        <f>(#REF!+BM395)/1100000</f>
        <v>#REF!</v>
      </c>
      <c r="X395" s="89"/>
      <c r="Y395" s="73"/>
      <c r="Z395" s="837"/>
      <c r="AA395" s="837"/>
      <c r="AB395" s="735" t="s">
        <v>196</v>
      </c>
      <c r="AC395" s="744" t="e">
        <f>AC394-#REF!</f>
        <v>#REF!</v>
      </c>
      <c r="AD395" s="749" t="s">
        <v>100</v>
      </c>
      <c r="AE395" s="738"/>
      <c r="AF395" s="763"/>
      <c r="AG395" s="747"/>
      <c r="AH395" s="763"/>
      <c r="AI395" s="747"/>
      <c r="AJ395" s="763"/>
      <c r="AK395" s="747"/>
      <c r="AL395" s="763"/>
      <c r="AM395" s="747"/>
      <c r="AN395" s="763"/>
      <c r="AO395" s="747"/>
      <c r="AP395" s="763"/>
      <c r="AQ395" s="747"/>
      <c r="AR395" s="763"/>
      <c r="AS395" s="747"/>
      <c r="AT395" s="745"/>
      <c r="AU395" s="745"/>
      <c r="AV395" s="745"/>
      <c r="AW395" s="745"/>
      <c r="AX395" s="745"/>
      <c r="AY395" s="745"/>
    </row>
    <row r="396" spans="1:51" s="741" customFormat="1" ht="22.5" customHeight="1" thickBot="1">
      <c r="A396" s="257" t="s">
        <v>3042</v>
      </c>
      <c r="B396" s="824"/>
      <c r="C396" s="825">
        <f>B396+D396+E396+F396+G396+H396+I396+J396+K396+L396+M396+N396+O396</f>
        <v>0</v>
      </c>
      <c r="D396" s="826"/>
      <c r="E396" s="826"/>
      <c r="F396" s="826"/>
      <c r="G396" s="826"/>
      <c r="H396" s="826"/>
      <c r="I396" s="826"/>
      <c r="J396" s="826"/>
      <c r="K396" s="826"/>
      <c r="L396" s="826"/>
      <c r="M396" s="826"/>
      <c r="N396" s="826"/>
      <c r="O396" s="826"/>
      <c r="P396" s="838" t="s">
        <v>3043</v>
      </c>
      <c r="Q396" s="537" t="s">
        <v>3044</v>
      </c>
      <c r="R396" s="254" t="s">
        <v>3045</v>
      </c>
      <c r="S396" s="828" t="s">
        <v>3046</v>
      </c>
      <c r="T396" s="521" t="s">
        <v>89</v>
      </c>
      <c r="U396" s="522">
        <f>BK396/1100000</f>
        <v>0</v>
      </c>
      <c r="V396" s="523" t="s">
        <v>7</v>
      </c>
      <c r="W396" s="524" t="e">
        <f>U396*0.8-(#REF!+W397)</f>
        <v>#REF!</v>
      </c>
      <c r="X396" s="299" t="s">
        <v>90</v>
      </c>
      <c r="Y396" s="547" t="s">
        <v>34</v>
      </c>
      <c r="Z396" s="925" t="s">
        <v>3035</v>
      </c>
      <c r="AA396" s="925"/>
      <c r="AB396" s="735" t="s">
        <v>89</v>
      </c>
      <c r="AC396" s="794">
        <v>419340000</v>
      </c>
      <c r="AD396" s="749" t="s">
        <v>98</v>
      </c>
      <c r="AE396" s="738">
        <f>SUM(AF396:AS396)</f>
        <v>0</v>
      </c>
      <c r="AF396" s="830" t="s">
        <v>1104</v>
      </c>
      <c r="AG396" s="740"/>
      <c r="AH396" s="832" t="s">
        <v>1105</v>
      </c>
      <c r="AI396" s="740"/>
      <c r="AJ396" s="832" t="s">
        <v>2543</v>
      </c>
      <c r="AK396" s="740"/>
      <c r="AL396" s="832" t="s">
        <v>55</v>
      </c>
      <c r="AM396" s="740"/>
      <c r="AN396" s="832" t="s">
        <v>52</v>
      </c>
      <c r="AO396" s="740"/>
      <c r="AP396" s="832"/>
      <c r="AQ396" s="740"/>
      <c r="AR396" s="832"/>
      <c r="AS396" s="740"/>
    </row>
    <row r="397" spans="1:51" s="741" customFormat="1" ht="22.5" customHeight="1" thickBot="1">
      <c r="A397" s="258"/>
      <c r="B397" s="833"/>
      <c r="C397" s="834"/>
      <c r="D397" s="560"/>
      <c r="E397" s="560"/>
      <c r="F397" s="560"/>
      <c r="G397" s="560"/>
      <c r="H397" s="560"/>
      <c r="I397" s="560"/>
      <c r="J397" s="841"/>
      <c r="K397" s="841"/>
      <c r="L397" s="560"/>
      <c r="M397" s="560"/>
      <c r="N397" s="560"/>
      <c r="O397" s="560"/>
      <c r="P397" s="870"/>
      <c r="Q397" s="531"/>
      <c r="R397" s="255"/>
      <c r="S397" s="843" t="s">
        <v>3047</v>
      </c>
      <c r="T397" s="526" t="s">
        <v>196</v>
      </c>
      <c r="U397" s="527" t="e">
        <f>U396-#REF!</f>
        <v>#REF!</v>
      </c>
      <c r="V397" s="532" t="s">
        <v>15</v>
      </c>
      <c r="W397" s="529" t="e">
        <f>(#REF!+BM397)/1100000</f>
        <v>#REF!</v>
      </c>
      <c r="X397" s="89"/>
      <c r="Y397" s="73"/>
      <c r="Z397" s="837"/>
      <c r="AA397" s="837"/>
      <c r="AB397" s="735" t="s">
        <v>196</v>
      </c>
      <c r="AC397" s="744" t="e">
        <f>AC396-#REF!</f>
        <v>#REF!</v>
      </c>
      <c r="AD397" s="749" t="s">
        <v>100</v>
      </c>
      <c r="AE397" s="738"/>
      <c r="AF397" s="763"/>
      <c r="AG397" s="747"/>
      <c r="AH397" s="763"/>
      <c r="AI397" s="747"/>
      <c r="AJ397" s="763"/>
      <c r="AK397" s="747"/>
      <c r="AL397" s="763"/>
      <c r="AM397" s="747"/>
      <c r="AN397" s="763"/>
      <c r="AO397" s="747"/>
      <c r="AP397" s="763"/>
      <c r="AQ397" s="747"/>
      <c r="AR397" s="763"/>
      <c r="AS397" s="747"/>
      <c r="AT397" s="745"/>
      <c r="AU397" s="745"/>
      <c r="AV397" s="745"/>
      <c r="AW397" s="745"/>
      <c r="AX397" s="745"/>
      <c r="AY397" s="745"/>
    </row>
    <row r="398" spans="1:51" s="953" customFormat="1" ht="22.5" customHeight="1" thickBot="1">
      <c r="A398" s="563" t="s">
        <v>3048</v>
      </c>
      <c r="B398" s="941"/>
      <c r="C398" s="825">
        <f>B398+D398+E398+F398+G398+H398+I398+J398+K398+L398+M398+N398+O398</f>
        <v>0.125</v>
      </c>
      <c r="D398" s="942"/>
      <c r="E398" s="942"/>
      <c r="F398" s="942"/>
      <c r="G398" s="942"/>
      <c r="H398" s="942"/>
      <c r="I398" s="942"/>
      <c r="J398" s="942"/>
      <c r="K398" s="942"/>
      <c r="L398" s="942"/>
      <c r="M398" s="942"/>
      <c r="N398" s="942">
        <v>0.125</v>
      </c>
      <c r="O398" s="942"/>
      <c r="P398" s="962" t="s">
        <v>3049</v>
      </c>
      <c r="Q398" s="683" t="s">
        <v>3050</v>
      </c>
      <c r="R398" s="680" t="s">
        <v>3051</v>
      </c>
      <c r="S398" s="944" t="s">
        <v>3052</v>
      </c>
      <c r="T398" s="632" t="s">
        <v>89</v>
      </c>
      <c r="U398" s="633">
        <f>BK398/1100000</f>
        <v>0</v>
      </c>
      <c r="V398" s="634" t="s">
        <v>7</v>
      </c>
      <c r="W398" s="635" t="e">
        <f>U398*0.8-(#REF!+W399)</f>
        <v>#REF!</v>
      </c>
      <c r="X398" s="945" t="s">
        <v>90</v>
      </c>
      <c r="Y398" s="946" t="s">
        <v>34</v>
      </c>
      <c r="Z398" s="1004" t="s">
        <v>178</v>
      </c>
      <c r="AA398" s="1004"/>
      <c r="AB398" s="948" t="s">
        <v>89</v>
      </c>
      <c r="AC398" s="949">
        <v>88000000</v>
      </c>
      <c r="AD398" s="950" t="s">
        <v>98</v>
      </c>
      <c r="AE398" s="951">
        <f>SUM(AF398:AS398)</f>
        <v>0</v>
      </c>
      <c r="AF398" s="952" t="s">
        <v>1104</v>
      </c>
      <c r="AG398" s="951"/>
      <c r="AH398" s="950" t="s">
        <v>1105</v>
      </c>
      <c r="AI398" s="951"/>
      <c r="AJ398" s="950" t="s">
        <v>2543</v>
      </c>
      <c r="AK398" s="951"/>
      <c r="AL398" s="950" t="s">
        <v>55</v>
      </c>
      <c r="AM398" s="951"/>
      <c r="AN398" s="950" t="s">
        <v>52</v>
      </c>
      <c r="AO398" s="951"/>
      <c r="AP398" s="950"/>
      <c r="AQ398" s="951"/>
      <c r="AR398" s="950"/>
      <c r="AS398" s="951"/>
    </row>
    <row r="399" spans="1:51" s="953" customFormat="1" ht="22.5" customHeight="1" thickBot="1">
      <c r="A399" s="564"/>
      <c r="B399" s="954"/>
      <c r="C399" s="834"/>
      <c r="D399" s="687"/>
      <c r="E399" s="687"/>
      <c r="F399" s="687"/>
      <c r="G399" s="687"/>
      <c r="H399" s="687"/>
      <c r="I399" s="687"/>
      <c r="J399" s="955"/>
      <c r="K399" s="955"/>
      <c r="L399" s="687"/>
      <c r="M399" s="687"/>
      <c r="N399" s="687" t="s">
        <v>3053</v>
      </c>
      <c r="O399" s="687"/>
      <c r="P399" s="956"/>
      <c r="Q399" s="640"/>
      <c r="R399" s="684"/>
      <c r="S399" s="957" t="s">
        <v>67</v>
      </c>
      <c r="T399" s="637" t="s">
        <v>196</v>
      </c>
      <c r="U399" s="638" t="e">
        <f>U398-#REF!</f>
        <v>#REF!</v>
      </c>
      <c r="V399" s="641" t="s">
        <v>15</v>
      </c>
      <c r="W399" s="639" t="e">
        <f>(#REF!+BM399)/1100000</f>
        <v>#REF!</v>
      </c>
      <c r="X399" s="945"/>
      <c r="Y399" s="946"/>
      <c r="Z399" s="958"/>
      <c r="AA399" s="958"/>
      <c r="AB399" s="948" t="s">
        <v>196</v>
      </c>
      <c r="AC399" s="959" t="e">
        <f>AC398-#REF!</f>
        <v>#REF!</v>
      </c>
      <c r="AD399" s="950" t="s">
        <v>100</v>
      </c>
      <c r="AE399" s="951"/>
      <c r="AF399" s="960"/>
      <c r="AG399" s="961"/>
      <c r="AH399" s="960"/>
      <c r="AI399" s="961"/>
      <c r="AJ399" s="960"/>
      <c r="AK399" s="961"/>
      <c r="AL399" s="960"/>
      <c r="AM399" s="961"/>
      <c r="AN399" s="960"/>
      <c r="AO399" s="961"/>
      <c r="AP399" s="960"/>
      <c r="AQ399" s="961"/>
      <c r="AR399" s="960"/>
      <c r="AS399" s="961"/>
    </row>
    <row r="400" spans="1:51" s="953" customFormat="1" ht="22.5" customHeight="1" thickBot="1">
      <c r="A400" s="563" t="s">
        <v>3054</v>
      </c>
      <c r="B400" s="941"/>
      <c r="C400" s="825">
        <f>B400+D400+E400+F400+G400+H400+I400+J400+K400+L400+M400+N400+O400</f>
        <v>0.125</v>
      </c>
      <c r="D400" s="942"/>
      <c r="E400" s="942"/>
      <c r="F400" s="942"/>
      <c r="G400" s="942"/>
      <c r="H400" s="942"/>
      <c r="I400" s="942"/>
      <c r="J400" s="942"/>
      <c r="K400" s="942"/>
      <c r="L400" s="942"/>
      <c r="M400" s="942"/>
      <c r="N400" s="942">
        <v>0.125</v>
      </c>
      <c r="O400" s="942"/>
      <c r="P400" s="962" t="s">
        <v>3049</v>
      </c>
      <c r="Q400" s="683" t="s">
        <v>3050</v>
      </c>
      <c r="R400" s="680" t="s">
        <v>3055</v>
      </c>
      <c r="S400" s="944" t="s">
        <v>3052</v>
      </c>
      <c r="T400" s="632" t="s">
        <v>89</v>
      </c>
      <c r="U400" s="633">
        <f>BK400/1100000</f>
        <v>0</v>
      </c>
      <c r="V400" s="634" t="s">
        <v>7</v>
      </c>
      <c r="W400" s="635" t="e">
        <f>U400*0.8-(#REF!+W401)</f>
        <v>#REF!</v>
      </c>
      <c r="X400" s="945" t="s">
        <v>90</v>
      </c>
      <c r="Y400" s="946" t="s">
        <v>34</v>
      </c>
      <c r="Z400" s="1004" t="s">
        <v>178</v>
      </c>
      <c r="AA400" s="1004"/>
      <c r="AB400" s="948" t="s">
        <v>89</v>
      </c>
      <c r="AC400" s="949">
        <v>88000000</v>
      </c>
      <c r="AD400" s="950" t="s">
        <v>98</v>
      </c>
      <c r="AE400" s="951">
        <f>SUM(AF400:AS400)</f>
        <v>0</v>
      </c>
      <c r="AF400" s="952" t="s">
        <v>1104</v>
      </c>
      <c r="AG400" s="951"/>
      <c r="AH400" s="950" t="s">
        <v>1105</v>
      </c>
      <c r="AI400" s="951"/>
      <c r="AJ400" s="950" t="s">
        <v>2543</v>
      </c>
      <c r="AK400" s="951"/>
      <c r="AL400" s="950" t="s">
        <v>55</v>
      </c>
      <c r="AM400" s="951"/>
      <c r="AN400" s="950" t="s">
        <v>52</v>
      </c>
      <c r="AO400" s="951"/>
      <c r="AP400" s="950"/>
      <c r="AQ400" s="951"/>
      <c r="AR400" s="950"/>
      <c r="AS400" s="951"/>
    </row>
    <row r="401" spans="1:61" s="953" customFormat="1" ht="22.5" customHeight="1">
      <c r="A401" s="565"/>
      <c r="B401" s="1005"/>
      <c r="C401" s="845"/>
      <c r="D401" s="1006"/>
      <c r="E401" s="1006"/>
      <c r="F401" s="1006"/>
      <c r="G401" s="1006"/>
      <c r="H401" s="1006"/>
      <c r="I401" s="1006"/>
      <c r="J401" s="1007"/>
      <c r="K401" s="1007"/>
      <c r="L401" s="1006"/>
      <c r="M401" s="1006"/>
      <c r="N401" s="1006" t="s">
        <v>3053</v>
      </c>
      <c r="O401" s="1006"/>
      <c r="P401" s="956"/>
      <c r="Q401" s="1008"/>
      <c r="R401" s="684"/>
      <c r="S401" s="957" t="s">
        <v>67</v>
      </c>
      <c r="T401" s="637" t="s">
        <v>196</v>
      </c>
      <c r="U401" s="638" t="e">
        <f>U400-#REF!</f>
        <v>#REF!</v>
      </c>
      <c r="V401" s="641" t="s">
        <v>15</v>
      </c>
      <c r="W401" s="639" t="e">
        <f>(#REF!+BM401)/1100000</f>
        <v>#REF!</v>
      </c>
      <c r="X401" s="945"/>
      <c r="Y401" s="946"/>
      <c r="Z401" s="958"/>
      <c r="AA401" s="958"/>
      <c r="AB401" s="948" t="s">
        <v>196</v>
      </c>
      <c r="AC401" s="959" t="e">
        <f>AC400-#REF!</f>
        <v>#REF!</v>
      </c>
      <c r="AD401" s="950" t="s">
        <v>100</v>
      </c>
      <c r="AE401" s="951"/>
      <c r="AF401" s="960"/>
      <c r="AG401" s="961"/>
      <c r="AH401" s="960"/>
      <c r="AI401" s="961"/>
      <c r="AJ401" s="960"/>
      <c r="AK401" s="961"/>
      <c r="AL401" s="960"/>
      <c r="AM401" s="961"/>
      <c r="AN401" s="960"/>
      <c r="AO401" s="961"/>
      <c r="AP401" s="960"/>
      <c r="AQ401" s="961"/>
      <c r="AR401" s="960"/>
      <c r="AS401" s="961"/>
    </row>
    <row r="402" spans="1:61" ht="30.75" customHeight="1" thickBot="1"/>
    <row r="403" spans="1:61" s="78" customFormat="1" ht="22.5" customHeight="1" thickBot="1">
      <c r="A403" s="507"/>
      <c r="B403" s="554"/>
      <c r="C403" s="569">
        <v>0.9</v>
      </c>
      <c r="D403" s="414"/>
      <c r="E403" s="414"/>
      <c r="F403" s="414"/>
      <c r="G403" s="414">
        <v>0.02</v>
      </c>
      <c r="H403" s="414">
        <v>0.05</v>
      </c>
      <c r="I403" s="414">
        <v>0.13</v>
      </c>
      <c r="J403" s="414">
        <v>0.3</v>
      </c>
      <c r="K403" s="525">
        <v>0.4</v>
      </c>
      <c r="L403" s="525"/>
      <c r="M403" s="525"/>
      <c r="N403" s="525"/>
      <c r="O403" s="525"/>
      <c r="P403" s="490"/>
      <c r="Q403" s="494"/>
      <c r="R403" s="494" t="s">
        <v>1325</v>
      </c>
      <c r="S403" s="594"/>
      <c r="T403" s="521" t="s">
        <v>89</v>
      </c>
      <c r="U403" s="522">
        <v>0</v>
      </c>
      <c r="V403" s="523" t="s">
        <v>7</v>
      </c>
      <c r="W403" s="524" t="e">
        <v>#REF!</v>
      </c>
      <c r="X403" s="90" t="s">
        <v>90</v>
      </c>
      <c r="Y403" s="79" t="s">
        <v>34</v>
      </c>
      <c r="Z403" s="596"/>
      <c r="AA403" s="596"/>
      <c r="AB403" s="80" t="s">
        <v>89</v>
      </c>
      <c r="AC403" s="81">
        <v>80000000</v>
      </c>
      <c r="AD403" s="82" t="s">
        <v>35</v>
      </c>
      <c r="AE403" s="83">
        <v>0</v>
      </c>
      <c r="AF403" s="91"/>
      <c r="AG403" s="92"/>
      <c r="AH403" s="92"/>
      <c r="AI403" s="92"/>
      <c r="AJ403" s="92"/>
      <c r="AK403" s="92"/>
      <c r="AL403" s="92"/>
      <c r="AM403" s="92"/>
      <c r="AN403" s="92"/>
      <c r="AO403" s="92"/>
      <c r="AP403" s="92"/>
      <c r="AQ403" s="92"/>
      <c r="AR403" s="92"/>
      <c r="AS403" s="92"/>
      <c r="AU403" s="92"/>
      <c r="AV403" s="92"/>
      <c r="AW403" s="92"/>
      <c r="AX403" s="92"/>
      <c r="AY403" s="92"/>
      <c r="AZ403" s="92"/>
      <c r="BA403" s="92"/>
      <c r="BB403" s="92"/>
    </row>
    <row r="404" spans="1:61" s="78" customFormat="1" ht="22.5" customHeight="1" thickBot="1">
      <c r="A404" s="508" t="s">
        <v>1390</v>
      </c>
      <c r="B404" s="558"/>
      <c r="C404" s="570"/>
      <c r="D404" s="560"/>
      <c r="E404" s="560"/>
      <c r="F404" s="560"/>
      <c r="G404" s="560"/>
      <c r="H404" s="560"/>
      <c r="I404" s="560"/>
      <c r="J404" s="560"/>
      <c r="K404" s="560" t="s">
        <v>1326</v>
      </c>
      <c r="L404" s="560"/>
      <c r="M404" s="560"/>
      <c r="N404" s="560"/>
      <c r="O404" s="560"/>
      <c r="P404" s="502"/>
      <c r="Q404" s="499"/>
      <c r="R404" s="600"/>
      <c r="S404" s="593" t="s">
        <v>72</v>
      </c>
      <c r="T404" s="526" t="s">
        <v>196</v>
      </c>
      <c r="U404" s="527" t="e">
        <v>#REF!</v>
      </c>
      <c r="V404" s="532" t="s">
        <v>15</v>
      </c>
      <c r="W404" s="529" t="e">
        <v>#REF!</v>
      </c>
      <c r="X404" s="69"/>
      <c r="Y404" s="75"/>
      <c r="Z404" s="597"/>
      <c r="AA404" s="597"/>
      <c r="AB404" s="80" t="s">
        <v>196</v>
      </c>
      <c r="AC404" s="81" t="e">
        <v>#REF!</v>
      </c>
      <c r="AD404" s="82" t="s">
        <v>100</v>
      </c>
      <c r="AE404" s="83"/>
      <c r="AF404" s="77"/>
      <c r="AG404" s="77"/>
      <c r="AH404" s="77"/>
      <c r="AI404" s="77"/>
      <c r="AJ404" s="77"/>
      <c r="AK404" s="77"/>
      <c r="AL404" s="77"/>
      <c r="AM404" s="77"/>
      <c r="AN404" s="77"/>
      <c r="AO404" s="77"/>
      <c r="AP404" s="77"/>
      <c r="AQ404" s="77"/>
      <c r="AR404" s="77"/>
      <c r="AS404" s="77"/>
      <c r="AT404" s="68"/>
      <c r="AU404" s="77"/>
      <c r="AV404" s="77"/>
      <c r="AW404" s="77"/>
      <c r="AX404" s="77"/>
      <c r="AY404" s="77"/>
      <c r="AZ404" s="77"/>
      <c r="BA404" s="77"/>
      <c r="BB404" s="77"/>
      <c r="BD404" s="68"/>
      <c r="BE404" s="68"/>
      <c r="BF404" s="68"/>
      <c r="BG404" s="68"/>
      <c r="BH404" s="68"/>
      <c r="BI404" s="68"/>
    </row>
    <row r="405" spans="1:61" s="78" customFormat="1" ht="22.5" customHeight="1" thickBot="1">
      <c r="A405" s="507"/>
      <c r="B405" s="554"/>
      <c r="C405" s="569">
        <v>0.85</v>
      </c>
      <c r="D405" s="414"/>
      <c r="E405" s="414"/>
      <c r="F405" s="414"/>
      <c r="G405" s="414">
        <v>0.05</v>
      </c>
      <c r="H405" s="414">
        <v>0.05</v>
      </c>
      <c r="I405" s="414">
        <v>0.05</v>
      </c>
      <c r="J405" s="414"/>
      <c r="K405" s="525">
        <v>0.05</v>
      </c>
      <c r="L405" s="525">
        <v>0.5</v>
      </c>
      <c r="M405" s="525">
        <v>0.05</v>
      </c>
      <c r="N405" s="525">
        <v>0.1</v>
      </c>
      <c r="O405" s="525"/>
      <c r="P405" s="566" t="s">
        <v>1329</v>
      </c>
      <c r="Q405" s="494"/>
      <c r="R405" s="494" t="s">
        <v>1328</v>
      </c>
      <c r="S405" s="594"/>
      <c r="T405" s="521" t="s">
        <v>814</v>
      </c>
      <c r="U405" s="522">
        <v>0</v>
      </c>
      <c r="V405" s="523" t="s">
        <v>7</v>
      </c>
      <c r="W405" s="524" t="e">
        <v>#REF!</v>
      </c>
      <c r="X405" s="90" t="s">
        <v>90</v>
      </c>
      <c r="Y405" s="79" t="s">
        <v>813</v>
      </c>
      <c r="Z405" s="596"/>
      <c r="AA405" s="596"/>
      <c r="AB405" s="80" t="s">
        <v>814</v>
      </c>
      <c r="AC405" s="81">
        <v>30000000</v>
      </c>
      <c r="AD405" s="82" t="s">
        <v>35</v>
      </c>
      <c r="AE405" s="83">
        <v>0</v>
      </c>
      <c r="AF405" s="91"/>
      <c r="AG405" s="92"/>
      <c r="AH405" s="92"/>
      <c r="AI405" s="92"/>
      <c r="AJ405" s="92"/>
      <c r="AK405" s="92"/>
      <c r="AL405" s="92"/>
      <c r="AM405" s="92"/>
      <c r="AN405" s="92"/>
      <c r="AO405" s="92"/>
      <c r="AP405" s="92"/>
      <c r="AQ405" s="92"/>
      <c r="AR405" s="92"/>
      <c r="AS405" s="92"/>
      <c r="AU405" s="92"/>
      <c r="AV405" s="92"/>
      <c r="AW405" s="92"/>
      <c r="AX405" s="92"/>
      <c r="AY405" s="92"/>
      <c r="AZ405" s="92"/>
      <c r="BA405" s="92"/>
      <c r="BB405" s="92"/>
    </row>
    <row r="406" spans="1:61" s="78" customFormat="1" ht="22.5" customHeight="1" thickBot="1">
      <c r="A406" s="508" t="s">
        <v>1390</v>
      </c>
      <c r="B406" s="558"/>
      <c r="C406" s="570"/>
      <c r="D406" s="560"/>
      <c r="E406" s="560"/>
      <c r="F406" s="560"/>
      <c r="G406" s="560"/>
      <c r="H406" s="560"/>
      <c r="I406" s="560"/>
      <c r="J406" s="560"/>
      <c r="K406" s="560"/>
      <c r="L406" s="560" t="s">
        <v>1326</v>
      </c>
      <c r="M406" s="560" t="s">
        <v>1330</v>
      </c>
      <c r="N406" s="560"/>
      <c r="O406" s="560"/>
      <c r="P406" s="602"/>
      <c r="Q406" s="499"/>
      <c r="R406" s="600"/>
      <c r="S406" s="593" t="s">
        <v>72</v>
      </c>
      <c r="T406" s="526" t="s">
        <v>196</v>
      </c>
      <c r="U406" s="527" t="e">
        <v>#REF!</v>
      </c>
      <c r="V406" s="532" t="s">
        <v>15</v>
      </c>
      <c r="W406" s="529" t="e">
        <v>#REF!</v>
      </c>
      <c r="X406" s="69"/>
      <c r="Y406" s="75"/>
      <c r="Z406" s="597"/>
      <c r="AA406" s="597"/>
      <c r="AB406" s="80" t="s">
        <v>196</v>
      </c>
      <c r="AC406" s="81" t="e">
        <v>#REF!</v>
      </c>
      <c r="AD406" s="82" t="s">
        <v>100</v>
      </c>
      <c r="AE406" s="83"/>
      <c r="AF406" s="77"/>
      <c r="AG406" s="77"/>
      <c r="AH406" s="77"/>
      <c r="AI406" s="77"/>
      <c r="AJ406" s="77"/>
      <c r="AK406" s="77"/>
      <c r="AL406" s="77"/>
      <c r="AM406" s="77"/>
      <c r="AN406" s="77"/>
      <c r="AO406" s="77"/>
      <c r="AP406" s="77"/>
      <c r="AQ406" s="77"/>
      <c r="AR406" s="77"/>
      <c r="AS406" s="77"/>
      <c r="AT406" s="68"/>
      <c r="AU406" s="77"/>
      <c r="AV406" s="77"/>
      <c r="AW406" s="77"/>
      <c r="AX406" s="77"/>
      <c r="AY406" s="77"/>
      <c r="AZ406" s="77"/>
      <c r="BA406" s="77"/>
      <c r="BB406" s="77"/>
      <c r="BD406" s="68"/>
      <c r="BE406" s="68"/>
      <c r="BF406" s="68"/>
      <c r="BG406" s="68"/>
      <c r="BH406" s="68"/>
      <c r="BI406" s="68"/>
    </row>
    <row r="407" spans="1:61" s="78" customFormat="1" ht="22.7" customHeight="1" thickBot="1">
      <c r="A407" s="507" t="s">
        <v>1408</v>
      </c>
      <c r="B407" s="681">
        <v>0.2</v>
      </c>
      <c r="C407" s="555">
        <v>1</v>
      </c>
      <c r="D407" s="636">
        <v>0</v>
      </c>
      <c r="E407" s="636">
        <v>0.8</v>
      </c>
      <c r="F407" s="636">
        <v>0</v>
      </c>
      <c r="G407" s="636">
        <v>0</v>
      </c>
      <c r="H407" s="636">
        <v>0</v>
      </c>
      <c r="I407" s="636">
        <v>0</v>
      </c>
      <c r="J407" s="636">
        <v>0</v>
      </c>
      <c r="K407" s="636">
        <v>0</v>
      </c>
      <c r="L407" s="636">
        <v>0</v>
      </c>
      <c r="M407" s="636">
        <v>0</v>
      </c>
      <c r="N407" s="636">
        <v>0</v>
      </c>
      <c r="O407" s="636">
        <v>0</v>
      </c>
      <c r="P407" s="689" t="s">
        <v>1411</v>
      </c>
      <c r="Q407" s="683" t="s">
        <v>1412</v>
      </c>
      <c r="R407" s="680" t="s">
        <v>1409</v>
      </c>
      <c r="S407" s="631" t="s">
        <v>1410</v>
      </c>
      <c r="T407" s="632" t="s">
        <v>814</v>
      </c>
      <c r="U407" s="633">
        <v>0</v>
      </c>
      <c r="V407" s="634" t="s">
        <v>7</v>
      </c>
      <c r="W407" s="635" t="e">
        <v>#REF!</v>
      </c>
      <c r="X407" s="299" t="s">
        <v>90</v>
      </c>
      <c r="Y407" s="79" t="s">
        <v>813</v>
      </c>
      <c r="Z407" s="691" t="s">
        <v>1413</v>
      </c>
      <c r="AB407" s="80" t="s">
        <v>814</v>
      </c>
      <c r="AC407" s="81">
        <v>8800000</v>
      </c>
      <c r="AD407" s="82" t="s">
        <v>35</v>
      </c>
      <c r="AE407" s="83"/>
      <c r="AF407" s="91" t="s">
        <v>1078</v>
      </c>
      <c r="AG407" s="92"/>
      <c r="AH407" s="92" t="s">
        <v>1079</v>
      </c>
      <c r="AI407" s="92"/>
      <c r="AJ407" s="92" t="s">
        <v>9</v>
      </c>
      <c r="AK407" s="92"/>
      <c r="AL407" s="92" t="s">
        <v>9</v>
      </c>
      <c r="AM407" s="92"/>
      <c r="AN407" s="92" t="s">
        <v>9</v>
      </c>
      <c r="AO407" s="92"/>
      <c r="AP407" s="92"/>
      <c r="AQ407" s="92"/>
      <c r="AR407" s="92"/>
      <c r="AS407" s="92"/>
      <c r="AU407" s="92"/>
      <c r="AV407" s="92"/>
      <c r="AW407" s="92"/>
      <c r="AX407" s="92"/>
      <c r="AY407" s="92"/>
      <c r="AZ407" s="92"/>
      <c r="BA407" s="92"/>
    </row>
    <row r="408" spans="1:61" s="78" customFormat="1" ht="22.7" customHeight="1">
      <c r="A408" s="508" t="s">
        <v>1669</v>
      </c>
      <c r="B408" s="685"/>
      <c r="C408" s="559"/>
      <c r="D408" s="687" t="s">
        <v>1414</v>
      </c>
      <c r="E408" s="687" t="s">
        <v>1415</v>
      </c>
      <c r="F408" s="687" t="s">
        <v>300</v>
      </c>
      <c r="G408" s="687" t="s">
        <v>300</v>
      </c>
      <c r="H408" s="687" t="s">
        <v>300</v>
      </c>
      <c r="I408" s="687" t="s">
        <v>300</v>
      </c>
      <c r="J408" s="687" t="s">
        <v>300</v>
      </c>
      <c r="K408" s="687" t="s">
        <v>300</v>
      </c>
      <c r="L408" s="687" t="s">
        <v>300</v>
      </c>
      <c r="M408" s="687" t="s">
        <v>300</v>
      </c>
      <c r="N408" s="687" t="s">
        <v>300</v>
      </c>
      <c r="O408" s="687" t="s">
        <v>300</v>
      </c>
      <c r="P408" s="690"/>
      <c r="Q408" s="640"/>
      <c r="R408" s="684"/>
      <c r="S408" s="640" t="s">
        <v>97</v>
      </c>
      <c r="T408" s="637" t="s">
        <v>196</v>
      </c>
      <c r="U408" s="638" t="e">
        <v>#REF!</v>
      </c>
      <c r="V408" s="641" t="s">
        <v>15</v>
      </c>
      <c r="W408" s="639" t="e">
        <v>#REF!</v>
      </c>
      <c r="X408" s="85"/>
      <c r="Y408" s="69"/>
      <c r="Z408" s="692"/>
      <c r="AB408" s="80" t="s">
        <v>196</v>
      </c>
      <c r="AC408" s="81" t="e">
        <v>#REF!</v>
      </c>
      <c r="AD408" s="82" t="s">
        <v>100</v>
      </c>
      <c r="AE408" s="83"/>
      <c r="AF408" s="77"/>
      <c r="AG408" s="77"/>
      <c r="AH408" s="77"/>
      <c r="AI408" s="77"/>
      <c r="AJ408" s="77"/>
      <c r="AK408" s="77"/>
      <c r="AL408" s="77"/>
      <c r="AM408" s="77"/>
      <c r="AN408" s="77"/>
      <c r="AO408" s="77"/>
      <c r="AP408" s="77"/>
      <c r="AQ408" s="77"/>
      <c r="AR408" s="77"/>
      <c r="AS408" s="77"/>
      <c r="AT408" s="68"/>
      <c r="AU408" s="77"/>
      <c r="AV408" s="77"/>
      <c r="AW408" s="77"/>
      <c r="AX408" s="77"/>
      <c r="AY408" s="77"/>
      <c r="AZ408" s="77"/>
      <c r="BA408" s="77"/>
      <c r="BB408" s="68"/>
      <c r="BD408" s="68"/>
      <c r="BE408" s="68"/>
      <c r="BF408" s="68"/>
      <c r="BG408" s="68"/>
      <c r="BH408" s="68"/>
    </row>
  </sheetData>
  <phoneticPr fontId="2" type="noConversion"/>
  <printOptions horizontalCentered="1"/>
  <pageMargins left="0.15748031496062992" right="0.15748031496062992" top="0.47244094488188981" bottom="0.39370078740157483" header="0.31496062992125984" footer="0.31496062992125984"/>
  <pageSetup paperSize="9" scale="101" orientation="landscape" r:id="rId1"/>
  <rowBreaks count="4" manualBreakCount="4">
    <brk id="11" max="16" man="1"/>
    <brk id="21" max="16" man="1"/>
    <brk id="31" max="16" man="1"/>
    <brk id="39"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196"/>
  <sheetViews>
    <sheetView view="pageBreakPreview" zoomScale="85" zoomScaleNormal="96" zoomScaleSheetLayoutView="85" workbookViewId="0">
      <pane xSplit="1" ySplit="1" topLeftCell="B2" activePane="bottomRight" state="frozen"/>
      <selection activeCell="AI76" sqref="AI76:AI87"/>
      <selection pane="topRight" activeCell="AI76" sqref="AI76:AI87"/>
      <selection pane="bottomLeft" activeCell="AI76" sqref="AI76:AI87"/>
      <selection pane="bottomRight" sqref="A1:XFD1"/>
    </sheetView>
  </sheetViews>
  <sheetFormatPr defaultColWidth="9" defaultRowHeight="30.75" customHeight="1"/>
  <cols>
    <col min="1" max="1" width="12.625" style="2" customWidth="1"/>
    <col min="2" max="3" width="5.25" style="3" customWidth="1"/>
    <col min="4" max="15" width="8.875" style="2" customWidth="1"/>
    <col min="16" max="16" width="18.875" style="2" customWidth="1"/>
    <col min="17" max="19" width="11" style="2" customWidth="1"/>
    <col min="20" max="20" width="19.375" style="1" customWidth="1"/>
    <col min="21" max="21" width="9.875" style="2" customWidth="1"/>
    <col min="22" max="22" width="5.125" style="2" customWidth="1"/>
    <col min="23" max="23" width="8.75" style="2" customWidth="1"/>
    <col min="24" max="24" width="5.125" style="2" customWidth="1"/>
    <col min="25" max="25" width="8.625" style="2" customWidth="1"/>
    <col min="26" max="27" width="9" style="2"/>
    <col min="28" max="28" width="4.5" style="2" customWidth="1"/>
    <col min="29" max="29" width="6.125" style="2" customWidth="1"/>
    <col min="30" max="30" width="16" style="2" customWidth="1"/>
    <col min="31" max="31" width="14.625" style="4" customWidth="1"/>
    <col min="32" max="55" width="16" style="5" customWidth="1"/>
    <col min="56" max="16384" width="9" style="1"/>
  </cols>
  <sheetData>
    <row r="1" spans="1:62" ht="28.5" customHeight="1" thickBot="1">
      <c r="A1" s="184" t="s">
        <v>0</v>
      </c>
      <c r="B1" s="6" t="s">
        <v>22</v>
      </c>
      <c r="C1" s="7" t="s">
        <v>23</v>
      </c>
      <c r="D1" s="115" t="s">
        <v>768</v>
      </c>
      <c r="E1" s="115" t="s">
        <v>769</v>
      </c>
      <c r="F1" s="115" t="s">
        <v>758</v>
      </c>
      <c r="G1" s="115" t="s">
        <v>759</v>
      </c>
      <c r="H1" s="115" t="s">
        <v>760</v>
      </c>
      <c r="I1" s="115" t="s">
        <v>761</v>
      </c>
      <c r="J1" s="115" t="s">
        <v>762</v>
      </c>
      <c r="K1" s="115" t="s">
        <v>763</v>
      </c>
      <c r="L1" s="115" t="s">
        <v>764</v>
      </c>
      <c r="M1" s="115" t="s">
        <v>765</v>
      </c>
      <c r="N1" s="115" t="s">
        <v>766</v>
      </c>
      <c r="O1" s="115" t="s">
        <v>767</v>
      </c>
      <c r="P1" s="184" t="s">
        <v>18</v>
      </c>
      <c r="Q1" s="8" t="s">
        <v>25</v>
      </c>
      <c r="R1" s="8" t="s">
        <v>770</v>
      </c>
      <c r="S1" s="8" t="s">
        <v>772</v>
      </c>
      <c r="T1" s="184" t="s">
        <v>24</v>
      </c>
      <c r="U1" s="184" t="s">
        <v>3</v>
      </c>
      <c r="V1" s="184" t="s">
        <v>26</v>
      </c>
      <c r="W1" s="184"/>
      <c r="X1" s="116" t="s">
        <v>20</v>
      </c>
      <c r="Y1" s="115"/>
      <c r="AB1" s="10" t="s">
        <v>1</v>
      </c>
    </row>
    <row r="2" spans="1:62" s="29" customFormat="1" ht="22.5" customHeight="1" thickBot="1">
      <c r="A2" s="117" t="s">
        <v>731</v>
      </c>
      <c r="B2" s="121">
        <v>0.6</v>
      </c>
      <c r="C2" s="123">
        <f>B2+D2+E2+F2+G2+H2+I2+J2+K2+L2+M2+N2+O2</f>
        <v>0.92</v>
      </c>
      <c r="D2" s="37">
        <v>0</v>
      </c>
      <c r="E2" s="16">
        <v>0</v>
      </c>
      <c r="F2" s="37">
        <v>0.1</v>
      </c>
      <c r="G2" s="37">
        <v>0.05</v>
      </c>
      <c r="H2" s="37">
        <v>0.1</v>
      </c>
      <c r="I2" s="37">
        <v>0</v>
      </c>
      <c r="J2" s="37">
        <v>0.05</v>
      </c>
      <c r="K2" s="37">
        <v>0.02</v>
      </c>
      <c r="L2" s="37">
        <v>0</v>
      </c>
      <c r="M2" s="37">
        <v>0</v>
      </c>
      <c r="N2" s="37">
        <v>0</v>
      </c>
      <c r="O2" s="37"/>
      <c r="P2" s="194" t="s">
        <v>432</v>
      </c>
      <c r="Q2" s="729" t="s">
        <v>433</v>
      </c>
      <c r="R2" s="204" t="s">
        <v>771</v>
      </c>
      <c r="S2" s="204">
        <v>360</v>
      </c>
      <c r="T2" s="192" t="s">
        <v>430</v>
      </c>
      <c r="U2" s="52" t="s">
        <v>431</v>
      </c>
      <c r="V2" s="33" t="s">
        <v>11</v>
      </c>
      <c r="W2" s="34">
        <f>AD2/1000000</f>
        <v>27</v>
      </c>
      <c r="X2" s="35" t="s">
        <v>7</v>
      </c>
      <c r="Y2" s="36" t="e">
        <f>W2-#REF!+Y3</f>
        <v>#REF!</v>
      </c>
      <c r="Z2" s="96" t="s">
        <v>434</v>
      </c>
      <c r="AA2" s="32" t="s">
        <v>34</v>
      </c>
      <c r="AB2" s="125"/>
      <c r="AC2" s="57" t="s">
        <v>11</v>
      </c>
      <c r="AD2" s="20">
        <v>27000000</v>
      </c>
      <c r="AE2" s="59"/>
      <c r="AF2" s="60"/>
      <c r="AG2" s="61"/>
      <c r="AH2" s="60"/>
      <c r="AI2" s="60"/>
      <c r="AJ2" s="60"/>
      <c r="AK2" s="60"/>
      <c r="AL2" s="60"/>
      <c r="AM2" s="60"/>
      <c r="AN2" s="60"/>
      <c r="AO2" s="60"/>
      <c r="AP2" s="60"/>
      <c r="AQ2" s="60"/>
      <c r="AR2" s="60"/>
      <c r="AS2" s="60"/>
      <c r="AT2" s="60"/>
      <c r="AU2" s="60"/>
      <c r="AV2" s="60"/>
      <c r="AW2" s="60"/>
      <c r="AX2" s="60"/>
      <c r="AY2" s="60"/>
      <c r="AZ2" s="60"/>
      <c r="BA2" s="60"/>
      <c r="BB2" s="60"/>
      <c r="BC2" s="60"/>
    </row>
    <row r="3" spans="1:62" s="29" customFormat="1" ht="22.5" customHeight="1" thickBot="1">
      <c r="A3" s="118"/>
      <c r="B3" s="122"/>
      <c r="C3" s="124"/>
      <c r="D3" s="174" t="s">
        <v>435</v>
      </c>
      <c r="E3" s="174" t="s">
        <v>436</v>
      </c>
      <c r="F3" s="106" t="s">
        <v>437</v>
      </c>
      <c r="G3" s="106" t="s">
        <v>438</v>
      </c>
      <c r="H3" s="106" t="s">
        <v>439</v>
      </c>
      <c r="I3" s="175" t="s">
        <v>440</v>
      </c>
      <c r="J3" s="175" t="s">
        <v>441</v>
      </c>
      <c r="K3" s="175" t="s">
        <v>442</v>
      </c>
      <c r="L3" s="175" t="s">
        <v>443</v>
      </c>
      <c r="M3" s="175" t="s">
        <v>444</v>
      </c>
      <c r="N3" s="175" t="s">
        <v>445</v>
      </c>
      <c r="O3" s="106"/>
      <c r="P3" s="195"/>
      <c r="Q3" s="730"/>
      <c r="R3" s="205"/>
      <c r="S3" s="205"/>
      <c r="T3" s="193"/>
      <c r="U3" s="30" t="s">
        <v>21</v>
      </c>
      <c r="V3" s="167" t="s">
        <v>27</v>
      </c>
      <c r="W3" s="168"/>
      <c r="X3" s="47" t="s">
        <v>9</v>
      </c>
      <c r="Y3" s="48">
        <f>AF3/1000000</f>
        <v>0</v>
      </c>
      <c r="Z3" s="31"/>
      <c r="AA3" s="51"/>
      <c r="AB3" s="126"/>
      <c r="AC3" s="57"/>
      <c r="AD3" s="58"/>
      <c r="AE3" s="59" t="s">
        <v>446</v>
      </c>
      <c r="AF3" s="60">
        <f>SUM(AG3:BC3)</f>
        <v>0</v>
      </c>
      <c r="AG3" s="62"/>
      <c r="AH3" s="62"/>
      <c r="AI3" s="62"/>
      <c r="AJ3" s="62"/>
      <c r="AK3" s="62"/>
      <c r="AL3" s="62"/>
      <c r="AM3" s="62"/>
      <c r="AN3" s="62"/>
      <c r="AO3" s="62"/>
      <c r="AP3" s="62"/>
      <c r="AQ3" s="62"/>
      <c r="AR3" s="62"/>
      <c r="AS3" s="62"/>
      <c r="AT3" s="62"/>
      <c r="AU3" s="62"/>
      <c r="AV3" s="62"/>
      <c r="AW3" s="62"/>
      <c r="AX3" s="62"/>
      <c r="AY3" s="62"/>
      <c r="AZ3" s="62"/>
      <c r="BA3" s="62"/>
      <c r="BB3" s="62"/>
      <c r="BC3" s="62"/>
    </row>
    <row r="4" spans="1:62" s="44" customFormat="1" ht="22.5" customHeight="1" thickBot="1">
      <c r="A4" s="271" t="s">
        <v>732</v>
      </c>
      <c r="B4" s="234">
        <v>0.98</v>
      </c>
      <c r="C4" s="211">
        <f>B4+D4+E4+F4+G4+H4+I4+J4+K4+L4+M4+N4+O4</f>
        <v>1</v>
      </c>
      <c r="D4" s="98">
        <v>0</v>
      </c>
      <c r="E4" s="98">
        <v>0</v>
      </c>
      <c r="F4" s="98">
        <v>0</v>
      </c>
      <c r="G4" s="98">
        <v>0</v>
      </c>
      <c r="H4" s="98">
        <v>0</v>
      </c>
      <c r="I4" s="98">
        <v>0</v>
      </c>
      <c r="J4" s="98">
        <v>0</v>
      </c>
      <c r="K4" s="98">
        <v>0</v>
      </c>
      <c r="L4" s="98">
        <v>0</v>
      </c>
      <c r="M4" s="98">
        <v>0</v>
      </c>
      <c r="N4" s="98">
        <v>0.02</v>
      </c>
      <c r="O4" s="98"/>
      <c r="P4" s="272" t="s">
        <v>426</v>
      </c>
      <c r="Q4" s="731" t="s">
        <v>427</v>
      </c>
      <c r="R4" s="176" t="s">
        <v>771</v>
      </c>
      <c r="S4" s="176">
        <v>146</v>
      </c>
      <c r="T4" s="264" t="s">
        <v>421</v>
      </c>
      <c r="U4" s="265" t="s">
        <v>424</v>
      </c>
      <c r="V4" s="266" t="s">
        <v>425</v>
      </c>
      <c r="W4" s="267">
        <f>AD4/1000000</f>
        <v>33</v>
      </c>
      <c r="X4" s="268" t="s">
        <v>7</v>
      </c>
      <c r="Y4" s="269" t="e">
        <f>W4-#REF!+Y5</f>
        <v>#REF!</v>
      </c>
      <c r="Z4" s="270" t="s">
        <v>428</v>
      </c>
      <c r="AA4" s="38" t="s">
        <v>429</v>
      </c>
      <c r="AB4" s="200"/>
      <c r="AC4" s="39" t="s">
        <v>11</v>
      </c>
      <c r="AD4" s="40">
        <f>10000000+23000000</f>
        <v>33000000</v>
      </c>
      <c r="AE4" s="41"/>
      <c r="AF4" s="42"/>
      <c r="AG4" s="43"/>
      <c r="AH4" s="42"/>
      <c r="AI4" s="42"/>
      <c r="AJ4" s="42"/>
      <c r="AK4" s="42"/>
      <c r="AL4" s="42"/>
      <c r="AM4" s="42"/>
      <c r="AN4" s="42"/>
      <c r="AO4" s="42"/>
      <c r="AP4" s="42"/>
      <c r="AQ4" s="42"/>
      <c r="AR4" s="42"/>
      <c r="AS4" s="42"/>
      <c r="AT4" s="42"/>
      <c r="AU4" s="42"/>
      <c r="AV4" s="42"/>
      <c r="AW4" s="42"/>
      <c r="AX4" s="42"/>
      <c r="AY4" s="42"/>
      <c r="AZ4" s="42"/>
      <c r="BA4" s="42"/>
      <c r="BB4" s="42"/>
      <c r="BC4" s="42"/>
    </row>
    <row r="5" spans="1:62" s="29" customFormat="1" ht="22.5" customHeight="1" thickBot="1">
      <c r="A5" s="118"/>
      <c r="B5" s="122"/>
      <c r="C5" s="124"/>
      <c r="D5" s="106" t="s">
        <v>422</v>
      </c>
      <c r="E5" s="106" t="s">
        <v>422</v>
      </c>
      <c r="F5" s="106" t="s">
        <v>422</v>
      </c>
      <c r="G5" s="106" t="s">
        <v>422</v>
      </c>
      <c r="H5" s="106" t="s">
        <v>422</v>
      </c>
      <c r="I5" s="175" t="s">
        <v>422</v>
      </c>
      <c r="J5" s="175" t="s">
        <v>422</v>
      </c>
      <c r="K5" s="175" t="s">
        <v>422</v>
      </c>
      <c r="L5" s="175" t="s">
        <v>422</v>
      </c>
      <c r="M5" s="175" t="s">
        <v>422</v>
      </c>
      <c r="N5" s="175"/>
      <c r="O5" s="106"/>
      <c r="P5" s="185"/>
      <c r="Q5" s="730"/>
      <c r="R5" s="205"/>
      <c r="S5" s="205"/>
      <c r="T5" s="179"/>
      <c r="U5" s="49"/>
      <c r="V5" s="167" t="s">
        <v>27</v>
      </c>
      <c r="W5" s="168"/>
      <c r="X5" s="47" t="s">
        <v>9</v>
      </c>
      <c r="Y5" s="48">
        <f>AF5/1000000</f>
        <v>0</v>
      </c>
      <c r="Z5" s="31"/>
      <c r="AA5" s="51"/>
      <c r="AB5" s="173"/>
      <c r="AC5" s="57"/>
      <c r="AD5" s="58"/>
      <c r="AE5" s="59" t="s">
        <v>16</v>
      </c>
      <c r="AF5" s="60">
        <f>SUM(AG5:BC5)</f>
        <v>0</v>
      </c>
      <c r="AG5" s="62"/>
      <c r="AH5" s="62"/>
      <c r="AI5" s="62"/>
      <c r="AJ5" s="62"/>
      <c r="AK5" s="62"/>
      <c r="AL5" s="62"/>
      <c r="AM5" s="62"/>
      <c r="AN5" s="62"/>
      <c r="AO5" s="62"/>
      <c r="AP5" s="62"/>
      <c r="AQ5" s="62"/>
      <c r="AR5" s="62"/>
      <c r="AS5" s="62"/>
      <c r="AT5" s="62"/>
      <c r="AU5" s="62"/>
      <c r="AV5" s="62"/>
      <c r="AW5" s="62"/>
      <c r="AX5" s="62"/>
      <c r="AY5" s="62"/>
      <c r="AZ5" s="62"/>
      <c r="BA5" s="62"/>
      <c r="BB5" s="62"/>
      <c r="BC5" s="62"/>
    </row>
    <row r="6" spans="1:62" s="29" customFormat="1" ht="22.5" customHeight="1" thickBot="1">
      <c r="A6" s="117" t="s">
        <v>732</v>
      </c>
      <c r="B6" s="121">
        <v>0.98</v>
      </c>
      <c r="C6" s="123">
        <f>B6+D6+E6+F6+G6+H6+I6+J6+K6+L6+M6+N6+O6</f>
        <v>1</v>
      </c>
      <c r="D6" s="37">
        <v>0</v>
      </c>
      <c r="E6" s="37">
        <v>0</v>
      </c>
      <c r="F6" s="37">
        <v>0</v>
      </c>
      <c r="G6" s="37">
        <v>0</v>
      </c>
      <c r="H6" s="37">
        <v>0</v>
      </c>
      <c r="I6" s="37">
        <v>0</v>
      </c>
      <c r="J6" s="37">
        <v>0</v>
      </c>
      <c r="K6" s="37">
        <v>0</v>
      </c>
      <c r="L6" s="37">
        <v>0</v>
      </c>
      <c r="M6" s="37">
        <v>0</v>
      </c>
      <c r="N6" s="37">
        <v>0.02</v>
      </c>
      <c r="O6" s="37"/>
      <c r="P6" s="169" t="s">
        <v>426</v>
      </c>
      <c r="Q6" s="729" t="s">
        <v>66</v>
      </c>
      <c r="R6" s="204" t="s">
        <v>773</v>
      </c>
      <c r="S6" s="204">
        <v>145</v>
      </c>
      <c r="T6" s="178" t="s">
        <v>421</v>
      </c>
      <c r="U6" s="11" t="s">
        <v>424</v>
      </c>
      <c r="V6" s="33" t="s">
        <v>11</v>
      </c>
      <c r="W6" s="34">
        <f>AD6/1000000</f>
        <v>33</v>
      </c>
      <c r="X6" s="35" t="s">
        <v>7</v>
      </c>
      <c r="Y6" s="36" t="e">
        <f>W6-#REF!+Y7</f>
        <v>#REF!</v>
      </c>
      <c r="Z6" s="96" t="s">
        <v>33</v>
      </c>
      <c r="AA6" s="32" t="s">
        <v>34</v>
      </c>
      <c r="AB6" s="172"/>
      <c r="AC6" s="57" t="s">
        <v>11</v>
      </c>
      <c r="AD6" s="58">
        <f>10000000+23000000</f>
        <v>33000000</v>
      </c>
      <c r="AE6" s="59"/>
      <c r="AF6" s="60"/>
      <c r="AG6" s="61"/>
      <c r="AH6" s="60"/>
      <c r="AI6" s="60"/>
      <c r="AJ6" s="60"/>
      <c r="AK6" s="60"/>
      <c r="AL6" s="60"/>
      <c r="AM6" s="60"/>
      <c r="AN6" s="60"/>
      <c r="AO6" s="60"/>
      <c r="AP6" s="60"/>
      <c r="AQ6" s="60"/>
      <c r="AR6" s="60"/>
      <c r="AS6" s="60"/>
      <c r="AT6" s="60"/>
      <c r="AU6" s="60"/>
      <c r="AV6" s="60"/>
      <c r="AW6" s="60"/>
      <c r="AX6" s="60"/>
      <c r="AY6" s="60"/>
      <c r="AZ6" s="60"/>
      <c r="BA6" s="60"/>
      <c r="BB6" s="60"/>
      <c r="BC6" s="60"/>
    </row>
    <row r="7" spans="1:62" s="29" customFormat="1" ht="22.5" customHeight="1" thickBot="1">
      <c r="A7" s="118"/>
      <c r="B7" s="122"/>
      <c r="C7" s="124"/>
      <c r="D7" s="106" t="s">
        <v>91</v>
      </c>
      <c r="E7" s="106" t="s">
        <v>91</v>
      </c>
      <c r="F7" s="106" t="s">
        <v>91</v>
      </c>
      <c r="G7" s="106" t="s">
        <v>91</v>
      </c>
      <c r="H7" s="106" t="s">
        <v>91</v>
      </c>
      <c r="I7" s="175" t="s">
        <v>91</v>
      </c>
      <c r="J7" s="175" t="s">
        <v>91</v>
      </c>
      <c r="K7" s="175" t="s">
        <v>91</v>
      </c>
      <c r="L7" s="175" t="s">
        <v>91</v>
      </c>
      <c r="M7" s="175" t="s">
        <v>91</v>
      </c>
      <c r="N7" s="175"/>
      <c r="O7" s="106"/>
      <c r="P7" s="185"/>
      <c r="Q7" s="730"/>
      <c r="R7" s="205"/>
      <c r="S7" s="205"/>
      <c r="T7" s="179"/>
      <c r="U7" s="49"/>
      <c r="V7" s="167" t="s">
        <v>27</v>
      </c>
      <c r="W7" s="168"/>
      <c r="X7" s="47" t="s">
        <v>9</v>
      </c>
      <c r="Y7" s="48">
        <f>AF7/1000000</f>
        <v>0</v>
      </c>
      <c r="Z7" s="31"/>
      <c r="AA7" s="51"/>
      <c r="AB7" s="173"/>
      <c r="AC7" s="57"/>
      <c r="AD7" s="58"/>
      <c r="AE7" s="59" t="s">
        <v>16</v>
      </c>
      <c r="AF7" s="60">
        <f>SUM(AG7:BC7)</f>
        <v>0</v>
      </c>
      <c r="AG7" s="62"/>
      <c r="AH7" s="62"/>
      <c r="AI7" s="62"/>
      <c r="AJ7" s="62"/>
      <c r="AK7" s="62"/>
      <c r="AL7" s="62"/>
      <c r="AM7" s="62"/>
      <c r="AN7" s="62"/>
      <c r="AO7" s="62"/>
      <c r="AP7" s="62"/>
      <c r="AQ7" s="62"/>
      <c r="AR7" s="62"/>
      <c r="AS7" s="62"/>
      <c r="AT7" s="62"/>
      <c r="AU7" s="62"/>
      <c r="AV7" s="62"/>
      <c r="AW7" s="62"/>
      <c r="AX7" s="62"/>
      <c r="AY7" s="62"/>
      <c r="AZ7" s="62"/>
      <c r="BA7" s="62"/>
      <c r="BB7" s="62"/>
      <c r="BC7" s="62"/>
    </row>
    <row r="8" spans="1:62" s="29" customFormat="1" ht="22.5" customHeight="1" thickBot="1">
      <c r="A8" s="117" t="s">
        <v>734</v>
      </c>
      <c r="B8" s="121">
        <v>0.2</v>
      </c>
      <c r="C8" s="123">
        <f>B8+D8+E8+F8+G8+H8+I8+J8+K8+L8+M8+N8+O8</f>
        <v>0.98000000000000032</v>
      </c>
      <c r="D8" s="37">
        <v>0.1</v>
      </c>
      <c r="E8" s="16">
        <v>0.4</v>
      </c>
      <c r="F8" s="37">
        <v>0.05</v>
      </c>
      <c r="G8" s="37">
        <v>0.05</v>
      </c>
      <c r="H8" s="37">
        <v>0.02</v>
      </c>
      <c r="I8" s="37">
        <v>0.02</v>
      </c>
      <c r="J8" s="37">
        <v>0.05</v>
      </c>
      <c r="K8" s="37">
        <v>0.03</v>
      </c>
      <c r="L8" s="37">
        <v>0.03</v>
      </c>
      <c r="M8" s="16">
        <v>0.02</v>
      </c>
      <c r="N8" s="37">
        <v>0.01</v>
      </c>
      <c r="O8" s="37"/>
      <c r="P8" s="196" t="s">
        <v>328</v>
      </c>
      <c r="Q8" s="729" t="s">
        <v>267</v>
      </c>
      <c r="R8" s="204" t="s">
        <v>775</v>
      </c>
      <c r="S8" s="204">
        <v>341</v>
      </c>
      <c r="T8" s="178" t="s">
        <v>128</v>
      </c>
      <c r="U8" s="11" t="s">
        <v>260</v>
      </c>
      <c r="V8" s="33" t="s">
        <v>241</v>
      </c>
      <c r="W8" s="34">
        <f>AD8/1000000</f>
        <v>20.25</v>
      </c>
      <c r="X8" s="35" t="s">
        <v>7</v>
      </c>
      <c r="Y8" s="36" t="e">
        <f>W8-#REF!+Y9</f>
        <v>#REF!</v>
      </c>
      <c r="Z8" s="56" t="s">
        <v>105</v>
      </c>
      <c r="AA8" s="32" t="s">
        <v>34</v>
      </c>
      <c r="AB8" s="125"/>
      <c r="AC8" s="57" t="s">
        <v>11</v>
      </c>
      <c r="AD8" s="58">
        <v>20250000</v>
      </c>
      <c r="AE8" s="59"/>
      <c r="AF8" s="60"/>
      <c r="AG8" s="61"/>
      <c r="AH8" s="60"/>
      <c r="AI8" s="60"/>
      <c r="AJ8" s="60"/>
      <c r="AK8" s="60"/>
      <c r="AL8" s="60"/>
      <c r="AM8" s="60"/>
      <c r="AN8" s="60"/>
      <c r="AO8" s="60"/>
      <c r="AP8" s="60"/>
      <c r="AQ8" s="60"/>
      <c r="AR8" s="60"/>
      <c r="AS8" s="60"/>
      <c r="AT8" s="60"/>
      <c r="AU8" s="60"/>
      <c r="AV8" s="60"/>
      <c r="AW8" s="60"/>
      <c r="AX8" s="60"/>
      <c r="AY8" s="60"/>
      <c r="AZ8" s="60"/>
      <c r="BA8" s="60"/>
      <c r="BB8" s="60"/>
      <c r="BC8" s="60"/>
    </row>
    <row r="9" spans="1:62" s="29" customFormat="1" ht="22.5" customHeight="1" thickBot="1">
      <c r="A9" s="118"/>
      <c r="B9" s="122"/>
      <c r="C9" s="124"/>
      <c r="D9" s="174" t="s">
        <v>129</v>
      </c>
      <c r="E9" s="174" t="s">
        <v>140</v>
      </c>
      <c r="F9" s="106" t="s">
        <v>173</v>
      </c>
      <c r="G9" s="106" t="s">
        <v>244</v>
      </c>
      <c r="H9" s="106" t="s">
        <v>226</v>
      </c>
      <c r="I9" s="175" t="s">
        <v>226</v>
      </c>
      <c r="J9" s="180" t="s">
        <v>261</v>
      </c>
      <c r="K9" s="180" t="s">
        <v>268</v>
      </c>
      <c r="L9" s="106" t="s">
        <v>308</v>
      </c>
      <c r="M9" s="171" t="s">
        <v>327</v>
      </c>
      <c r="N9" s="171" t="s">
        <v>419</v>
      </c>
      <c r="O9" s="106"/>
      <c r="P9" s="197"/>
      <c r="Q9" s="730"/>
      <c r="R9" s="205"/>
      <c r="S9" s="205"/>
      <c r="T9" s="179"/>
      <c r="U9" s="49" t="s">
        <v>259</v>
      </c>
      <c r="V9" s="167" t="s">
        <v>239</v>
      </c>
      <c r="W9" s="168"/>
      <c r="X9" s="47" t="s">
        <v>240</v>
      </c>
      <c r="Y9" s="48">
        <f>AF9/1000000</f>
        <v>0</v>
      </c>
      <c r="Z9" s="32"/>
      <c r="AA9" s="51"/>
      <c r="AB9" s="126"/>
      <c r="AC9" s="57"/>
      <c r="AD9" s="58"/>
      <c r="AE9" s="59" t="s">
        <v>242</v>
      </c>
      <c r="AF9" s="60">
        <f>SUM(AG9:BC9)</f>
        <v>0</v>
      </c>
      <c r="AG9" s="62"/>
      <c r="AH9" s="62"/>
      <c r="AI9" s="62"/>
      <c r="AJ9" s="62"/>
      <c r="AK9" s="62"/>
      <c r="AL9" s="62"/>
      <c r="AM9" s="62"/>
      <c r="AN9" s="62"/>
      <c r="AO9" s="62"/>
      <c r="AP9" s="62"/>
      <c r="AQ9" s="62"/>
      <c r="AR9" s="62"/>
      <c r="AS9" s="62"/>
      <c r="AT9" s="62"/>
      <c r="AU9" s="62"/>
      <c r="AV9" s="62"/>
      <c r="AW9" s="62"/>
      <c r="AX9" s="62"/>
      <c r="AY9" s="62"/>
      <c r="AZ9" s="62"/>
      <c r="BA9" s="62"/>
      <c r="BB9" s="62"/>
      <c r="BC9" s="62"/>
    </row>
    <row r="10" spans="1:62" s="29" customFormat="1" ht="22.5" customHeight="1" thickBot="1">
      <c r="A10" s="117" t="s">
        <v>735</v>
      </c>
      <c r="B10" s="121">
        <v>0.05</v>
      </c>
      <c r="C10" s="123">
        <f>B10+D10+E10+F10+G10+H10+I10+J10+K10+L10+M10+N10+O10</f>
        <v>0.7</v>
      </c>
      <c r="D10" s="37">
        <v>0.1</v>
      </c>
      <c r="E10" s="16">
        <v>0.35</v>
      </c>
      <c r="F10" s="16">
        <v>0</v>
      </c>
      <c r="G10" s="16">
        <v>0</v>
      </c>
      <c r="H10" s="16">
        <v>0.1</v>
      </c>
      <c r="I10" s="37">
        <v>0</v>
      </c>
      <c r="J10" s="37">
        <v>0</v>
      </c>
      <c r="K10" s="37">
        <v>0.1</v>
      </c>
      <c r="L10" s="37">
        <v>0</v>
      </c>
      <c r="M10" s="37">
        <v>0</v>
      </c>
      <c r="N10" s="37">
        <v>0</v>
      </c>
      <c r="O10" s="37"/>
      <c r="P10" s="169" t="s">
        <v>457</v>
      </c>
      <c r="Q10" s="729" t="s">
        <v>458</v>
      </c>
      <c r="R10" s="204" t="s">
        <v>776</v>
      </c>
      <c r="S10" s="204">
        <v>345</v>
      </c>
      <c r="T10" s="178" t="s">
        <v>453</v>
      </c>
      <c r="U10" s="11" t="s">
        <v>454</v>
      </c>
      <c r="V10" s="33" t="s">
        <v>455</v>
      </c>
      <c r="W10" s="34">
        <f>AD10/1000000</f>
        <v>61.98</v>
      </c>
      <c r="X10" s="35" t="s">
        <v>456</v>
      </c>
      <c r="Y10" s="36" t="e">
        <f>W10-#REF!+Y11</f>
        <v>#REF!</v>
      </c>
      <c r="Z10" s="56" t="s">
        <v>33</v>
      </c>
      <c r="AA10" s="32" t="s">
        <v>34</v>
      </c>
      <c r="AB10" s="125"/>
      <c r="AC10" s="57" t="s">
        <v>11</v>
      </c>
      <c r="AD10" s="58">
        <v>61980000</v>
      </c>
      <c r="AE10" s="59"/>
      <c r="AF10" s="60"/>
      <c r="AG10" s="61"/>
      <c r="AH10" s="60"/>
      <c r="AI10" s="60"/>
      <c r="AJ10" s="60"/>
      <c r="AK10" s="60"/>
      <c r="AL10" s="60"/>
      <c r="AM10" s="60"/>
      <c r="AN10" s="60"/>
      <c r="AO10" s="60"/>
      <c r="AP10" s="60"/>
      <c r="AQ10" s="60"/>
      <c r="AR10" s="60"/>
      <c r="AS10" s="60"/>
      <c r="AT10" s="60"/>
      <c r="AU10" s="60"/>
      <c r="AV10" s="60"/>
      <c r="AW10" s="60"/>
      <c r="AX10" s="60"/>
      <c r="AY10" s="60"/>
      <c r="AZ10" s="60"/>
      <c r="BA10" s="60"/>
      <c r="BB10" s="60"/>
      <c r="BC10" s="60"/>
    </row>
    <row r="11" spans="1:62" s="29" customFormat="1" ht="22.5" customHeight="1" thickBot="1">
      <c r="A11" s="118"/>
      <c r="B11" s="122"/>
      <c r="C11" s="124"/>
      <c r="D11" s="174" t="s">
        <v>461</v>
      </c>
      <c r="E11" s="174" t="s">
        <v>141</v>
      </c>
      <c r="F11" s="174" t="s">
        <v>422</v>
      </c>
      <c r="G11" s="174" t="s">
        <v>422</v>
      </c>
      <c r="H11" s="174" t="s">
        <v>422</v>
      </c>
      <c r="I11" s="175" t="s">
        <v>422</v>
      </c>
      <c r="J11" s="175" t="s">
        <v>422</v>
      </c>
      <c r="K11" s="175" t="s">
        <v>462</v>
      </c>
      <c r="L11" s="175" t="s">
        <v>422</v>
      </c>
      <c r="M11" s="175" t="s">
        <v>463</v>
      </c>
      <c r="N11" s="175" t="s">
        <v>422</v>
      </c>
      <c r="O11" s="106"/>
      <c r="P11" s="170"/>
      <c r="Q11" s="730"/>
      <c r="R11" s="205"/>
      <c r="S11" s="205"/>
      <c r="T11" s="179"/>
      <c r="U11" s="49" t="s">
        <v>21</v>
      </c>
      <c r="V11" s="167" t="s">
        <v>459</v>
      </c>
      <c r="W11" s="168"/>
      <c r="X11" s="47" t="s">
        <v>460</v>
      </c>
      <c r="Y11" s="48">
        <f>AF11/1000000</f>
        <v>0</v>
      </c>
      <c r="Z11" s="32"/>
      <c r="AA11" s="51"/>
      <c r="AB11" s="126"/>
      <c r="AC11" s="57"/>
      <c r="AD11" s="58"/>
      <c r="AE11" s="59" t="s">
        <v>16</v>
      </c>
      <c r="AF11" s="60">
        <f>SUM(AG11:BC11)</f>
        <v>0</v>
      </c>
      <c r="AG11" s="62"/>
      <c r="AH11" s="62"/>
      <c r="AI11" s="62"/>
      <c r="AJ11" s="62"/>
      <c r="AK11" s="62"/>
      <c r="AL11" s="62"/>
      <c r="AM11" s="62"/>
      <c r="AN11" s="62"/>
      <c r="AO11" s="62"/>
      <c r="AP11" s="62"/>
      <c r="AQ11" s="62"/>
      <c r="AR11" s="62"/>
      <c r="AS11" s="62"/>
      <c r="AT11" s="62"/>
      <c r="AU11" s="62"/>
      <c r="AV11" s="62"/>
      <c r="AW11" s="62"/>
      <c r="AX11" s="62"/>
      <c r="AY11" s="62"/>
      <c r="AZ11" s="62"/>
      <c r="BA11" s="62"/>
      <c r="BB11" s="62"/>
      <c r="BC11" s="62"/>
    </row>
    <row r="12" spans="1:62" ht="22.5" customHeight="1" thickBot="1">
      <c r="A12" s="117" t="s">
        <v>736</v>
      </c>
      <c r="B12" s="121">
        <v>0.21</v>
      </c>
      <c r="C12" s="123">
        <f>B12+D12+E12+F12+G12+H12+I12+J12+K12+L12+M12+N12+O12</f>
        <v>0.21</v>
      </c>
      <c r="D12" s="37">
        <v>0</v>
      </c>
      <c r="E12" s="16">
        <v>0</v>
      </c>
      <c r="F12" s="16">
        <v>0</v>
      </c>
      <c r="G12" s="16">
        <v>0</v>
      </c>
      <c r="H12" s="16">
        <v>0</v>
      </c>
      <c r="I12" s="37">
        <v>0</v>
      </c>
      <c r="J12" s="37">
        <v>0</v>
      </c>
      <c r="K12" s="37">
        <v>0</v>
      </c>
      <c r="L12" s="37">
        <v>0</v>
      </c>
      <c r="M12" s="37">
        <v>0</v>
      </c>
      <c r="N12" s="37">
        <v>0</v>
      </c>
      <c r="O12" s="37"/>
      <c r="P12" s="186" t="s">
        <v>466</v>
      </c>
      <c r="Q12" s="729" t="s">
        <v>467</v>
      </c>
      <c r="R12" s="204" t="s">
        <v>776</v>
      </c>
      <c r="S12" s="204">
        <v>31</v>
      </c>
      <c r="T12" s="178" t="s">
        <v>464</v>
      </c>
      <c r="U12" s="11" t="s">
        <v>465</v>
      </c>
      <c r="V12" s="33" t="s">
        <v>455</v>
      </c>
      <c r="W12" s="34">
        <f>AD12/1000000</f>
        <v>19.5</v>
      </c>
      <c r="X12" s="35" t="s">
        <v>456</v>
      </c>
      <c r="Y12" s="36" t="e">
        <f>W12-#REF!+Y13</f>
        <v>#REF!</v>
      </c>
      <c r="Z12" s="50" t="s">
        <v>468</v>
      </c>
      <c r="AA12" s="18" t="s">
        <v>469</v>
      </c>
      <c r="AB12" s="181"/>
      <c r="AC12" s="19" t="s">
        <v>11</v>
      </c>
      <c r="AD12" s="20">
        <v>19500000</v>
      </c>
      <c r="AE12" s="21"/>
      <c r="AF12" s="22"/>
      <c r="AG12" s="23"/>
      <c r="AH12" s="24"/>
      <c r="AI12" s="24"/>
      <c r="AJ12" s="24"/>
      <c r="AK12" s="24"/>
      <c r="AL12" s="24"/>
      <c r="AM12" s="24"/>
      <c r="AN12" s="24"/>
      <c r="AO12" s="24"/>
      <c r="AP12" s="24"/>
      <c r="AQ12" s="24"/>
      <c r="AR12" s="24"/>
      <c r="AS12" s="24"/>
      <c r="AT12" s="24"/>
      <c r="AU12" s="24"/>
      <c r="AV12" s="24"/>
      <c r="AW12" s="24"/>
      <c r="AX12" s="24"/>
      <c r="AY12" s="24"/>
      <c r="AZ12" s="24"/>
      <c r="BA12" s="24"/>
      <c r="BB12" s="24"/>
      <c r="BC12" s="24"/>
    </row>
    <row r="13" spans="1:62" ht="22.5" customHeight="1" thickBot="1">
      <c r="A13" s="118"/>
      <c r="B13" s="122"/>
      <c r="C13" s="124"/>
      <c r="D13" s="174" t="s">
        <v>452</v>
      </c>
      <c r="E13" s="174" t="s">
        <v>142</v>
      </c>
      <c r="F13" s="174" t="s">
        <v>452</v>
      </c>
      <c r="G13" s="174" t="s">
        <v>452</v>
      </c>
      <c r="H13" s="174" t="s">
        <v>452</v>
      </c>
      <c r="I13" s="175" t="s">
        <v>452</v>
      </c>
      <c r="J13" s="175" t="s">
        <v>452</v>
      </c>
      <c r="K13" s="175" t="s">
        <v>452</v>
      </c>
      <c r="L13" s="175" t="s">
        <v>452</v>
      </c>
      <c r="M13" s="175" t="s">
        <v>452</v>
      </c>
      <c r="N13" s="175" t="s">
        <v>452</v>
      </c>
      <c r="O13" s="106"/>
      <c r="P13" s="187"/>
      <c r="Q13" s="730"/>
      <c r="R13" s="205"/>
      <c r="S13" s="205"/>
      <c r="T13" s="179"/>
      <c r="U13" s="49" t="s">
        <v>470</v>
      </c>
      <c r="V13" s="167" t="s">
        <v>471</v>
      </c>
      <c r="W13" s="168"/>
      <c r="X13" s="47" t="s">
        <v>472</v>
      </c>
      <c r="Y13" s="48">
        <f>AF13/1000000</f>
        <v>0</v>
      </c>
      <c r="Z13" s="32"/>
      <c r="AA13" s="51"/>
      <c r="AB13" s="182"/>
      <c r="AC13" s="19"/>
      <c r="AD13" s="20"/>
      <c r="AE13" s="21" t="s">
        <v>473</v>
      </c>
      <c r="AF13" s="60">
        <f>SUM(AG13:BC13)</f>
        <v>0</v>
      </c>
      <c r="BD13" s="29"/>
      <c r="BE13" s="29"/>
      <c r="BF13" s="29"/>
      <c r="BG13" s="29"/>
      <c r="BH13" s="29"/>
      <c r="BI13" s="29"/>
      <c r="BJ13" s="29"/>
    </row>
    <row r="14" spans="1:62" s="29" customFormat="1" ht="22.5" customHeight="1" thickBot="1">
      <c r="A14" s="117" t="s">
        <v>738</v>
      </c>
      <c r="B14" s="121">
        <v>0</v>
      </c>
      <c r="C14" s="123">
        <f>B14+D14+E14+F14+G14+H14+I14+J14+K14+L14+M14+N14+O14</f>
        <v>0.05</v>
      </c>
      <c r="D14" s="37"/>
      <c r="E14" s="37">
        <v>0.05</v>
      </c>
      <c r="F14" s="16">
        <v>0</v>
      </c>
      <c r="G14" s="16">
        <v>0</v>
      </c>
      <c r="H14" s="16">
        <v>0</v>
      </c>
      <c r="I14" s="37">
        <v>0</v>
      </c>
      <c r="J14" s="37">
        <v>0</v>
      </c>
      <c r="K14" s="37">
        <v>0</v>
      </c>
      <c r="L14" s="37">
        <v>0</v>
      </c>
      <c r="M14" s="37">
        <v>0</v>
      </c>
      <c r="N14" s="37">
        <v>0</v>
      </c>
      <c r="O14" s="37"/>
      <c r="P14" s="188" t="s">
        <v>485</v>
      </c>
      <c r="Q14" s="729" t="s">
        <v>477</v>
      </c>
      <c r="R14" s="204" t="s">
        <v>776</v>
      </c>
      <c r="S14" s="204">
        <v>354</v>
      </c>
      <c r="T14" s="178" t="s">
        <v>483</v>
      </c>
      <c r="U14" s="11" t="s">
        <v>484</v>
      </c>
      <c r="V14" s="33" t="s">
        <v>455</v>
      </c>
      <c r="W14" s="34">
        <f>AD14/1000000</f>
        <v>30</v>
      </c>
      <c r="X14" s="35" t="s">
        <v>7</v>
      </c>
      <c r="Y14" s="36" t="e">
        <f>W14-#REF!+Y15</f>
        <v>#REF!</v>
      </c>
      <c r="Z14" s="56" t="s">
        <v>468</v>
      </c>
      <c r="AA14" s="32" t="s">
        <v>469</v>
      </c>
      <c r="AB14" s="172"/>
      <c r="AC14" s="57" t="s">
        <v>486</v>
      </c>
      <c r="AD14" s="58">
        <v>30000000</v>
      </c>
      <c r="AE14" s="59"/>
      <c r="AF14" s="60"/>
      <c r="AG14" s="61"/>
      <c r="AH14" s="60"/>
      <c r="AI14" s="60"/>
      <c r="AJ14" s="60"/>
      <c r="AK14" s="60"/>
      <c r="AL14" s="60"/>
      <c r="AM14" s="60"/>
      <c r="AN14" s="60"/>
      <c r="AO14" s="60"/>
      <c r="AP14" s="60"/>
      <c r="AQ14" s="60"/>
      <c r="AR14" s="60"/>
      <c r="AS14" s="60"/>
      <c r="AT14" s="60"/>
      <c r="AU14" s="60"/>
      <c r="AV14" s="60"/>
      <c r="AW14" s="60"/>
      <c r="AX14" s="60"/>
      <c r="AY14" s="60"/>
      <c r="AZ14" s="60"/>
      <c r="BA14" s="60"/>
      <c r="BB14" s="60"/>
      <c r="BC14" s="60"/>
    </row>
    <row r="15" spans="1:62" s="29" customFormat="1" ht="22.5" customHeight="1" thickBot="1">
      <c r="A15" s="118"/>
      <c r="B15" s="122"/>
      <c r="C15" s="124"/>
      <c r="D15" s="106"/>
      <c r="E15" s="106" t="s">
        <v>488</v>
      </c>
      <c r="F15" s="174" t="s">
        <v>452</v>
      </c>
      <c r="G15" s="174" t="s">
        <v>452</v>
      </c>
      <c r="H15" s="174" t="s">
        <v>452</v>
      </c>
      <c r="I15" s="175" t="s">
        <v>452</v>
      </c>
      <c r="J15" s="175" t="s">
        <v>452</v>
      </c>
      <c r="K15" s="175" t="s">
        <v>452</v>
      </c>
      <c r="L15" s="175" t="s">
        <v>443</v>
      </c>
      <c r="M15" s="175" t="s">
        <v>443</v>
      </c>
      <c r="N15" s="175" t="s">
        <v>452</v>
      </c>
      <c r="O15" s="106"/>
      <c r="P15" s="189"/>
      <c r="Q15" s="730"/>
      <c r="R15" s="205"/>
      <c r="S15" s="205"/>
      <c r="T15" s="179"/>
      <c r="U15" s="49" t="s">
        <v>470</v>
      </c>
      <c r="V15" s="167" t="s">
        <v>471</v>
      </c>
      <c r="W15" s="168"/>
      <c r="X15" s="47" t="s">
        <v>487</v>
      </c>
      <c r="Y15" s="48">
        <f>AF15/1000000</f>
        <v>0</v>
      </c>
      <c r="Z15" s="32"/>
      <c r="AA15" s="51"/>
      <c r="AB15" s="173"/>
      <c r="AC15" s="57"/>
      <c r="AD15" s="58"/>
      <c r="AE15" s="59" t="s">
        <v>473</v>
      </c>
      <c r="AF15" s="60">
        <f>SUM(AG15:BC15)</f>
        <v>0</v>
      </c>
      <c r="AG15" s="62"/>
      <c r="AH15" s="62"/>
      <c r="AI15" s="62"/>
      <c r="AJ15" s="62"/>
      <c r="AK15" s="62"/>
      <c r="AL15" s="62"/>
      <c r="AM15" s="62"/>
      <c r="AN15" s="62"/>
      <c r="AO15" s="62"/>
      <c r="AP15" s="62"/>
      <c r="AQ15" s="62"/>
      <c r="AR15" s="62"/>
      <c r="AS15" s="62"/>
      <c r="AT15" s="62"/>
      <c r="AU15" s="62"/>
      <c r="AV15" s="62"/>
      <c r="AW15" s="62"/>
      <c r="AX15" s="62"/>
      <c r="AY15" s="62"/>
      <c r="AZ15" s="62"/>
      <c r="BA15" s="62"/>
      <c r="BB15" s="62"/>
      <c r="BC15" s="62"/>
    </row>
    <row r="16" spans="1:62" s="29" customFormat="1" ht="22.5" customHeight="1" thickBot="1">
      <c r="A16" s="204" t="s">
        <v>743</v>
      </c>
      <c r="B16" s="209">
        <v>0.18</v>
      </c>
      <c r="C16" s="211">
        <f>B16+D16+E16+F16+G16+H16+I16+J16+K16+L16+M16+N16+O16</f>
        <v>0.35000000000000009</v>
      </c>
      <c r="D16" s="37">
        <v>0.01</v>
      </c>
      <c r="E16" s="37">
        <v>0</v>
      </c>
      <c r="F16" s="37">
        <v>0.01</v>
      </c>
      <c r="G16" s="37">
        <v>0.01</v>
      </c>
      <c r="H16" s="37">
        <v>0.01</v>
      </c>
      <c r="I16" s="37">
        <v>0.02</v>
      </c>
      <c r="J16" s="37">
        <v>0.02</v>
      </c>
      <c r="K16" s="37">
        <v>0.02</v>
      </c>
      <c r="L16" s="37">
        <v>0.02</v>
      </c>
      <c r="M16" s="37">
        <v>0.02</v>
      </c>
      <c r="N16" s="37">
        <v>0.03</v>
      </c>
      <c r="O16" s="37"/>
      <c r="P16" s="214" t="s">
        <v>79</v>
      </c>
      <c r="Q16" s="729" t="s">
        <v>512</v>
      </c>
      <c r="R16" s="204" t="s">
        <v>780</v>
      </c>
      <c r="S16" s="204">
        <v>248</v>
      </c>
      <c r="T16" s="206" t="s">
        <v>528</v>
      </c>
      <c r="U16" s="11" t="s">
        <v>529</v>
      </c>
      <c r="V16" s="33" t="s">
        <v>104</v>
      </c>
      <c r="W16" s="34">
        <f>AD16/1000000</f>
        <v>28.542414999999998</v>
      </c>
      <c r="X16" s="35" t="s">
        <v>7</v>
      </c>
      <c r="Y16" s="36" t="e">
        <f>W16-#REF!+Y17</f>
        <v>#REF!</v>
      </c>
      <c r="Z16" s="56" t="s">
        <v>90</v>
      </c>
      <c r="AA16" s="32" t="s">
        <v>34</v>
      </c>
      <c r="AB16" s="221"/>
      <c r="AC16" s="57" t="s">
        <v>104</v>
      </c>
      <c r="AD16" s="58">
        <f>14271000+14271415</f>
        <v>28542415</v>
      </c>
      <c r="AE16" s="59"/>
      <c r="AF16" s="60"/>
      <c r="AG16" s="61"/>
      <c r="AH16" s="60"/>
      <c r="AI16" s="60"/>
      <c r="AJ16" s="60"/>
      <c r="AK16" s="60"/>
      <c r="AL16" s="60"/>
      <c r="AM16" s="60"/>
      <c r="AN16" s="60"/>
      <c r="AO16" s="60"/>
      <c r="AP16" s="60"/>
      <c r="AQ16" s="60"/>
      <c r="AR16" s="60"/>
      <c r="AS16" s="60"/>
      <c r="AT16" s="60"/>
      <c r="AU16" s="60"/>
      <c r="AV16" s="60"/>
      <c r="AW16" s="60"/>
      <c r="AX16" s="60"/>
      <c r="AY16" s="60"/>
      <c r="AZ16" s="60"/>
      <c r="BA16" s="60"/>
      <c r="BB16" s="60"/>
      <c r="BC16" s="60"/>
    </row>
    <row r="17" spans="1:55" s="29" customFormat="1" ht="22.5" customHeight="1" thickBot="1">
      <c r="A17" s="205"/>
      <c r="B17" s="210"/>
      <c r="C17" s="212"/>
      <c r="D17" s="225" t="s">
        <v>531</v>
      </c>
      <c r="E17" s="203" t="s">
        <v>144</v>
      </c>
      <c r="F17" s="203" t="s">
        <v>532</v>
      </c>
      <c r="G17" s="203" t="s">
        <v>533</v>
      </c>
      <c r="H17" s="203" t="s">
        <v>534</v>
      </c>
      <c r="I17" s="203" t="s">
        <v>535</v>
      </c>
      <c r="J17" s="203" t="s">
        <v>536</v>
      </c>
      <c r="K17" s="203" t="s">
        <v>537</v>
      </c>
      <c r="L17" s="203" t="s">
        <v>538</v>
      </c>
      <c r="M17" s="203" t="s">
        <v>539</v>
      </c>
      <c r="N17" s="203" t="s">
        <v>540</v>
      </c>
      <c r="O17" s="203"/>
      <c r="P17" s="216"/>
      <c r="Q17" s="730"/>
      <c r="R17" s="205"/>
      <c r="S17" s="205"/>
      <c r="T17" s="207"/>
      <c r="U17" s="49" t="s">
        <v>67</v>
      </c>
      <c r="V17" s="223" t="s">
        <v>27</v>
      </c>
      <c r="W17" s="224"/>
      <c r="X17" s="47" t="s">
        <v>207</v>
      </c>
      <c r="Y17" s="48">
        <f>AF17/1000000</f>
        <v>0</v>
      </c>
      <c r="Z17" s="32"/>
      <c r="AA17" s="51"/>
      <c r="AB17" s="222"/>
      <c r="AC17" s="57"/>
      <c r="AD17" s="58"/>
      <c r="AE17" s="59" t="s">
        <v>100</v>
      </c>
      <c r="AF17" s="60">
        <f>SUM(AG17:BC17)</f>
        <v>0</v>
      </c>
      <c r="AG17" s="62"/>
      <c r="AH17" s="62"/>
      <c r="AI17" s="62"/>
      <c r="AJ17" s="62"/>
      <c r="AK17" s="62"/>
      <c r="AL17" s="62"/>
      <c r="AM17" s="62"/>
      <c r="AN17" s="62"/>
      <c r="AO17" s="62"/>
      <c r="AP17" s="62"/>
      <c r="AQ17" s="62"/>
      <c r="AR17" s="62"/>
      <c r="AS17" s="62"/>
      <c r="AT17" s="62"/>
      <c r="AU17" s="62"/>
      <c r="AV17" s="62"/>
      <c r="AW17" s="62"/>
      <c r="AX17" s="62"/>
      <c r="AY17" s="62"/>
      <c r="AZ17" s="62"/>
      <c r="BA17" s="62"/>
      <c r="BB17" s="62"/>
      <c r="BC17" s="62"/>
    </row>
    <row r="18" spans="1:55" s="29" customFormat="1" ht="22.5" customHeight="1" thickBot="1">
      <c r="A18" s="117" t="s">
        <v>743</v>
      </c>
      <c r="B18" s="121">
        <v>0.18</v>
      </c>
      <c r="C18" s="123">
        <f>B18+D18+E18+F18+G18+H18+I18+J18+K18+L18+M18+N18+O18</f>
        <v>0.35000000000000009</v>
      </c>
      <c r="D18" s="37">
        <v>0.01</v>
      </c>
      <c r="E18" s="37">
        <v>0</v>
      </c>
      <c r="F18" s="37">
        <v>0.01</v>
      </c>
      <c r="G18" s="37">
        <v>0.01</v>
      </c>
      <c r="H18" s="37">
        <v>0.01</v>
      </c>
      <c r="I18" s="37">
        <v>0.02</v>
      </c>
      <c r="J18" s="37">
        <v>0.02</v>
      </c>
      <c r="K18" s="37">
        <v>0.02</v>
      </c>
      <c r="L18" s="37">
        <v>0.02</v>
      </c>
      <c r="M18" s="37">
        <v>0.02</v>
      </c>
      <c r="N18" s="37">
        <v>0.03</v>
      </c>
      <c r="O18" s="37"/>
      <c r="P18" s="147" t="s">
        <v>511</v>
      </c>
      <c r="Q18" s="729" t="s">
        <v>512</v>
      </c>
      <c r="R18" s="204" t="s">
        <v>776</v>
      </c>
      <c r="S18" s="204">
        <v>251</v>
      </c>
      <c r="T18" s="107" t="s">
        <v>528</v>
      </c>
      <c r="U18" s="11" t="s">
        <v>529</v>
      </c>
      <c r="V18" s="33" t="s">
        <v>509</v>
      </c>
      <c r="W18" s="34">
        <f>AD18/1000000</f>
        <v>28.542414999999998</v>
      </c>
      <c r="X18" s="35" t="s">
        <v>510</v>
      </c>
      <c r="Y18" s="36" t="e">
        <f>W18-#REF!+Y19</f>
        <v>#REF!</v>
      </c>
      <c r="Z18" s="56" t="s">
        <v>513</v>
      </c>
      <c r="AA18" s="32" t="s">
        <v>530</v>
      </c>
      <c r="AB18" s="172"/>
      <c r="AC18" s="57" t="s">
        <v>509</v>
      </c>
      <c r="AD18" s="58">
        <f>14271000+14271415</f>
        <v>28542415</v>
      </c>
      <c r="AE18" s="59"/>
      <c r="AF18" s="60"/>
      <c r="AG18" s="61"/>
      <c r="AH18" s="60"/>
      <c r="AI18" s="60"/>
      <c r="AJ18" s="60"/>
      <c r="AK18" s="60"/>
      <c r="AL18" s="60"/>
      <c r="AM18" s="60"/>
      <c r="AN18" s="60"/>
      <c r="AO18" s="60"/>
      <c r="AP18" s="60"/>
      <c r="AQ18" s="60"/>
      <c r="AR18" s="60"/>
      <c r="AS18" s="60"/>
      <c r="AT18" s="60"/>
      <c r="AU18" s="60"/>
      <c r="AV18" s="60"/>
      <c r="AW18" s="60"/>
      <c r="AX18" s="60"/>
      <c r="AY18" s="60"/>
      <c r="AZ18" s="60"/>
      <c r="BA18" s="60"/>
      <c r="BB18" s="60"/>
      <c r="BC18" s="60"/>
    </row>
    <row r="19" spans="1:55" s="29" customFormat="1" ht="22.5" customHeight="1" thickBot="1">
      <c r="A19" s="118"/>
      <c r="B19" s="122"/>
      <c r="C19" s="124"/>
      <c r="D19" s="175" t="s">
        <v>531</v>
      </c>
      <c r="E19" s="106" t="s">
        <v>144</v>
      </c>
      <c r="F19" s="106" t="s">
        <v>532</v>
      </c>
      <c r="G19" s="106" t="s">
        <v>533</v>
      </c>
      <c r="H19" s="106" t="s">
        <v>534</v>
      </c>
      <c r="I19" s="106" t="s">
        <v>535</v>
      </c>
      <c r="J19" s="106" t="s">
        <v>536</v>
      </c>
      <c r="K19" s="106" t="s">
        <v>537</v>
      </c>
      <c r="L19" s="106" t="s">
        <v>538</v>
      </c>
      <c r="M19" s="106" t="s">
        <v>539</v>
      </c>
      <c r="N19" s="106" t="s">
        <v>540</v>
      </c>
      <c r="O19" s="106"/>
      <c r="P19" s="148"/>
      <c r="Q19" s="730"/>
      <c r="R19" s="205"/>
      <c r="S19" s="205"/>
      <c r="T19" s="108"/>
      <c r="U19" s="49" t="s">
        <v>514</v>
      </c>
      <c r="V19" s="167" t="s">
        <v>515</v>
      </c>
      <c r="W19" s="168"/>
      <c r="X19" s="47" t="s">
        <v>516</v>
      </c>
      <c r="Y19" s="48">
        <f>AF19/1000000</f>
        <v>0</v>
      </c>
      <c r="Z19" s="32"/>
      <c r="AA19" s="51"/>
      <c r="AB19" s="173"/>
      <c r="AC19" s="57"/>
      <c r="AD19" s="58"/>
      <c r="AE19" s="59" t="s">
        <v>527</v>
      </c>
      <c r="AF19" s="60">
        <f>SUM(AG19:BC19)</f>
        <v>0</v>
      </c>
      <c r="AG19" s="62"/>
      <c r="AH19" s="62"/>
      <c r="AI19" s="62"/>
      <c r="AJ19" s="62"/>
      <c r="AK19" s="62"/>
      <c r="AL19" s="62"/>
      <c r="AM19" s="62"/>
      <c r="AN19" s="62"/>
      <c r="AO19" s="62"/>
      <c r="AP19" s="62"/>
      <c r="AQ19" s="62"/>
      <c r="AR19" s="62"/>
      <c r="AS19" s="62"/>
      <c r="AT19" s="62"/>
      <c r="AU19" s="62"/>
      <c r="AV19" s="62"/>
      <c r="AW19" s="62"/>
      <c r="AX19" s="62"/>
      <c r="AY19" s="62"/>
      <c r="AZ19" s="62"/>
      <c r="BA19" s="62"/>
      <c r="BB19" s="62"/>
      <c r="BC19" s="62"/>
    </row>
    <row r="20" spans="1:55" s="29" customFormat="1" ht="22.5" customHeight="1" thickBot="1">
      <c r="A20" s="117" t="s">
        <v>744</v>
      </c>
      <c r="B20" s="121">
        <v>0.26</v>
      </c>
      <c r="C20" s="123">
        <f>B20+D20+E20+F20+G20+H20+I20+J20+K20+L20+M20+N20+O20</f>
        <v>0.70000000000000018</v>
      </c>
      <c r="D20" s="37">
        <v>0.01</v>
      </c>
      <c r="E20" s="37">
        <v>0.01</v>
      </c>
      <c r="F20" s="37">
        <v>0.15</v>
      </c>
      <c r="G20" s="37">
        <v>0.15</v>
      </c>
      <c r="H20" s="37">
        <v>7.0000000000000007E-2</v>
      </c>
      <c r="I20" s="37">
        <v>0.01</v>
      </c>
      <c r="J20" s="37">
        <v>0.01</v>
      </c>
      <c r="K20" s="37">
        <v>0.01</v>
      </c>
      <c r="L20" s="37">
        <v>0.01</v>
      </c>
      <c r="M20" s="37">
        <v>0.01</v>
      </c>
      <c r="N20" s="37"/>
      <c r="O20" s="37"/>
      <c r="P20" s="147" t="s">
        <v>335</v>
      </c>
      <c r="Q20" s="729" t="s">
        <v>336</v>
      </c>
      <c r="R20" s="204" t="s">
        <v>783</v>
      </c>
      <c r="S20" s="204">
        <v>279</v>
      </c>
      <c r="T20" s="178" t="s">
        <v>330</v>
      </c>
      <c r="U20" s="11" t="s">
        <v>331</v>
      </c>
      <c r="V20" s="33" t="s">
        <v>333</v>
      </c>
      <c r="W20" s="34">
        <f>AD20/1000000</f>
        <v>8.0600919999999991</v>
      </c>
      <c r="X20" s="35" t="s">
        <v>334</v>
      </c>
      <c r="Y20" s="36" t="e">
        <f>W20-#REF!+Y21</f>
        <v>#REF!</v>
      </c>
      <c r="Z20" s="56" t="s">
        <v>337</v>
      </c>
      <c r="AA20" s="32" t="s">
        <v>338</v>
      </c>
      <c r="AB20" s="172"/>
      <c r="AC20" s="57" t="s">
        <v>332</v>
      </c>
      <c r="AD20" s="58">
        <f>8060092</f>
        <v>8060092</v>
      </c>
      <c r="AE20" s="59"/>
      <c r="AF20" s="60"/>
      <c r="AG20" s="61"/>
      <c r="AH20" s="60"/>
      <c r="AI20" s="60"/>
      <c r="AJ20" s="60"/>
      <c r="AK20" s="60"/>
      <c r="AL20" s="60"/>
      <c r="AM20" s="60"/>
      <c r="AN20" s="60"/>
      <c r="AO20" s="60"/>
      <c r="AP20" s="60"/>
      <c r="AQ20" s="60"/>
      <c r="AR20" s="60"/>
      <c r="AS20" s="60"/>
      <c r="AT20" s="60"/>
      <c r="AU20" s="60"/>
      <c r="AV20" s="60"/>
      <c r="AW20" s="60"/>
      <c r="AX20" s="60"/>
      <c r="AY20" s="60"/>
      <c r="AZ20" s="60"/>
      <c r="BA20" s="60"/>
      <c r="BB20" s="60"/>
      <c r="BC20" s="60"/>
    </row>
    <row r="21" spans="1:55" s="29" customFormat="1" ht="22.5" customHeight="1" thickBot="1">
      <c r="A21" s="118"/>
      <c r="B21" s="122"/>
      <c r="C21" s="124"/>
      <c r="D21" s="106" t="s">
        <v>342</v>
      </c>
      <c r="E21" s="106" t="s">
        <v>146</v>
      </c>
      <c r="F21" s="106" t="s">
        <v>343</v>
      </c>
      <c r="G21" s="106" t="s">
        <v>344</v>
      </c>
      <c r="H21" s="106" t="s">
        <v>215</v>
      </c>
      <c r="I21" s="106" t="s">
        <v>345</v>
      </c>
      <c r="J21" s="106" t="s">
        <v>346</v>
      </c>
      <c r="K21" s="106" t="s">
        <v>270</v>
      </c>
      <c r="L21" s="106" t="s">
        <v>347</v>
      </c>
      <c r="M21" s="106" t="s">
        <v>348</v>
      </c>
      <c r="N21" s="175"/>
      <c r="O21" s="106"/>
      <c r="P21" s="148"/>
      <c r="Q21" s="730"/>
      <c r="R21" s="205"/>
      <c r="S21" s="205"/>
      <c r="T21" s="179"/>
      <c r="U21" s="49" t="s">
        <v>339</v>
      </c>
      <c r="V21" s="167" t="s">
        <v>340</v>
      </c>
      <c r="W21" s="168"/>
      <c r="X21" s="47" t="s">
        <v>341</v>
      </c>
      <c r="Y21" s="48">
        <f>AF21/1000000</f>
        <v>0</v>
      </c>
      <c r="Z21" s="32"/>
      <c r="AA21" s="51"/>
      <c r="AB21" s="173"/>
      <c r="AC21" s="57"/>
      <c r="AD21" s="58"/>
      <c r="AE21" s="59" t="s">
        <v>349</v>
      </c>
      <c r="AF21" s="60">
        <f>SUM(AG21:BC21)</f>
        <v>0</v>
      </c>
      <c r="AG21" s="62"/>
      <c r="AH21" s="62"/>
      <c r="AI21" s="62"/>
      <c r="AJ21" s="62"/>
      <c r="AK21" s="62"/>
      <c r="AL21" s="62"/>
      <c r="AM21" s="62"/>
      <c r="AN21" s="62"/>
      <c r="AO21" s="62"/>
      <c r="AP21" s="62"/>
      <c r="AQ21" s="62"/>
      <c r="AR21" s="62"/>
      <c r="AS21" s="62"/>
      <c r="AT21" s="62"/>
      <c r="AU21" s="62"/>
      <c r="AV21" s="62"/>
      <c r="AW21" s="62"/>
      <c r="AX21" s="62"/>
      <c r="AY21" s="62"/>
      <c r="AZ21" s="62"/>
      <c r="BA21" s="62"/>
      <c r="BB21" s="62"/>
      <c r="BC21" s="62"/>
    </row>
    <row r="22" spans="1:55" s="29" customFormat="1" ht="22.5" customHeight="1" thickBot="1">
      <c r="A22" s="117" t="s">
        <v>745</v>
      </c>
      <c r="B22" s="121">
        <v>0.45</v>
      </c>
      <c r="C22" s="123">
        <f>B22+D22+E22+F22+G22+H22+I22+J22+K22+L22+M22+N22+O22</f>
        <v>0.62000000000000011</v>
      </c>
      <c r="D22" s="37">
        <v>0</v>
      </c>
      <c r="E22" s="37">
        <v>0</v>
      </c>
      <c r="F22" s="37">
        <v>0.01</v>
      </c>
      <c r="G22" s="37">
        <v>0</v>
      </c>
      <c r="H22" s="37">
        <v>0.02</v>
      </c>
      <c r="I22" s="37">
        <v>0.02</v>
      </c>
      <c r="J22" s="37">
        <v>0.02</v>
      </c>
      <c r="K22" s="37">
        <v>0.02</v>
      </c>
      <c r="L22" s="37">
        <v>0.02</v>
      </c>
      <c r="M22" s="37">
        <v>0.03</v>
      </c>
      <c r="N22" s="37">
        <v>0.03</v>
      </c>
      <c r="O22" s="37"/>
      <c r="P22" s="147" t="s">
        <v>208</v>
      </c>
      <c r="Q22" s="729" t="s">
        <v>543</v>
      </c>
      <c r="R22" s="204" t="s">
        <v>776</v>
      </c>
      <c r="S22" s="204">
        <v>188</v>
      </c>
      <c r="T22" s="178" t="s">
        <v>541</v>
      </c>
      <c r="U22" s="11" t="s">
        <v>542</v>
      </c>
      <c r="V22" s="33" t="s">
        <v>11</v>
      </c>
      <c r="W22" s="34">
        <f>AD22/1000000</f>
        <v>18.678576</v>
      </c>
      <c r="X22" s="35" t="s">
        <v>7</v>
      </c>
      <c r="Y22" s="36" t="e">
        <f>W22-#REF!+Y23</f>
        <v>#REF!</v>
      </c>
      <c r="Z22" s="56" t="s">
        <v>544</v>
      </c>
      <c r="AA22" s="32" t="s">
        <v>545</v>
      </c>
      <c r="AB22" s="172"/>
      <c r="AC22" s="57" t="s">
        <v>11</v>
      </c>
      <c r="AD22" s="58">
        <v>18678576</v>
      </c>
      <c r="AE22" s="59"/>
      <c r="AF22" s="60"/>
      <c r="AG22" s="61"/>
      <c r="AH22" s="60"/>
      <c r="AI22" s="60"/>
      <c r="AJ22" s="60"/>
      <c r="AK22" s="60"/>
      <c r="AL22" s="60"/>
      <c r="AM22" s="60"/>
      <c r="AN22" s="60"/>
      <c r="AO22" s="60"/>
      <c r="AP22" s="60"/>
      <c r="AQ22" s="60"/>
      <c r="AR22" s="60"/>
      <c r="AS22" s="60"/>
      <c r="AT22" s="60"/>
      <c r="AU22" s="60"/>
      <c r="AV22" s="60"/>
      <c r="AW22" s="60"/>
      <c r="AX22" s="60"/>
      <c r="AY22" s="60"/>
      <c r="AZ22" s="60"/>
      <c r="BA22" s="60"/>
      <c r="BB22" s="60"/>
      <c r="BC22" s="60"/>
    </row>
    <row r="23" spans="1:55" s="29" customFormat="1" ht="22.5" customHeight="1" thickBot="1">
      <c r="A23" s="118"/>
      <c r="B23" s="122"/>
      <c r="C23" s="124"/>
      <c r="D23" s="106" t="s">
        <v>549</v>
      </c>
      <c r="E23" s="106" t="s">
        <v>144</v>
      </c>
      <c r="F23" s="106" t="s">
        <v>550</v>
      </c>
      <c r="G23" s="106" t="s">
        <v>422</v>
      </c>
      <c r="H23" s="106" t="s">
        <v>551</v>
      </c>
      <c r="I23" s="106" t="s">
        <v>552</v>
      </c>
      <c r="J23" s="106" t="s">
        <v>553</v>
      </c>
      <c r="K23" s="106" t="s">
        <v>554</v>
      </c>
      <c r="L23" s="106" t="s">
        <v>555</v>
      </c>
      <c r="M23" s="106" t="s">
        <v>556</v>
      </c>
      <c r="N23" s="106" t="s">
        <v>557</v>
      </c>
      <c r="O23" s="106"/>
      <c r="P23" s="148"/>
      <c r="Q23" s="730"/>
      <c r="R23" s="205"/>
      <c r="S23" s="205"/>
      <c r="T23" s="179"/>
      <c r="U23" s="49" t="s">
        <v>546</v>
      </c>
      <c r="V23" s="167" t="s">
        <v>27</v>
      </c>
      <c r="W23" s="168"/>
      <c r="X23" s="47" t="s">
        <v>547</v>
      </c>
      <c r="Y23" s="48">
        <f>AF23/1000000</f>
        <v>0</v>
      </c>
      <c r="Z23" s="32"/>
      <c r="AA23" s="51"/>
      <c r="AB23" s="173"/>
      <c r="AC23" s="57"/>
      <c r="AD23" s="58"/>
      <c r="AE23" s="59" t="s">
        <v>16</v>
      </c>
      <c r="AF23" s="60">
        <f>SUM(AG23:BC23)</f>
        <v>0</v>
      </c>
      <c r="AG23" s="62"/>
      <c r="AH23" s="62"/>
      <c r="AI23" s="62"/>
      <c r="AJ23" s="62"/>
      <c r="AK23" s="62"/>
      <c r="AL23" s="62"/>
      <c r="AM23" s="62"/>
      <c r="AN23" s="62"/>
      <c r="AO23" s="62"/>
      <c r="AP23" s="62"/>
      <c r="AQ23" s="62"/>
      <c r="AR23" s="62"/>
      <c r="AS23" s="62"/>
      <c r="AT23" s="62"/>
      <c r="AU23" s="62"/>
      <c r="AV23" s="62"/>
      <c r="AW23" s="62"/>
      <c r="AX23" s="62"/>
      <c r="AY23" s="62"/>
      <c r="AZ23" s="62"/>
      <c r="BA23" s="62"/>
      <c r="BB23" s="62"/>
      <c r="BC23" s="62"/>
    </row>
    <row r="24" spans="1:55" s="29" customFormat="1" ht="22.5" customHeight="1" thickBot="1">
      <c r="A24" s="117" t="s">
        <v>746</v>
      </c>
      <c r="B24" s="121">
        <v>0.73</v>
      </c>
      <c r="C24" s="123">
        <f>B24+D24+E24+F24+G24+H24+I24+J24+K24+L24+M24+N24+O24</f>
        <v>0.90000000000000013</v>
      </c>
      <c r="D24" s="37">
        <v>0</v>
      </c>
      <c r="E24" s="37">
        <v>0</v>
      </c>
      <c r="F24" s="37">
        <v>0.01</v>
      </c>
      <c r="G24" s="37">
        <v>0.01</v>
      </c>
      <c r="H24" s="37">
        <v>0.02</v>
      </c>
      <c r="I24" s="37">
        <v>0.02</v>
      </c>
      <c r="J24" s="37">
        <v>0.02</v>
      </c>
      <c r="K24" s="37">
        <v>0.02</v>
      </c>
      <c r="L24" s="37">
        <v>0.02</v>
      </c>
      <c r="M24" s="37">
        <v>0.02</v>
      </c>
      <c r="N24" s="37">
        <v>0.03</v>
      </c>
      <c r="O24" s="37"/>
      <c r="P24" s="147" t="s">
        <v>561</v>
      </c>
      <c r="Q24" s="729" t="s">
        <v>543</v>
      </c>
      <c r="R24" s="204" t="s">
        <v>776</v>
      </c>
      <c r="S24" s="204">
        <v>216</v>
      </c>
      <c r="T24" s="178" t="s">
        <v>558</v>
      </c>
      <c r="U24" s="11" t="s">
        <v>559</v>
      </c>
      <c r="V24" s="33" t="s">
        <v>560</v>
      </c>
      <c r="W24" s="34">
        <f>AD24/1000000</f>
        <v>14.871537</v>
      </c>
      <c r="X24" s="35" t="s">
        <v>7</v>
      </c>
      <c r="Y24" s="36" t="e">
        <f>W24-#REF!+Y25</f>
        <v>#REF!</v>
      </c>
      <c r="Z24" s="56" t="s">
        <v>544</v>
      </c>
      <c r="AA24" s="32" t="s">
        <v>545</v>
      </c>
      <c r="AB24" s="172"/>
      <c r="AC24" s="57" t="s">
        <v>562</v>
      </c>
      <c r="AD24" s="58">
        <v>14871537</v>
      </c>
      <c r="AE24" s="59"/>
      <c r="AF24" s="60"/>
      <c r="AG24" s="61"/>
      <c r="AH24" s="60"/>
      <c r="AI24" s="60"/>
      <c r="AJ24" s="60"/>
      <c r="AK24" s="60"/>
      <c r="AL24" s="60"/>
      <c r="AM24" s="60"/>
      <c r="AN24" s="60"/>
      <c r="AO24" s="60"/>
      <c r="AP24" s="60"/>
      <c r="AQ24" s="60"/>
      <c r="AR24" s="60"/>
      <c r="AS24" s="60"/>
      <c r="AT24" s="60"/>
      <c r="AU24" s="60"/>
      <c r="AV24" s="60"/>
      <c r="AW24" s="60"/>
      <c r="AX24" s="60"/>
      <c r="AY24" s="60"/>
      <c r="AZ24" s="60"/>
      <c r="BA24" s="60"/>
      <c r="BB24" s="60"/>
      <c r="BC24" s="60"/>
    </row>
    <row r="25" spans="1:55" s="29" customFormat="1" ht="22.5" customHeight="1" thickBot="1">
      <c r="A25" s="118"/>
      <c r="B25" s="122"/>
      <c r="C25" s="124"/>
      <c r="D25" s="106" t="s">
        <v>549</v>
      </c>
      <c r="E25" s="106" t="s">
        <v>144</v>
      </c>
      <c r="F25" s="106" t="s">
        <v>563</v>
      </c>
      <c r="G25" s="106" t="s">
        <v>564</v>
      </c>
      <c r="H25" s="106" t="s">
        <v>565</v>
      </c>
      <c r="I25" s="106" t="s">
        <v>566</v>
      </c>
      <c r="J25" s="106" t="s">
        <v>567</v>
      </c>
      <c r="K25" s="106" t="s">
        <v>568</v>
      </c>
      <c r="L25" s="106" t="s">
        <v>569</v>
      </c>
      <c r="M25" s="106" t="s">
        <v>570</v>
      </c>
      <c r="N25" s="106" t="s">
        <v>571</v>
      </c>
      <c r="O25" s="106"/>
      <c r="P25" s="148"/>
      <c r="Q25" s="730"/>
      <c r="R25" s="205"/>
      <c r="S25" s="205"/>
      <c r="T25" s="179"/>
      <c r="U25" s="49" t="s">
        <v>546</v>
      </c>
      <c r="V25" s="167" t="s">
        <v>27</v>
      </c>
      <c r="W25" s="168"/>
      <c r="X25" s="47" t="s">
        <v>9</v>
      </c>
      <c r="Y25" s="48">
        <f>AF25/1000000</f>
        <v>0</v>
      </c>
      <c r="Z25" s="32"/>
      <c r="AA25" s="51"/>
      <c r="AB25" s="173"/>
      <c r="AC25" s="57"/>
      <c r="AD25" s="58"/>
      <c r="AE25" s="59" t="s">
        <v>572</v>
      </c>
      <c r="AF25" s="60">
        <f>SUM(AG25:BC25)</f>
        <v>0</v>
      </c>
      <c r="AG25" s="62"/>
      <c r="AH25" s="62"/>
      <c r="AI25" s="62"/>
      <c r="AJ25" s="62"/>
      <c r="AK25" s="62"/>
      <c r="AL25" s="62"/>
      <c r="AM25" s="62"/>
      <c r="AN25" s="62"/>
      <c r="AO25" s="62"/>
      <c r="AP25" s="62"/>
      <c r="AQ25" s="62"/>
      <c r="AR25" s="62"/>
      <c r="AS25" s="62"/>
      <c r="AT25" s="62"/>
      <c r="AU25" s="62"/>
      <c r="AV25" s="62"/>
      <c r="AW25" s="62"/>
      <c r="AX25" s="62"/>
      <c r="AY25" s="62"/>
      <c r="AZ25" s="62"/>
      <c r="BA25" s="62"/>
      <c r="BB25" s="62"/>
      <c r="BC25" s="62"/>
    </row>
    <row r="26" spans="1:55" s="29" customFormat="1" ht="22.5" customHeight="1" thickBot="1">
      <c r="A26" s="117" t="s">
        <v>747</v>
      </c>
      <c r="B26" s="121">
        <v>0.3</v>
      </c>
      <c r="C26" s="123">
        <f>B26+D26+E26+F26+G26+H26+I26+J26+K26+L26+M26+N26+O26</f>
        <v>0.50000000000000011</v>
      </c>
      <c r="D26" s="37">
        <v>0</v>
      </c>
      <c r="E26" s="37">
        <v>0</v>
      </c>
      <c r="F26" s="37">
        <v>0.02</v>
      </c>
      <c r="G26" s="37">
        <v>0.02</v>
      </c>
      <c r="H26" s="37">
        <v>0.03</v>
      </c>
      <c r="I26" s="37">
        <v>0.03</v>
      </c>
      <c r="J26" s="37">
        <v>0.03</v>
      </c>
      <c r="K26" s="37">
        <v>0.02</v>
      </c>
      <c r="L26" s="37">
        <v>0.02</v>
      </c>
      <c r="M26" s="37">
        <v>0</v>
      </c>
      <c r="N26" s="37">
        <v>0.03</v>
      </c>
      <c r="O26" s="37"/>
      <c r="P26" s="147" t="s">
        <v>561</v>
      </c>
      <c r="Q26" s="729" t="s">
        <v>576</v>
      </c>
      <c r="R26" s="204" t="s">
        <v>776</v>
      </c>
      <c r="S26" s="204">
        <v>312</v>
      </c>
      <c r="T26" s="178" t="s">
        <v>573</v>
      </c>
      <c r="U26" s="11" t="s">
        <v>574</v>
      </c>
      <c r="V26" s="33" t="s">
        <v>560</v>
      </c>
      <c r="W26" s="34">
        <f>AD26/1000000</f>
        <v>23.567520999999999</v>
      </c>
      <c r="X26" s="35" t="s">
        <v>575</v>
      </c>
      <c r="Y26" s="36" t="e">
        <f>W26-#REF!+Y27</f>
        <v>#REF!</v>
      </c>
      <c r="Z26" s="56" t="s">
        <v>544</v>
      </c>
      <c r="AA26" s="32" t="s">
        <v>545</v>
      </c>
      <c r="AB26" s="125"/>
      <c r="AC26" s="57" t="s">
        <v>560</v>
      </c>
      <c r="AD26" s="58">
        <v>23567521</v>
      </c>
      <c r="AE26" s="59"/>
      <c r="AF26" s="60"/>
      <c r="AG26" s="61"/>
      <c r="AH26" s="60"/>
      <c r="AI26" s="60"/>
      <c r="AJ26" s="60"/>
      <c r="AK26" s="60"/>
      <c r="AL26" s="60"/>
      <c r="AM26" s="60"/>
      <c r="AN26" s="60"/>
      <c r="AO26" s="60"/>
      <c r="AP26" s="60"/>
      <c r="AQ26" s="60"/>
      <c r="AR26" s="60"/>
      <c r="AS26" s="60"/>
      <c r="AT26" s="60"/>
      <c r="AU26" s="60"/>
      <c r="AV26" s="60"/>
      <c r="AW26" s="60"/>
      <c r="AX26" s="60"/>
      <c r="AY26" s="60"/>
      <c r="AZ26" s="60"/>
      <c r="BA26" s="60"/>
      <c r="BB26" s="60"/>
      <c r="BC26" s="60"/>
    </row>
    <row r="27" spans="1:55" s="29" customFormat="1" ht="22.5" customHeight="1" thickBot="1">
      <c r="A27" s="118"/>
      <c r="B27" s="122"/>
      <c r="C27" s="124"/>
      <c r="D27" s="106" t="s">
        <v>548</v>
      </c>
      <c r="E27" s="106" t="s">
        <v>144</v>
      </c>
      <c r="F27" s="106" t="s">
        <v>580</v>
      </c>
      <c r="G27" s="106" t="s">
        <v>581</v>
      </c>
      <c r="H27" s="106" t="s">
        <v>582</v>
      </c>
      <c r="I27" s="106" t="s">
        <v>583</v>
      </c>
      <c r="J27" s="106" t="s">
        <v>584</v>
      </c>
      <c r="K27" s="106" t="s">
        <v>585</v>
      </c>
      <c r="L27" s="106" t="s">
        <v>586</v>
      </c>
      <c r="M27" s="175" t="s">
        <v>587</v>
      </c>
      <c r="N27" s="106" t="s">
        <v>588</v>
      </c>
      <c r="O27" s="106"/>
      <c r="P27" s="148"/>
      <c r="Q27" s="730"/>
      <c r="R27" s="205"/>
      <c r="S27" s="205"/>
      <c r="T27" s="179"/>
      <c r="U27" s="49" t="s">
        <v>577</v>
      </c>
      <c r="V27" s="167" t="s">
        <v>578</v>
      </c>
      <c r="W27" s="168"/>
      <c r="X27" s="47" t="s">
        <v>579</v>
      </c>
      <c r="Y27" s="48">
        <f>AF27/1000000</f>
        <v>0</v>
      </c>
      <c r="Z27" s="32"/>
      <c r="AA27" s="51"/>
      <c r="AB27" s="126"/>
      <c r="AC27" s="57"/>
      <c r="AD27" s="58"/>
      <c r="AE27" s="59" t="s">
        <v>589</v>
      </c>
      <c r="AF27" s="60">
        <f>SUM(AG27:BC27)</f>
        <v>0</v>
      </c>
      <c r="AG27" s="62"/>
      <c r="AH27" s="62"/>
      <c r="AI27" s="62"/>
      <c r="AJ27" s="62"/>
      <c r="AK27" s="62"/>
      <c r="AL27" s="62"/>
      <c r="AM27" s="62"/>
      <c r="AN27" s="62"/>
      <c r="AO27" s="62"/>
      <c r="AP27" s="62"/>
      <c r="AQ27" s="62"/>
      <c r="AR27" s="62"/>
      <c r="AS27" s="62"/>
      <c r="AT27" s="62"/>
      <c r="AU27" s="62"/>
      <c r="AV27" s="62"/>
      <c r="AW27" s="62"/>
      <c r="AX27" s="62"/>
      <c r="AY27" s="62"/>
      <c r="AZ27" s="62"/>
      <c r="BA27" s="62"/>
      <c r="BB27" s="62"/>
      <c r="BC27" s="62"/>
    </row>
    <row r="28" spans="1:55" s="29" customFormat="1" ht="22.5" customHeight="1" thickBot="1">
      <c r="A28" s="117" t="s">
        <v>749</v>
      </c>
      <c r="B28" s="121">
        <v>0.04</v>
      </c>
      <c r="C28" s="123">
        <f>B28+D28+E28+F28+G28+H28+I28+J28+K28+L28+M28+N28+O28</f>
        <v>0.58000000000000007</v>
      </c>
      <c r="D28" s="37">
        <v>0.01</v>
      </c>
      <c r="E28" s="37">
        <v>0.01</v>
      </c>
      <c r="F28" s="37">
        <v>0.15</v>
      </c>
      <c r="G28" s="37">
        <v>0.15</v>
      </c>
      <c r="H28" s="37">
        <v>0.05</v>
      </c>
      <c r="I28" s="37">
        <v>0.05</v>
      </c>
      <c r="J28" s="37">
        <v>0.03</v>
      </c>
      <c r="K28" s="37">
        <v>0.02</v>
      </c>
      <c r="L28" s="37">
        <v>0.02</v>
      </c>
      <c r="M28" s="37">
        <v>0.02</v>
      </c>
      <c r="N28" s="37">
        <v>0.03</v>
      </c>
      <c r="O28" s="37"/>
      <c r="P28" s="169" t="s">
        <v>208</v>
      </c>
      <c r="Q28" s="729" t="s">
        <v>618</v>
      </c>
      <c r="R28" s="204" t="s">
        <v>783</v>
      </c>
      <c r="S28" s="204">
        <v>331</v>
      </c>
      <c r="T28" s="178" t="s">
        <v>616</v>
      </c>
      <c r="U28" s="11" t="s">
        <v>617</v>
      </c>
      <c r="V28" s="33" t="s">
        <v>11</v>
      </c>
      <c r="W28" s="34">
        <f>AD28/1000000</f>
        <v>27.226395</v>
      </c>
      <c r="X28" s="35" t="s">
        <v>7</v>
      </c>
      <c r="Y28" s="36" t="e">
        <f>W28-#REF!+Y29</f>
        <v>#REF!</v>
      </c>
      <c r="Z28" s="56" t="s">
        <v>33</v>
      </c>
      <c r="AA28" s="32" t="s">
        <v>34</v>
      </c>
      <c r="AB28" s="125"/>
      <c r="AC28" s="57" t="s">
        <v>11</v>
      </c>
      <c r="AD28" s="58">
        <f>27226395</f>
        <v>27226395</v>
      </c>
      <c r="AE28" s="59"/>
      <c r="AF28" s="60"/>
      <c r="AG28" s="61"/>
      <c r="AH28" s="60"/>
      <c r="AI28" s="60"/>
      <c r="AJ28" s="60"/>
      <c r="AK28" s="60"/>
      <c r="AL28" s="60"/>
      <c r="AM28" s="60"/>
      <c r="AN28" s="60"/>
      <c r="AO28" s="60"/>
      <c r="AP28" s="60"/>
      <c r="AQ28" s="60"/>
      <c r="AR28" s="60"/>
      <c r="AS28" s="60"/>
      <c r="AT28" s="60"/>
      <c r="AU28" s="60"/>
      <c r="AV28" s="60"/>
      <c r="AW28" s="60"/>
      <c r="AX28" s="60"/>
      <c r="AY28" s="60"/>
      <c r="AZ28" s="60"/>
      <c r="BA28" s="60"/>
      <c r="BB28" s="60"/>
      <c r="BC28" s="60"/>
    </row>
    <row r="29" spans="1:55" s="29" customFormat="1" ht="22.5" customHeight="1" thickBot="1">
      <c r="A29" s="118"/>
      <c r="B29" s="122"/>
      <c r="C29" s="124"/>
      <c r="D29" s="106" t="s">
        <v>622</v>
      </c>
      <c r="E29" s="106" t="s">
        <v>147</v>
      </c>
      <c r="F29" s="106" t="s">
        <v>623</v>
      </c>
      <c r="G29" s="106" t="s">
        <v>624</v>
      </c>
      <c r="H29" s="106" t="s">
        <v>217</v>
      </c>
      <c r="I29" s="175" t="s">
        <v>625</v>
      </c>
      <c r="J29" s="175" t="s">
        <v>626</v>
      </c>
      <c r="K29" s="106" t="s">
        <v>627</v>
      </c>
      <c r="L29" s="106" t="s">
        <v>628</v>
      </c>
      <c r="M29" s="175" t="s">
        <v>629</v>
      </c>
      <c r="N29" s="183" t="s">
        <v>630</v>
      </c>
      <c r="O29" s="106"/>
      <c r="P29" s="170"/>
      <c r="Q29" s="730"/>
      <c r="R29" s="205"/>
      <c r="S29" s="205"/>
      <c r="T29" s="179"/>
      <c r="U29" s="49" t="s">
        <v>619</v>
      </c>
      <c r="V29" s="167" t="s">
        <v>620</v>
      </c>
      <c r="W29" s="168"/>
      <c r="X29" s="47" t="s">
        <v>621</v>
      </c>
      <c r="Y29" s="48">
        <f>AF29/1000000</f>
        <v>0</v>
      </c>
      <c r="Z29" s="32"/>
      <c r="AA29" s="51"/>
      <c r="AB29" s="126"/>
      <c r="AC29" s="57"/>
      <c r="AD29" s="58"/>
      <c r="AE29" s="59" t="s">
        <v>631</v>
      </c>
      <c r="AF29" s="60">
        <f>SUM(AG29:BC29)</f>
        <v>0</v>
      </c>
      <c r="AG29" s="62"/>
      <c r="AH29" s="62"/>
      <c r="AI29" s="62"/>
      <c r="AJ29" s="62"/>
      <c r="AK29" s="62"/>
      <c r="AL29" s="62"/>
      <c r="AM29" s="62"/>
      <c r="AN29" s="62"/>
      <c r="AO29" s="62"/>
      <c r="AP29" s="62"/>
      <c r="AQ29" s="62"/>
      <c r="AR29" s="62"/>
      <c r="AS29" s="62"/>
      <c r="AT29" s="62"/>
      <c r="AU29" s="62"/>
      <c r="AV29" s="62"/>
      <c r="AW29" s="62"/>
      <c r="AX29" s="62"/>
      <c r="AY29" s="62"/>
      <c r="AZ29" s="62"/>
      <c r="BA29" s="62"/>
      <c r="BB29" s="62"/>
      <c r="BC29" s="62"/>
    </row>
    <row r="30" spans="1:55" s="29" customFormat="1" ht="22.5" customHeight="1" thickBot="1">
      <c r="A30" s="117" t="s">
        <v>750</v>
      </c>
      <c r="B30" s="121">
        <v>0</v>
      </c>
      <c r="C30" s="123">
        <f>B30+D30+E30+F30+G30+H30+I30+J30+K30+L30+M30+N30+O30</f>
        <v>0.47</v>
      </c>
      <c r="D30" s="37"/>
      <c r="E30" s="37"/>
      <c r="F30" s="37"/>
      <c r="G30" s="37">
        <v>0.3</v>
      </c>
      <c r="H30" s="37">
        <v>0.05</v>
      </c>
      <c r="I30" s="37">
        <v>0.04</v>
      </c>
      <c r="J30" s="37">
        <v>0.03</v>
      </c>
      <c r="K30" s="37">
        <v>0.02</v>
      </c>
      <c r="L30" s="37">
        <v>0</v>
      </c>
      <c r="M30" s="37">
        <v>0</v>
      </c>
      <c r="N30" s="37">
        <v>0.03</v>
      </c>
      <c r="O30" s="37"/>
      <c r="P30" s="169" t="s">
        <v>208</v>
      </c>
      <c r="Q30" s="729" t="s">
        <v>636</v>
      </c>
      <c r="R30" s="204" t="s">
        <v>780</v>
      </c>
      <c r="S30" s="204">
        <v>357</v>
      </c>
      <c r="T30" s="178" t="s">
        <v>632</v>
      </c>
      <c r="U30" s="11" t="s">
        <v>633</v>
      </c>
      <c r="V30" s="33" t="s">
        <v>634</v>
      </c>
      <c r="W30" s="34">
        <f>AD30/1000000</f>
        <v>17.757491000000002</v>
      </c>
      <c r="X30" s="35" t="s">
        <v>635</v>
      </c>
      <c r="Y30" s="36" t="e">
        <f>W30-#REF!+Y31</f>
        <v>#REF!</v>
      </c>
      <c r="Z30" s="56" t="s">
        <v>637</v>
      </c>
      <c r="AA30" s="32" t="s">
        <v>638</v>
      </c>
      <c r="AB30" s="125"/>
      <c r="AC30" s="57" t="s">
        <v>634</v>
      </c>
      <c r="AD30" s="58">
        <v>17757491</v>
      </c>
      <c r="AE30" s="59"/>
      <c r="AF30" s="60"/>
      <c r="AG30" s="61"/>
      <c r="AH30" s="60"/>
      <c r="AI30" s="60"/>
      <c r="AJ30" s="60"/>
      <c r="AK30" s="60"/>
      <c r="AL30" s="60"/>
      <c r="AM30" s="60"/>
      <c r="AN30" s="60"/>
      <c r="AO30" s="60"/>
      <c r="AP30" s="60"/>
      <c r="AQ30" s="60"/>
      <c r="AR30" s="60"/>
      <c r="AS30" s="60"/>
      <c r="AT30" s="60"/>
      <c r="AU30" s="60"/>
      <c r="AV30" s="60"/>
      <c r="AW30" s="60"/>
      <c r="AX30" s="60"/>
      <c r="AY30" s="60"/>
      <c r="AZ30" s="60"/>
      <c r="BA30" s="60"/>
      <c r="BB30" s="60"/>
      <c r="BC30" s="60"/>
    </row>
    <row r="31" spans="1:55" s="29" customFormat="1" ht="22.5" customHeight="1" thickBot="1">
      <c r="A31" s="118"/>
      <c r="B31" s="122"/>
      <c r="C31" s="124"/>
      <c r="D31" s="106"/>
      <c r="E31" s="106"/>
      <c r="F31" s="106"/>
      <c r="G31" s="106" t="s">
        <v>639</v>
      </c>
      <c r="H31" s="106" t="s">
        <v>218</v>
      </c>
      <c r="I31" s="106" t="s">
        <v>640</v>
      </c>
      <c r="J31" s="106" t="s">
        <v>641</v>
      </c>
      <c r="K31" s="106" t="s">
        <v>642</v>
      </c>
      <c r="L31" s="106" t="s">
        <v>643</v>
      </c>
      <c r="M31" s="175" t="s">
        <v>643</v>
      </c>
      <c r="N31" s="180" t="s">
        <v>644</v>
      </c>
      <c r="O31" s="106"/>
      <c r="P31" s="170"/>
      <c r="Q31" s="730"/>
      <c r="R31" s="205"/>
      <c r="S31" s="205"/>
      <c r="T31" s="179"/>
      <c r="U31" s="49" t="s">
        <v>619</v>
      </c>
      <c r="V31" s="167" t="s">
        <v>620</v>
      </c>
      <c r="W31" s="168"/>
      <c r="X31" s="47" t="s">
        <v>621</v>
      </c>
      <c r="Y31" s="48">
        <f>AF31/1000000</f>
        <v>0</v>
      </c>
      <c r="Z31" s="32"/>
      <c r="AA31" s="51"/>
      <c r="AB31" s="126"/>
      <c r="AC31" s="57"/>
      <c r="AD31" s="58"/>
      <c r="AE31" s="59" t="s">
        <v>631</v>
      </c>
      <c r="AF31" s="60">
        <f>SUM(AG31:BC31)</f>
        <v>0</v>
      </c>
      <c r="AG31" s="62"/>
      <c r="AH31" s="62"/>
      <c r="AI31" s="62"/>
      <c r="AJ31" s="62"/>
      <c r="AK31" s="62"/>
      <c r="AL31" s="62"/>
      <c r="AM31" s="62"/>
      <c r="AN31" s="62"/>
      <c r="AO31" s="62"/>
      <c r="AP31" s="62"/>
      <c r="AQ31" s="62"/>
      <c r="AR31" s="62"/>
      <c r="AS31" s="62"/>
      <c r="AT31" s="62"/>
      <c r="AU31" s="62"/>
      <c r="AV31" s="62"/>
      <c r="AW31" s="62"/>
      <c r="AX31" s="62"/>
      <c r="AY31" s="62"/>
      <c r="AZ31" s="62"/>
      <c r="BA31" s="62"/>
      <c r="BB31" s="62"/>
      <c r="BC31" s="62"/>
    </row>
    <row r="32" spans="1:55" s="29" customFormat="1" ht="22.5" customHeight="1" thickBot="1">
      <c r="A32" s="117" t="s">
        <v>751</v>
      </c>
      <c r="B32" s="121">
        <v>0</v>
      </c>
      <c r="C32" s="123">
        <f>B32+D32+E32+F32+G32+H32+I32+J32+K32+L32+M32+N32+O32</f>
        <v>0.55000000000000004</v>
      </c>
      <c r="D32" s="37"/>
      <c r="E32" s="37"/>
      <c r="F32" s="37"/>
      <c r="G32" s="37">
        <v>0.3</v>
      </c>
      <c r="H32" s="37">
        <v>0.05</v>
      </c>
      <c r="I32" s="37">
        <v>0.05</v>
      </c>
      <c r="J32" s="37">
        <v>0.05</v>
      </c>
      <c r="K32" s="37">
        <v>0.03</v>
      </c>
      <c r="L32" s="37">
        <v>0.02</v>
      </c>
      <c r="M32" s="37">
        <v>0.02</v>
      </c>
      <c r="N32" s="37">
        <v>0.03</v>
      </c>
      <c r="O32" s="37"/>
      <c r="P32" s="169" t="s">
        <v>208</v>
      </c>
      <c r="Q32" s="729" t="s">
        <v>782</v>
      </c>
      <c r="R32" s="204" t="s">
        <v>783</v>
      </c>
      <c r="S32" s="204">
        <v>356</v>
      </c>
      <c r="T32" s="178" t="s">
        <v>645</v>
      </c>
      <c r="U32" s="11" t="s">
        <v>646</v>
      </c>
      <c r="V32" s="33" t="s">
        <v>634</v>
      </c>
      <c r="W32" s="34">
        <f>AD32/1000000</f>
        <v>16.464873999999998</v>
      </c>
      <c r="X32" s="35" t="s">
        <v>635</v>
      </c>
      <c r="Y32" s="36" t="e">
        <f>W32-#REF!+Y33</f>
        <v>#REF!</v>
      </c>
      <c r="Z32" s="56" t="s">
        <v>637</v>
      </c>
      <c r="AA32" s="32" t="s">
        <v>638</v>
      </c>
      <c r="AB32" s="125"/>
      <c r="AC32" s="57" t="s">
        <v>634</v>
      </c>
      <c r="AD32" s="58">
        <v>16464874</v>
      </c>
      <c r="AE32" s="59"/>
      <c r="AF32" s="60"/>
      <c r="AG32" s="61"/>
      <c r="AH32" s="60"/>
      <c r="AI32" s="60"/>
      <c r="AJ32" s="60"/>
      <c r="AK32" s="60"/>
      <c r="AL32" s="60"/>
      <c r="AM32" s="60"/>
      <c r="AN32" s="60"/>
      <c r="AO32" s="60"/>
      <c r="AP32" s="60"/>
      <c r="AQ32" s="60"/>
      <c r="AR32" s="60"/>
      <c r="AS32" s="60"/>
      <c r="AT32" s="60"/>
      <c r="AU32" s="60"/>
      <c r="AV32" s="60"/>
      <c r="AW32" s="60"/>
      <c r="AX32" s="60"/>
      <c r="AY32" s="60"/>
      <c r="AZ32" s="60"/>
      <c r="BA32" s="60"/>
      <c r="BB32" s="60"/>
      <c r="BC32" s="60"/>
    </row>
    <row r="33" spans="1:62" s="29" customFormat="1" ht="22.5" customHeight="1" thickBot="1">
      <c r="A33" s="118"/>
      <c r="B33" s="122"/>
      <c r="C33" s="124"/>
      <c r="D33" s="106"/>
      <c r="E33" s="106"/>
      <c r="F33" s="106"/>
      <c r="G33" s="106" t="s">
        <v>639</v>
      </c>
      <c r="H33" s="106" t="s">
        <v>219</v>
      </c>
      <c r="I33" s="106" t="s">
        <v>648</v>
      </c>
      <c r="J33" s="106" t="s">
        <v>649</v>
      </c>
      <c r="K33" s="106" t="s">
        <v>650</v>
      </c>
      <c r="L33" s="106" t="s">
        <v>651</v>
      </c>
      <c r="M33" s="106" t="s">
        <v>652</v>
      </c>
      <c r="N33" s="171" t="s">
        <v>653</v>
      </c>
      <c r="O33" s="106"/>
      <c r="P33" s="170"/>
      <c r="Q33" s="730"/>
      <c r="R33" s="205"/>
      <c r="S33" s="205"/>
      <c r="T33" s="179"/>
      <c r="U33" s="49" t="s">
        <v>619</v>
      </c>
      <c r="V33" s="167" t="s">
        <v>620</v>
      </c>
      <c r="W33" s="168"/>
      <c r="X33" s="47" t="s">
        <v>621</v>
      </c>
      <c r="Y33" s="48">
        <f>AF33/1000000</f>
        <v>0</v>
      </c>
      <c r="Z33" s="32"/>
      <c r="AA33" s="51"/>
      <c r="AB33" s="126"/>
      <c r="AC33" s="57"/>
      <c r="AD33" s="58"/>
      <c r="AE33" s="59" t="s">
        <v>631</v>
      </c>
      <c r="AF33" s="60">
        <f>SUM(AG33:BC33)</f>
        <v>0</v>
      </c>
      <c r="AG33" s="62"/>
      <c r="AH33" s="62"/>
      <c r="AI33" s="62"/>
      <c r="AJ33" s="62"/>
      <c r="AK33" s="62"/>
      <c r="AL33" s="62"/>
      <c r="AM33" s="62"/>
      <c r="AN33" s="62"/>
      <c r="AO33" s="62"/>
      <c r="AP33" s="62"/>
      <c r="AQ33" s="62"/>
      <c r="AR33" s="62"/>
      <c r="AS33" s="62"/>
      <c r="AT33" s="62"/>
      <c r="AU33" s="62"/>
      <c r="AV33" s="62"/>
      <c r="AW33" s="62"/>
      <c r="AX33" s="62"/>
      <c r="AY33" s="62"/>
      <c r="AZ33" s="62"/>
      <c r="BA33" s="62"/>
      <c r="BB33" s="62"/>
      <c r="BC33" s="62"/>
    </row>
    <row r="34" spans="1:62" s="29" customFormat="1" ht="22.5" customHeight="1" thickBot="1">
      <c r="A34" s="117" t="s">
        <v>752</v>
      </c>
      <c r="B34" s="121">
        <v>0</v>
      </c>
      <c r="C34" s="123">
        <f>B34+D34+E34+F34+G34+H34+I34+J34+K34+L34+M34+N34+O34</f>
        <v>0.30000000000000004</v>
      </c>
      <c r="D34" s="37"/>
      <c r="E34" s="37"/>
      <c r="F34" s="37"/>
      <c r="G34" s="37"/>
      <c r="H34" s="37"/>
      <c r="I34" s="37"/>
      <c r="J34" s="37"/>
      <c r="K34" s="37"/>
      <c r="L34" s="37">
        <v>0.05</v>
      </c>
      <c r="M34" s="37">
        <v>0.1</v>
      </c>
      <c r="N34" s="37">
        <v>0.15</v>
      </c>
      <c r="O34" s="37"/>
      <c r="P34" s="169" t="s">
        <v>208</v>
      </c>
      <c r="Q34" s="729" t="s">
        <v>618</v>
      </c>
      <c r="R34" s="204" t="s">
        <v>780</v>
      </c>
      <c r="S34" s="204">
        <v>373</v>
      </c>
      <c r="T34" s="178" t="s">
        <v>654</v>
      </c>
      <c r="U34" s="11" t="s">
        <v>655</v>
      </c>
      <c r="V34" s="33" t="s">
        <v>634</v>
      </c>
      <c r="W34" s="34">
        <f>AD34/1000000</f>
        <v>24.805546</v>
      </c>
      <c r="X34" s="35" t="s">
        <v>635</v>
      </c>
      <c r="Y34" s="36" t="e">
        <f>W34-#REF!+Y35</f>
        <v>#REF!</v>
      </c>
      <c r="Z34" s="56" t="s">
        <v>637</v>
      </c>
      <c r="AA34" s="32" t="s">
        <v>638</v>
      </c>
      <c r="AB34" s="125"/>
      <c r="AC34" s="57" t="s">
        <v>634</v>
      </c>
      <c r="AD34" s="58">
        <v>24805546</v>
      </c>
      <c r="AE34" s="59"/>
      <c r="AF34" s="60"/>
      <c r="AG34" s="61"/>
      <c r="AH34" s="60"/>
      <c r="AI34" s="60"/>
      <c r="AJ34" s="60"/>
      <c r="AK34" s="60"/>
      <c r="AL34" s="60"/>
      <c r="AM34" s="60"/>
      <c r="AN34" s="60"/>
      <c r="AO34" s="60"/>
      <c r="AP34" s="60"/>
      <c r="AQ34" s="60"/>
      <c r="AR34" s="60"/>
      <c r="AS34" s="60"/>
      <c r="AT34" s="60"/>
      <c r="AU34" s="60"/>
      <c r="AV34" s="60"/>
      <c r="AW34" s="60"/>
      <c r="AX34" s="60"/>
      <c r="AY34" s="60"/>
      <c r="AZ34" s="60"/>
      <c r="BA34" s="60"/>
      <c r="BB34" s="60"/>
      <c r="BC34" s="60"/>
    </row>
    <row r="35" spans="1:62" s="29" customFormat="1" ht="22.5" customHeight="1" thickBot="1">
      <c r="A35" s="118"/>
      <c r="B35" s="122"/>
      <c r="C35" s="124"/>
      <c r="D35" s="106"/>
      <c r="E35" s="106"/>
      <c r="F35" s="106"/>
      <c r="G35" s="106"/>
      <c r="H35" s="106"/>
      <c r="I35" s="106"/>
      <c r="J35" s="106"/>
      <c r="K35" s="106"/>
      <c r="L35" s="106" t="s">
        <v>656</v>
      </c>
      <c r="M35" s="175" t="s">
        <v>657</v>
      </c>
      <c r="N35" s="175" t="s">
        <v>658</v>
      </c>
      <c r="O35" s="106"/>
      <c r="P35" s="170"/>
      <c r="Q35" s="730"/>
      <c r="R35" s="205"/>
      <c r="S35" s="205"/>
      <c r="T35" s="179"/>
      <c r="U35" s="49" t="s">
        <v>619</v>
      </c>
      <c r="V35" s="167" t="s">
        <v>620</v>
      </c>
      <c r="W35" s="168"/>
      <c r="X35" s="47" t="s">
        <v>621</v>
      </c>
      <c r="Y35" s="48">
        <f>AF35/1000000</f>
        <v>0</v>
      </c>
      <c r="Z35" s="32"/>
      <c r="AA35" s="51"/>
      <c r="AB35" s="126"/>
      <c r="AC35" s="57"/>
      <c r="AD35" s="58"/>
      <c r="AE35" s="59" t="s">
        <v>631</v>
      </c>
      <c r="AF35" s="60">
        <f>SUM(AG35:BC35)</f>
        <v>0</v>
      </c>
      <c r="AG35" s="62"/>
      <c r="AH35" s="62"/>
      <c r="AI35" s="62"/>
      <c r="AJ35" s="62"/>
      <c r="AK35" s="62"/>
      <c r="AL35" s="62"/>
      <c r="AM35" s="62"/>
      <c r="AN35" s="62"/>
      <c r="AO35" s="62"/>
      <c r="AP35" s="62"/>
      <c r="AQ35" s="62"/>
      <c r="AR35" s="62"/>
      <c r="AS35" s="62"/>
      <c r="AT35" s="62"/>
      <c r="AU35" s="62"/>
      <c r="AV35" s="62"/>
      <c r="AW35" s="62"/>
      <c r="AX35" s="62"/>
      <c r="AY35" s="62"/>
      <c r="AZ35" s="62"/>
      <c r="BA35" s="62"/>
      <c r="BB35" s="62"/>
      <c r="BC35" s="62"/>
    </row>
    <row r="36" spans="1:62" s="29" customFormat="1" ht="22.5" customHeight="1" thickBot="1">
      <c r="A36" s="117" t="s">
        <v>753</v>
      </c>
      <c r="B36" s="121">
        <v>0</v>
      </c>
      <c r="C36" s="123">
        <f>B36+D36+E36+F36+G36+H36+I36+J36+K36+L36+M36+N36+O36</f>
        <v>0.39999999999999997</v>
      </c>
      <c r="D36" s="37"/>
      <c r="E36" s="37"/>
      <c r="F36" s="37"/>
      <c r="G36" s="37"/>
      <c r="H36" s="37"/>
      <c r="I36" s="37"/>
      <c r="J36" s="37"/>
      <c r="K36" s="37"/>
      <c r="L36" s="37"/>
      <c r="M36" s="37">
        <v>0.05</v>
      </c>
      <c r="N36" s="37">
        <v>0.35</v>
      </c>
      <c r="O36" s="37"/>
      <c r="P36" s="198" t="s">
        <v>661</v>
      </c>
      <c r="Q36" s="729" t="s">
        <v>647</v>
      </c>
      <c r="R36" s="204" t="s">
        <v>780</v>
      </c>
      <c r="S36" s="204">
        <v>374</v>
      </c>
      <c r="T36" s="178" t="s">
        <v>659</v>
      </c>
      <c r="U36" s="11" t="s">
        <v>660</v>
      </c>
      <c r="V36" s="33" t="s">
        <v>634</v>
      </c>
      <c r="W36" s="34">
        <f>AD36/1000000</f>
        <v>7.3461169999999996</v>
      </c>
      <c r="X36" s="35" t="s">
        <v>635</v>
      </c>
      <c r="Y36" s="36" t="e">
        <f>W36-#REF!+Y37</f>
        <v>#REF!</v>
      </c>
      <c r="Z36" s="56" t="s">
        <v>637</v>
      </c>
      <c r="AA36" s="32" t="s">
        <v>638</v>
      </c>
      <c r="AB36" s="125"/>
      <c r="AC36" s="57" t="s">
        <v>634</v>
      </c>
      <c r="AD36" s="58">
        <v>7346117</v>
      </c>
      <c r="AE36" s="59"/>
      <c r="AF36" s="60"/>
      <c r="AG36" s="61"/>
      <c r="AH36" s="60"/>
      <c r="AI36" s="60"/>
      <c r="AJ36" s="60"/>
      <c r="AK36" s="60"/>
      <c r="AL36" s="60"/>
      <c r="AM36" s="60"/>
      <c r="AN36" s="60"/>
      <c r="AO36" s="60"/>
      <c r="AP36" s="60"/>
      <c r="AQ36" s="60"/>
      <c r="AR36" s="60"/>
      <c r="AS36" s="60"/>
      <c r="AT36" s="60"/>
      <c r="AU36" s="60"/>
      <c r="AV36" s="60"/>
      <c r="AW36" s="60"/>
      <c r="AX36" s="60"/>
      <c r="AY36" s="60"/>
      <c r="AZ36" s="60"/>
      <c r="BA36" s="60"/>
      <c r="BB36" s="60"/>
      <c r="BC36" s="60"/>
    </row>
    <row r="37" spans="1:62" s="29" customFormat="1" ht="22.5" customHeight="1" thickBot="1">
      <c r="A37" s="118"/>
      <c r="B37" s="122"/>
      <c r="C37" s="124"/>
      <c r="D37" s="106"/>
      <c r="E37" s="106"/>
      <c r="F37" s="106"/>
      <c r="G37" s="106"/>
      <c r="H37" s="106"/>
      <c r="I37" s="106"/>
      <c r="J37" s="106"/>
      <c r="K37" s="106"/>
      <c r="L37" s="106"/>
      <c r="M37" s="175" t="s">
        <v>663</v>
      </c>
      <c r="N37" s="175" t="s">
        <v>613</v>
      </c>
      <c r="O37" s="106"/>
      <c r="P37" s="199"/>
      <c r="Q37" s="730"/>
      <c r="R37" s="205"/>
      <c r="S37" s="205"/>
      <c r="T37" s="179"/>
      <c r="U37" s="49" t="s">
        <v>662</v>
      </c>
      <c r="V37" s="167" t="s">
        <v>27</v>
      </c>
      <c r="W37" s="168"/>
      <c r="X37" s="47" t="s">
        <v>9</v>
      </c>
      <c r="Y37" s="48">
        <f>AF37/1000000</f>
        <v>0</v>
      </c>
      <c r="Z37" s="32"/>
      <c r="AA37" s="51"/>
      <c r="AB37" s="126"/>
      <c r="AC37" s="57"/>
      <c r="AD37" s="58"/>
      <c r="AE37" s="59" t="s">
        <v>631</v>
      </c>
      <c r="AF37" s="60">
        <f>SUM(AG37:BC37)</f>
        <v>0</v>
      </c>
      <c r="AG37" s="62" t="s">
        <v>1290</v>
      </c>
      <c r="AH37" s="62"/>
      <c r="AI37" s="62"/>
      <c r="AJ37" s="62"/>
      <c r="AK37" s="62"/>
      <c r="AL37" s="62"/>
      <c r="AM37" s="62"/>
      <c r="AN37" s="62"/>
      <c r="AO37" s="62"/>
      <c r="AP37" s="62"/>
      <c r="AQ37" s="62"/>
      <c r="AR37" s="62"/>
      <c r="AS37" s="62"/>
      <c r="AT37" s="62"/>
      <c r="AU37" s="62"/>
      <c r="AV37" s="62"/>
      <c r="AW37" s="62"/>
      <c r="AX37" s="62"/>
      <c r="AY37" s="62"/>
      <c r="AZ37" s="62"/>
      <c r="BA37" s="62"/>
      <c r="BB37" s="62"/>
      <c r="BC37" s="62"/>
    </row>
    <row r="38" spans="1:62" s="29" customFormat="1" ht="22.5" customHeight="1" thickBot="1">
      <c r="A38" s="117" t="s">
        <v>753</v>
      </c>
      <c r="B38" s="121">
        <v>0</v>
      </c>
      <c r="C38" s="123">
        <f>B38+D38+E38+F38+G38+H38+I38+J38+K38+L38+M38+N38+O38</f>
        <v>0.4</v>
      </c>
      <c r="D38" s="37"/>
      <c r="E38" s="37"/>
      <c r="F38" s="37"/>
      <c r="G38" s="37"/>
      <c r="H38" s="37"/>
      <c r="I38" s="37"/>
      <c r="J38" s="37"/>
      <c r="K38" s="37">
        <v>0</v>
      </c>
      <c r="L38" s="37">
        <v>0.1</v>
      </c>
      <c r="M38" s="37">
        <v>0.1</v>
      </c>
      <c r="N38" s="37">
        <v>0.2</v>
      </c>
      <c r="O38" s="37"/>
      <c r="P38" s="169" t="s">
        <v>604</v>
      </c>
      <c r="Q38" s="729" t="s">
        <v>605</v>
      </c>
      <c r="R38" s="204" t="s">
        <v>776</v>
      </c>
      <c r="S38" s="204">
        <v>375</v>
      </c>
      <c r="T38" s="178" t="s">
        <v>602</v>
      </c>
      <c r="U38" s="11" t="s">
        <v>603</v>
      </c>
      <c r="V38" s="33" t="s">
        <v>11</v>
      </c>
      <c r="W38" s="34">
        <f>AD38/1000000</f>
        <v>7.3461169999999996</v>
      </c>
      <c r="X38" s="35" t="s">
        <v>7</v>
      </c>
      <c r="Y38" s="36" t="e">
        <f>W38-#REF!+Y39</f>
        <v>#REF!</v>
      </c>
      <c r="Z38" s="56" t="s">
        <v>606</v>
      </c>
      <c r="AA38" s="32" t="s">
        <v>34</v>
      </c>
      <c r="AB38" s="125"/>
      <c r="AC38" s="57" t="s">
        <v>11</v>
      </c>
      <c r="AD38" s="58">
        <v>7346117</v>
      </c>
      <c r="AE38" s="59"/>
      <c r="AF38" s="60"/>
      <c r="AG38" s="61"/>
      <c r="AH38" s="60"/>
      <c r="AI38" s="60"/>
      <c r="AJ38" s="60"/>
      <c r="AK38" s="60"/>
      <c r="AL38" s="60"/>
      <c r="AM38" s="60"/>
      <c r="AN38" s="60"/>
      <c r="AO38" s="60"/>
      <c r="AP38" s="60"/>
      <c r="AQ38" s="60"/>
      <c r="AR38" s="60"/>
      <c r="AS38" s="60"/>
      <c r="AT38" s="60"/>
      <c r="AU38" s="60"/>
      <c r="AV38" s="60"/>
      <c r="AW38" s="60"/>
      <c r="AX38" s="60"/>
      <c r="AY38" s="60"/>
      <c r="AZ38" s="60"/>
      <c r="BA38" s="60"/>
      <c r="BB38" s="60"/>
      <c r="BC38" s="60"/>
    </row>
    <row r="39" spans="1:62" s="29" customFormat="1" ht="22.5" customHeight="1" thickBot="1">
      <c r="A39" s="118"/>
      <c r="B39" s="122"/>
      <c r="C39" s="124"/>
      <c r="D39" s="106"/>
      <c r="E39" s="106"/>
      <c r="F39" s="106"/>
      <c r="G39" s="106"/>
      <c r="H39" s="106"/>
      <c r="I39" s="106"/>
      <c r="J39" s="106"/>
      <c r="K39" s="106" t="s">
        <v>610</v>
      </c>
      <c r="L39" s="144" t="s">
        <v>611</v>
      </c>
      <c r="M39" s="175" t="s">
        <v>612</v>
      </c>
      <c r="N39" s="175" t="s">
        <v>614</v>
      </c>
      <c r="O39" s="106"/>
      <c r="P39" s="170"/>
      <c r="Q39" s="730"/>
      <c r="R39" s="205"/>
      <c r="S39" s="205"/>
      <c r="T39" s="179"/>
      <c r="U39" s="49" t="s">
        <v>607</v>
      </c>
      <c r="V39" s="167" t="s">
        <v>608</v>
      </c>
      <c r="W39" s="168"/>
      <c r="X39" s="47" t="s">
        <v>609</v>
      </c>
      <c r="Y39" s="48">
        <f>AF39/1000000</f>
        <v>0</v>
      </c>
      <c r="Z39" s="32"/>
      <c r="AA39" s="51"/>
      <c r="AB39" s="126"/>
      <c r="AC39" s="57"/>
      <c r="AD39" s="58"/>
      <c r="AE39" s="59" t="s">
        <v>615</v>
      </c>
      <c r="AF39" s="60">
        <f>SUM(AG39:BC39)</f>
        <v>0</v>
      </c>
      <c r="AG39" s="62"/>
      <c r="AH39" s="62"/>
      <c r="AI39" s="62"/>
      <c r="AJ39" s="62"/>
      <c r="AK39" s="62"/>
      <c r="AL39" s="62"/>
      <c r="AM39" s="62"/>
      <c r="AN39" s="62"/>
      <c r="AO39" s="62"/>
      <c r="AP39" s="62"/>
      <c r="AQ39" s="62"/>
      <c r="AR39" s="62"/>
      <c r="AS39" s="62"/>
      <c r="AT39" s="62"/>
      <c r="AU39" s="62"/>
      <c r="AV39" s="62"/>
      <c r="AW39" s="62"/>
      <c r="AX39" s="62"/>
      <c r="AY39" s="62"/>
      <c r="AZ39" s="62"/>
      <c r="BA39" s="62"/>
      <c r="BB39" s="62"/>
      <c r="BC39" s="62"/>
    </row>
    <row r="40" spans="1:62" s="78" customFormat="1" ht="22.5" customHeight="1">
      <c r="A40" s="490" t="s">
        <v>1268</v>
      </c>
      <c r="B40" s="554">
        <v>0</v>
      </c>
      <c r="C40" s="555">
        <f>B40+D40+E40+F40+G40+H40+I40+J40+K40+L40+M40+N40+O40</f>
        <v>0</v>
      </c>
      <c r="D40" s="525"/>
      <c r="E40" s="525"/>
      <c r="F40" s="525"/>
      <c r="G40" s="525"/>
      <c r="H40" s="525"/>
      <c r="I40" s="525"/>
      <c r="J40" s="525"/>
      <c r="K40" s="525"/>
      <c r="L40" s="525"/>
      <c r="M40" s="525"/>
      <c r="N40" s="525"/>
      <c r="O40" s="525"/>
      <c r="P40" s="556" t="s">
        <v>1270</v>
      </c>
      <c r="Q40" s="725" t="s">
        <v>1271</v>
      </c>
      <c r="R40" s="490" t="s">
        <v>127</v>
      </c>
      <c r="S40" s="490">
        <v>2</v>
      </c>
      <c r="T40" s="553" t="s">
        <v>1269</v>
      </c>
      <c r="U40" s="520">
        <v>2015.06</v>
      </c>
      <c r="V40" s="521" t="s">
        <v>104</v>
      </c>
      <c r="W40" s="522">
        <f>BL40/1000000</f>
        <v>0</v>
      </c>
      <c r="X40" s="523" t="s">
        <v>7</v>
      </c>
      <c r="Y40" s="524" t="e">
        <f>W40-(#REF!+Y41)</f>
        <v>#REF!</v>
      </c>
      <c r="Z40" s="299" t="s">
        <v>1075</v>
      </c>
      <c r="AA40" s="79" t="s">
        <v>1076</v>
      </c>
      <c r="AB40" s="260"/>
      <c r="AC40" s="80" t="s">
        <v>104</v>
      </c>
      <c r="AD40" s="81">
        <v>45500000</v>
      </c>
      <c r="AE40" s="82"/>
      <c r="AF40" s="83">
        <f>SUM(AG40:BC40)</f>
        <v>0</v>
      </c>
      <c r="AG40" s="91" t="s">
        <v>1289</v>
      </c>
      <c r="AH40" s="92"/>
      <c r="AI40" s="92"/>
      <c r="AJ40" s="92"/>
      <c r="AK40" s="92"/>
      <c r="AL40" s="92"/>
      <c r="AM40" s="92"/>
      <c r="AN40" s="92"/>
      <c r="AO40" s="92"/>
      <c r="AP40" s="92"/>
      <c r="AQ40" s="92"/>
      <c r="AR40" s="92"/>
      <c r="AS40" s="92"/>
      <c r="AT40" s="92"/>
      <c r="AU40" s="92"/>
      <c r="AV40" s="92"/>
      <c r="AW40" s="92"/>
      <c r="AX40" s="92"/>
      <c r="AY40" s="92"/>
      <c r="AZ40" s="92"/>
      <c r="BA40" s="92"/>
      <c r="BB40" s="92"/>
      <c r="BC40" s="92"/>
    </row>
    <row r="41" spans="1:62" s="78" customFormat="1" ht="22.5" customHeight="1" thickBot="1">
      <c r="A41" s="495"/>
      <c r="B41" s="558"/>
      <c r="C41" s="559"/>
      <c r="D41" s="560"/>
      <c r="E41" s="560"/>
      <c r="F41" s="560"/>
      <c r="G41" s="560"/>
      <c r="H41" s="560"/>
      <c r="I41" s="560"/>
      <c r="J41" s="560"/>
      <c r="K41" s="560"/>
      <c r="L41" s="560"/>
      <c r="M41" s="560"/>
      <c r="N41" s="560"/>
      <c r="O41" s="560"/>
      <c r="P41" s="495"/>
      <c r="Q41" s="726"/>
      <c r="R41" s="495"/>
      <c r="S41" s="495"/>
      <c r="T41" s="557"/>
      <c r="U41" s="531" t="s">
        <v>67</v>
      </c>
      <c r="V41" s="578" t="s">
        <v>27</v>
      </c>
      <c r="W41" s="579"/>
      <c r="X41" s="532" t="s">
        <v>207</v>
      </c>
      <c r="Y41" s="529">
        <f t="shared" ref="Y41" si="0">BN41/1000000</f>
        <v>0</v>
      </c>
      <c r="Z41" s="533"/>
      <c r="AA41" s="281"/>
      <c r="AB41" s="261"/>
      <c r="AC41" s="80"/>
      <c r="AD41" s="81"/>
      <c r="AE41" s="82" t="s">
        <v>100</v>
      </c>
      <c r="AF41" s="83"/>
      <c r="AG41" s="77"/>
      <c r="AH41" s="77"/>
      <c r="AI41" s="77"/>
      <c r="AJ41" s="77"/>
      <c r="AK41" s="77"/>
      <c r="AL41" s="77"/>
      <c r="AM41" s="77"/>
      <c r="AN41" s="77"/>
      <c r="AO41" s="77"/>
      <c r="AP41" s="77"/>
      <c r="AQ41" s="77"/>
      <c r="AR41" s="77"/>
      <c r="AS41" s="77"/>
      <c r="AT41" s="77"/>
      <c r="AU41" s="77"/>
      <c r="AV41" s="77"/>
      <c r="AW41" s="77"/>
      <c r="AX41" s="77"/>
      <c r="AY41" s="77"/>
      <c r="AZ41" s="77"/>
      <c r="BA41" s="77"/>
      <c r="BB41" s="77"/>
      <c r="BC41" s="77"/>
      <c r="BD41" s="68"/>
      <c r="BE41" s="68"/>
      <c r="BF41" s="68"/>
      <c r="BG41" s="68"/>
      <c r="BH41" s="68"/>
      <c r="BI41" s="68"/>
      <c r="BJ41" s="68"/>
    </row>
    <row r="42" spans="1:62" s="78" customFormat="1" ht="22.5" customHeight="1">
      <c r="A42" s="490" t="s">
        <v>1272</v>
      </c>
      <c r="B42" s="554">
        <v>0.1</v>
      </c>
      <c r="C42" s="555">
        <f>B42+D42+E42+F42+G42+H42+I42+J42+K42+L42+M42+N42+O42</f>
        <v>0.1</v>
      </c>
      <c r="D42" s="525"/>
      <c r="E42" s="525"/>
      <c r="F42" s="525"/>
      <c r="G42" s="525"/>
      <c r="H42" s="525"/>
      <c r="I42" s="525"/>
      <c r="J42" s="525"/>
      <c r="K42" s="525"/>
      <c r="L42" s="525"/>
      <c r="M42" s="525"/>
      <c r="N42" s="525"/>
      <c r="O42" s="525"/>
      <c r="P42" s="490" t="s">
        <v>1275</v>
      </c>
      <c r="Q42" s="725" t="s">
        <v>1276</v>
      </c>
      <c r="R42" s="490" t="s">
        <v>38</v>
      </c>
      <c r="S42" s="490">
        <v>1</v>
      </c>
      <c r="T42" s="553" t="s">
        <v>1273</v>
      </c>
      <c r="U42" s="537" t="s">
        <v>1274</v>
      </c>
      <c r="V42" s="521" t="s">
        <v>799</v>
      </c>
      <c r="W42" s="522">
        <f>AZ50/1000000</f>
        <v>0</v>
      </c>
      <c r="X42" s="523" t="s">
        <v>832</v>
      </c>
      <c r="Y42" s="524" t="e">
        <f>W42-(#REF!+Y43)</f>
        <v>#REF!</v>
      </c>
      <c r="Z42" s="299" t="s">
        <v>1075</v>
      </c>
      <c r="AA42" s="79" t="s">
        <v>1076</v>
      </c>
      <c r="AB42" s="260"/>
      <c r="AC42" s="80" t="s">
        <v>799</v>
      </c>
      <c r="AD42" s="81">
        <v>175500000</v>
      </c>
      <c r="AE42" s="82"/>
      <c r="AF42" s="83">
        <f>SUM(AG42:BC42)</f>
        <v>0</v>
      </c>
      <c r="AG42" s="91"/>
      <c r="AH42" s="92"/>
      <c r="AI42" s="92"/>
      <c r="AJ42" s="92"/>
      <c r="AK42" s="92"/>
      <c r="AL42" s="92"/>
      <c r="AM42" s="92"/>
      <c r="AN42" s="92"/>
      <c r="AO42" s="92"/>
      <c r="AP42" s="92"/>
      <c r="AQ42" s="92"/>
      <c r="AR42" s="92"/>
      <c r="AS42" s="92"/>
      <c r="AT42" s="92"/>
      <c r="AU42" s="92"/>
      <c r="AV42" s="92"/>
      <c r="AW42" s="92"/>
      <c r="AX42" s="92"/>
      <c r="AY42" s="92"/>
      <c r="AZ42" s="92"/>
      <c r="BA42" s="92"/>
      <c r="BB42" s="92"/>
      <c r="BC42" s="92"/>
    </row>
    <row r="43" spans="1:62" s="78" customFormat="1" ht="22.5" customHeight="1" thickBot="1">
      <c r="A43" s="495"/>
      <c r="B43" s="558"/>
      <c r="C43" s="559"/>
      <c r="D43" s="560"/>
      <c r="E43" s="560"/>
      <c r="F43" s="560"/>
      <c r="G43" s="560"/>
      <c r="H43" s="560"/>
      <c r="I43" s="560"/>
      <c r="J43" s="560"/>
      <c r="K43" s="560"/>
      <c r="L43" s="560"/>
      <c r="M43" s="560"/>
      <c r="N43" s="560"/>
      <c r="O43" s="560"/>
      <c r="P43" s="495"/>
      <c r="Q43" s="726"/>
      <c r="R43" s="495"/>
      <c r="S43" s="495"/>
      <c r="T43" s="557"/>
      <c r="U43" s="531" t="s">
        <v>816</v>
      </c>
      <c r="V43" s="578" t="s">
        <v>1277</v>
      </c>
      <c r="W43" s="579"/>
      <c r="X43" s="532" t="s">
        <v>1080</v>
      </c>
      <c r="Y43" s="529">
        <f t="shared" ref="Y43" si="1">BN43/1000000</f>
        <v>0</v>
      </c>
      <c r="Z43" s="533"/>
      <c r="AA43" s="281"/>
      <c r="AB43" s="261"/>
      <c r="AC43" s="80"/>
      <c r="AD43" s="81"/>
      <c r="AE43" s="82" t="s">
        <v>824</v>
      </c>
      <c r="AF43" s="83"/>
      <c r="AG43" s="77"/>
      <c r="AH43" s="77"/>
      <c r="AI43" s="77"/>
      <c r="AJ43" s="77"/>
      <c r="AK43" s="77"/>
      <c r="AL43" s="77"/>
      <c r="AM43" s="77"/>
      <c r="AN43" s="77"/>
      <c r="AO43" s="77"/>
      <c r="AP43" s="77"/>
      <c r="AQ43" s="77"/>
      <c r="AR43" s="77"/>
      <c r="AS43" s="77"/>
      <c r="AT43" s="77"/>
      <c r="AU43" s="77"/>
      <c r="AV43" s="77"/>
      <c r="AW43" s="77"/>
      <c r="AX43" s="77"/>
      <c r="AY43" s="77"/>
      <c r="AZ43" s="77"/>
      <c r="BA43" s="77"/>
      <c r="BB43" s="77"/>
      <c r="BC43" s="77"/>
      <c r="BD43" s="68"/>
      <c r="BE43" s="68"/>
      <c r="BF43" s="68"/>
      <c r="BG43" s="68"/>
      <c r="BH43" s="68"/>
      <c r="BI43" s="68"/>
      <c r="BJ43" s="68"/>
    </row>
    <row r="44" spans="1:62" s="78" customFormat="1" ht="22.5" customHeight="1">
      <c r="A44" s="490" t="s">
        <v>1278</v>
      </c>
      <c r="B44" s="554">
        <v>0.98</v>
      </c>
      <c r="C44" s="555">
        <f>B44+D44+E44+F44+G44+H44+I44+J44+K44+L44+M44+N44+O44</f>
        <v>1</v>
      </c>
      <c r="D44" s="525"/>
      <c r="E44" s="525"/>
      <c r="F44" s="525"/>
      <c r="G44" s="525">
        <v>0.02</v>
      </c>
      <c r="H44" s="525"/>
      <c r="I44" s="525"/>
      <c r="J44" s="525"/>
      <c r="K44" s="525"/>
      <c r="L44" s="525"/>
      <c r="M44" s="525"/>
      <c r="N44" s="525"/>
      <c r="O44" s="525"/>
      <c r="P44" s="490" t="s">
        <v>1281</v>
      </c>
      <c r="Q44" s="725" t="s">
        <v>1282</v>
      </c>
      <c r="R44" s="490" t="s">
        <v>127</v>
      </c>
      <c r="S44" s="490">
        <v>316</v>
      </c>
      <c r="T44" s="553" t="s">
        <v>1279</v>
      </c>
      <c r="U44" s="537" t="s">
        <v>1280</v>
      </c>
      <c r="V44" s="521" t="s">
        <v>799</v>
      </c>
      <c r="W44" s="522">
        <f>BL44/1000000</f>
        <v>0</v>
      </c>
      <c r="X44" s="523" t="s">
        <v>832</v>
      </c>
      <c r="Y44" s="524" t="e">
        <f>W44-(#REF!+Y45)</f>
        <v>#REF!</v>
      </c>
      <c r="Z44" s="299" t="s">
        <v>1075</v>
      </c>
      <c r="AA44" s="79" t="s">
        <v>1076</v>
      </c>
      <c r="AB44" s="260"/>
      <c r="AC44" s="80" t="s">
        <v>799</v>
      </c>
      <c r="AD44" s="81">
        <v>10000000</v>
      </c>
      <c r="AE44" s="82"/>
      <c r="AF44" s="83">
        <f>SUM(AG44:BC44)</f>
        <v>0</v>
      </c>
      <c r="AG44" s="91"/>
      <c r="AH44" s="92"/>
      <c r="AI44" s="92"/>
      <c r="AJ44" s="92"/>
      <c r="AK44" s="92"/>
      <c r="AL44" s="92"/>
      <c r="AM44" s="92"/>
      <c r="AN44" s="92"/>
      <c r="AO44" s="92"/>
      <c r="AP44" s="92"/>
      <c r="AQ44" s="92"/>
      <c r="AR44" s="92"/>
      <c r="AS44" s="92"/>
      <c r="AT44" s="92"/>
      <c r="AU44" s="92"/>
      <c r="AV44" s="92"/>
      <c r="AW44" s="92"/>
      <c r="AX44" s="92"/>
      <c r="AY44" s="92"/>
      <c r="AZ44" s="92"/>
      <c r="BA44" s="92"/>
      <c r="BB44" s="92"/>
      <c r="BC44" s="92"/>
    </row>
    <row r="45" spans="1:62" s="78" customFormat="1" ht="22.5" customHeight="1" thickBot="1">
      <c r="A45" s="495"/>
      <c r="B45" s="558"/>
      <c r="C45" s="559"/>
      <c r="D45" s="560"/>
      <c r="E45" s="560"/>
      <c r="F45" s="560"/>
      <c r="G45" s="560"/>
      <c r="H45" s="560"/>
      <c r="I45" s="560"/>
      <c r="J45" s="560"/>
      <c r="K45" s="560"/>
      <c r="L45" s="560"/>
      <c r="M45" s="560"/>
      <c r="N45" s="560"/>
      <c r="O45" s="560"/>
      <c r="P45" s="495"/>
      <c r="Q45" s="726"/>
      <c r="R45" s="495"/>
      <c r="S45" s="495"/>
      <c r="T45" s="557"/>
      <c r="U45" s="531" t="s">
        <v>816</v>
      </c>
      <c r="V45" s="578" t="s">
        <v>1277</v>
      </c>
      <c r="W45" s="579"/>
      <c r="X45" s="532" t="s">
        <v>1080</v>
      </c>
      <c r="Y45" s="529">
        <f t="shared" ref="Y45" si="2">BN45/1000000</f>
        <v>0</v>
      </c>
      <c r="Z45" s="533"/>
      <c r="AA45" s="281"/>
      <c r="AB45" s="261"/>
      <c r="AC45" s="80"/>
      <c r="AD45" s="81"/>
      <c r="AE45" s="82" t="s">
        <v>824</v>
      </c>
      <c r="AF45" s="83"/>
      <c r="AG45" s="77"/>
      <c r="AH45" s="77"/>
      <c r="AI45" s="77"/>
      <c r="AJ45" s="77"/>
      <c r="AK45" s="77"/>
      <c r="AL45" s="77"/>
      <c r="AM45" s="77"/>
      <c r="AN45" s="77"/>
      <c r="AO45" s="77"/>
      <c r="AP45" s="77"/>
      <c r="AQ45" s="77"/>
      <c r="AR45" s="77"/>
      <c r="AS45" s="77"/>
      <c r="AT45" s="77"/>
      <c r="AU45" s="77"/>
      <c r="AV45" s="77"/>
      <c r="AW45" s="77"/>
      <c r="AX45" s="77"/>
      <c r="AY45" s="77"/>
      <c r="AZ45" s="77"/>
      <c r="BA45" s="77"/>
      <c r="BB45" s="77"/>
      <c r="BC45" s="77"/>
      <c r="BD45" s="68"/>
      <c r="BE45" s="68"/>
      <c r="BF45" s="68"/>
      <c r="BG45" s="68"/>
      <c r="BH45" s="68"/>
      <c r="BI45" s="68"/>
      <c r="BJ45" s="68"/>
    </row>
    <row r="46" spans="1:62" s="986" customFormat="1" ht="22.5" customHeight="1" thickBot="1">
      <c r="A46" s="563" t="s">
        <v>1010</v>
      </c>
      <c r="B46" s="1011">
        <v>0</v>
      </c>
      <c r="C46" s="493">
        <f>B46+D46+E46+F46+G46+H46+I46+J46+K46+L46+M46+N46+O46</f>
        <v>0</v>
      </c>
      <c r="D46" s="1012"/>
      <c r="E46" s="1012"/>
      <c r="F46" s="1012"/>
      <c r="G46" s="1012"/>
      <c r="H46" s="1012"/>
      <c r="I46" s="1012"/>
      <c r="J46" s="1012"/>
      <c r="K46" s="1012"/>
      <c r="L46" s="1012"/>
      <c r="M46" s="1012">
        <v>0</v>
      </c>
      <c r="N46" s="1012">
        <v>0</v>
      </c>
      <c r="O46" s="1012">
        <v>0</v>
      </c>
      <c r="P46" s="1013" t="s">
        <v>982</v>
      </c>
      <c r="Q46" s="1014" t="s">
        <v>1013</v>
      </c>
      <c r="R46" s="271" t="s">
        <v>474</v>
      </c>
      <c r="S46" s="271">
        <v>242</v>
      </c>
      <c r="T46" s="1015" t="s">
        <v>1011</v>
      </c>
      <c r="U46" s="1016" t="s">
        <v>1012</v>
      </c>
      <c r="V46" s="1017" t="s">
        <v>104</v>
      </c>
      <c r="W46" s="1018">
        <f>BP46/1000000</f>
        <v>0</v>
      </c>
      <c r="X46" s="1019" t="s">
        <v>7</v>
      </c>
      <c r="Y46" s="1020" t="e">
        <f>W46-#REF!/1.1+Y47</f>
        <v>#REF!</v>
      </c>
      <c r="Z46" s="945" t="s">
        <v>90</v>
      </c>
      <c r="AA46" s="997" t="s">
        <v>34</v>
      </c>
      <c r="AB46" s="998" t="s">
        <v>194</v>
      </c>
      <c r="AC46" s="981" t="s">
        <v>104</v>
      </c>
      <c r="AD46" s="982">
        <v>3750000</v>
      </c>
      <c r="AE46" s="983"/>
      <c r="AF46" s="984"/>
      <c r="AG46" s="1021" t="s">
        <v>1291</v>
      </c>
      <c r="AH46" s="984"/>
      <c r="AI46" s="984"/>
      <c r="AJ46" s="984"/>
      <c r="AK46" s="984"/>
      <c r="AL46" s="984"/>
      <c r="AM46" s="984"/>
      <c r="AN46" s="984"/>
      <c r="AO46" s="984"/>
      <c r="AP46" s="984"/>
      <c r="AQ46" s="984"/>
      <c r="AR46" s="984"/>
      <c r="AS46" s="984"/>
      <c r="AT46" s="984"/>
      <c r="AU46" s="984"/>
      <c r="AV46" s="984"/>
      <c r="AW46" s="984"/>
      <c r="AX46" s="984"/>
      <c r="AY46" s="984"/>
      <c r="AZ46" s="984"/>
      <c r="BA46" s="984"/>
      <c r="BB46" s="984"/>
      <c r="BC46" s="984"/>
    </row>
    <row r="47" spans="1:62" s="986" customFormat="1" ht="22.5" customHeight="1" thickBot="1">
      <c r="A47" s="564"/>
      <c r="B47" s="1022"/>
      <c r="C47" s="498"/>
      <c r="D47" s="1023"/>
      <c r="E47" s="1023"/>
      <c r="F47" s="1023"/>
      <c r="G47" s="1023"/>
      <c r="H47" s="1023" t="s">
        <v>982</v>
      </c>
      <c r="I47" s="1023"/>
      <c r="J47" s="1023"/>
      <c r="K47" s="1023"/>
      <c r="L47" s="1023" t="s">
        <v>1014</v>
      </c>
      <c r="M47" s="1023"/>
      <c r="N47" s="1023"/>
      <c r="O47" s="1023"/>
      <c r="P47" s="1024"/>
      <c r="Q47" s="1025"/>
      <c r="R47" s="237"/>
      <c r="S47" s="237"/>
      <c r="T47" s="1026"/>
      <c r="U47" s="1027" t="s">
        <v>67</v>
      </c>
      <c r="V47" s="1028"/>
      <c r="W47" s="1029"/>
      <c r="X47" s="1030" t="s">
        <v>207</v>
      </c>
      <c r="Y47" s="1031">
        <f>BR47/1000000</f>
        <v>0</v>
      </c>
      <c r="Z47" s="977"/>
      <c r="AA47" s="997"/>
      <c r="AB47" s="980"/>
      <c r="AC47" s="981"/>
      <c r="AD47" s="982"/>
      <c r="AE47" s="983"/>
      <c r="AF47" s="984"/>
      <c r="AG47" s="1032"/>
      <c r="AH47" s="1032"/>
      <c r="AI47" s="1032"/>
      <c r="AJ47" s="1032"/>
      <c r="AK47" s="1032"/>
      <c r="AL47" s="1032"/>
      <c r="AM47" s="1032"/>
      <c r="AN47" s="1032"/>
      <c r="AO47" s="1032"/>
      <c r="AP47" s="1032"/>
      <c r="AQ47" s="1032"/>
      <c r="AR47" s="1032"/>
      <c r="AS47" s="1032"/>
      <c r="AT47" s="1032"/>
      <c r="AU47" s="1032"/>
      <c r="AV47" s="1032"/>
      <c r="AW47" s="1032"/>
      <c r="AX47" s="1032"/>
      <c r="AY47" s="1032"/>
      <c r="AZ47" s="1032"/>
      <c r="BA47" s="1032"/>
      <c r="BB47" s="1032"/>
      <c r="BC47" s="1032"/>
    </row>
    <row r="48" spans="1:62" s="78" customFormat="1" ht="22.5" customHeight="1" thickBot="1">
      <c r="A48" s="490" t="s">
        <v>1015</v>
      </c>
      <c r="B48" s="492">
        <v>0</v>
      </c>
      <c r="C48" s="493">
        <f>B48+D48+E48+F48+G48+H48+I48+J48+K48+L48+M48+N48+O48</f>
        <v>0.79999999999999993</v>
      </c>
      <c r="D48" s="414"/>
      <c r="E48" s="414">
        <v>0.2</v>
      </c>
      <c r="F48" s="414">
        <v>0.2</v>
      </c>
      <c r="G48" s="414">
        <v>0.1</v>
      </c>
      <c r="H48" s="414">
        <v>0</v>
      </c>
      <c r="I48" s="414">
        <v>0</v>
      </c>
      <c r="J48" s="414">
        <v>0.2</v>
      </c>
      <c r="K48" s="414">
        <v>0.1</v>
      </c>
      <c r="L48" s="414"/>
      <c r="M48" s="414">
        <v>0</v>
      </c>
      <c r="N48" s="414">
        <v>0</v>
      </c>
      <c r="O48" s="414">
        <v>0</v>
      </c>
      <c r="P48" s="415"/>
      <c r="Q48" s="608" t="s">
        <v>1018</v>
      </c>
      <c r="R48" s="176" t="s">
        <v>474</v>
      </c>
      <c r="S48" s="176">
        <v>318</v>
      </c>
      <c r="T48" s="491" t="s">
        <v>1016</v>
      </c>
      <c r="U48" s="409" t="s">
        <v>1017</v>
      </c>
      <c r="V48" s="410" t="s">
        <v>104</v>
      </c>
      <c r="W48" s="411">
        <f>BP48/1000000</f>
        <v>0</v>
      </c>
      <c r="X48" s="412" t="s">
        <v>7</v>
      </c>
      <c r="Y48" s="413" t="e">
        <f>W48-#REF!/1.1+Y49</f>
        <v>#REF!</v>
      </c>
      <c r="Z48" s="299" t="s">
        <v>90</v>
      </c>
      <c r="AA48" s="79" t="s">
        <v>34</v>
      </c>
      <c r="AB48" s="260"/>
      <c r="AC48" s="80" t="s">
        <v>104</v>
      </c>
      <c r="AD48" s="81">
        <v>31200000</v>
      </c>
      <c r="AE48" s="82"/>
      <c r="AF48" s="83"/>
      <c r="AG48" s="91"/>
      <c r="AH48" s="92"/>
      <c r="AI48" s="92"/>
      <c r="AJ48" s="92"/>
      <c r="AK48" s="92"/>
      <c r="AL48" s="92"/>
      <c r="AM48" s="92"/>
      <c r="AN48" s="92"/>
      <c r="AO48" s="92"/>
      <c r="AP48" s="92"/>
      <c r="AQ48" s="92"/>
      <c r="AR48" s="92"/>
      <c r="AS48" s="92"/>
      <c r="AT48" s="92"/>
      <c r="AU48" s="92"/>
      <c r="AV48" s="92"/>
      <c r="AW48" s="92"/>
      <c r="AX48" s="92"/>
      <c r="AY48" s="92"/>
      <c r="AZ48" s="92"/>
      <c r="BA48" s="92"/>
      <c r="BB48" s="92"/>
      <c r="BC48" s="92"/>
    </row>
    <row r="49" spans="1:62" s="78" customFormat="1" ht="22.5" customHeight="1" thickBot="1">
      <c r="A49" s="495"/>
      <c r="B49" s="497"/>
      <c r="C49" s="498"/>
      <c r="D49" s="501"/>
      <c r="E49" s="501" t="s">
        <v>1019</v>
      </c>
      <c r="F49" s="501" t="s">
        <v>1019</v>
      </c>
      <c r="G49" s="501" t="s">
        <v>1019</v>
      </c>
      <c r="H49" s="501" t="s">
        <v>806</v>
      </c>
      <c r="I49" s="501" t="s">
        <v>806</v>
      </c>
      <c r="J49" s="501"/>
      <c r="K49" s="501" t="s">
        <v>888</v>
      </c>
      <c r="L49" s="501"/>
      <c r="M49" s="501"/>
      <c r="N49" s="501"/>
      <c r="O49" s="501"/>
      <c r="P49" s="424"/>
      <c r="Q49" s="609"/>
      <c r="R49" s="205"/>
      <c r="S49" s="205"/>
      <c r="T49" s="496"/>
      <c r="U49" s="422"/>
      <c r="V49" s="440"/>
      <c r="W49" s="500"/>
      <c r="X49" s="423" t="s">
        <v>207</v>
      </c>
      <c r="Y49" s="419">
        <f>BR49/1000000</f>
        <v>0</v>
      </c>
      <c r="Z49" s="85"/>
      <c r="AA49" s="75"/>
      <c r="AB49" s="261"/>
      <c r="AC49" s="80"/>
      <c r="AD49" s="81"/>
      <c r="AE49" s="82"/>
      <c r="AF49" s="83"/>
      <c r="AG49" s="77"/>
      <c r="AH49" s="77"/>
      <c r="AI49" s="77"/>
      <c r="AJ49" s="77"/>
      <c r="AK49" s="77"/>
      <c r="AL49" s="77"/>
      <c r="AM49" s="77"/>
      <c r="AN49" s="77"/>
      <c r="AO49" s="77"/>
      <c r="AP49" s="77"/>
      <c r="AQ49" s="77"/>
      <c r="AR49" s="77"/>
      <c r="AS49" s="77"/>
      <c r="AT49" s="77"/>
      <c r="AU49" s="77"/>
      <c r="AV49" s="77"/>
      <c r="AW49" s="77"/>
      <c r="AX49" s="77"/>
      <c r="AY49" s="77"/>
      <c r="AZ49" s="77"/>
      <c r="BA49" s="77"/>
      <c r="BB49" s="77"/>
      <c r="BC49" s="77"/>
      <c r="BD49" s="68"/>
      <c r="BE49" s="68"/>
      <c r="BF49" s="68"/>
      <c r="BG49" s="68"/>
      <c r="BH49" s="68"/>
      <c r="BI49" s="68"/>
      <c r="BJ49" s="68"/>
    </row>
    <row r="50" spans="1:62" s="78" customFormat="1" ht="22.5" customHeight="1" thickBot="1">
      <c r="A50" s="490" t="s">
        <v>1020</v>
      </c>
      <c r="B50" s="492">
        <v>0</v>
      </c>
      <c r="C50" s="493">
        <f>B50+D50+E50+F50+G50+H50+I50+J50+K50+L50+M50+N50+O50</f>
        <v>0.6</v>
      </c>
      <c r="D50" s="414"/>
      <c r="E50" s="414">
        <v>0.1</v>
      </c>
      <c r="F50" s="414">
        <v>0.2</v>
      </c>
      <c r="G50" s="414">
        <v>0.1</v>
      </c>
      <c r="H50" s="414">
        <v>0.1</v>
      </c>
      <c r="I50" s="414">
        <v>0.1</v>
      </c>
      <c r="J50" s="414">
        <v>0</v>
      </c>
      <c r="K50" s="414">
        <v>0</v>
      </c>
      <c r="L50" s="414"/>
      <c r="M50" s="414">
        <v>0</v>
      </c>
      <c r="N50" s="414">
        <v>0</v>
      </c>
      <c r="O50" s="414">
        <v>0</v>
      </c>
      <c r="P50" s="415" t="s">
        <v>1022</v>
      </c>
      <c r="Q50" s="608" t="s">
        <v>1023</v>
      </c>
      <c r="R50" s="204" t="s">
        <v>474</v>
      </c>
      <c r="S50" s="204">
        <v>259</v>
      </c>
      <c r="T50" s="491" t="s">
        <v>1021</v>
      </c>
      <c r="U50" s="409"/>
      <c r="V50" s="410" t="s">
        <v>104</v>
      </c>
      <c r="W50" s="411">
        <f>BP50/1000000</f>
        <v>0</v>
      </c>
      <c r="X50" s="412" t="s">
        <v>7</v>
      </c>
      <c r="Y50" s="413" t="e">
        <f>W50-#REF!/1.1+Y51</f>
        <v>#REF!</v>
      </c>
      <c r="Z50" s="299" t="s">
        <v>90</v>
      </c>
      <c r="AA50" s="79" t="s">
        <v>34</v>
      </c>
      <c r="AB50" s="260"/>
      <c r="AC50" s="80" t="s">
        <v>104</v>
      </c>
      <c r="AD50" s="81">
        <v>8790000</v>
      </c>
      <c r="AE50" s="82"/>
      <c r="AF50" s="83"/>
      <c r="AG50" s="91"/>
      <c r="AH50" s="92"/>
      <c r="AI50" s="92"/>
      <c r="AJ50" s="92"/>
      <c r="AK50" s="92"/>
      <c r="AL50" s="92"/>
      <c r="AM50" s="92"/>
      <c r="AN50" s="92"/>
      <c r="AO50" s="92"/>
      <c r="AP50" s="92"/>
      <c r="AQ50" s="92"/>
      <c r="AR50" s="92"/>
      <c r="AS50" s="92"/>
      <c r="AT50" s="92"/>
      <c r="AU50" s="92"/>
      <c r="AV50" s="92"/>
      <c r="AW50" s="92"/>
      <c r="AX50" s="92"/>
      <c r="AY50" s="92"/>
      <c r="AZ50" s="92"/>
      <c r="BA50" s="92"/>
      <c r="BB50" s="92"/>
      <c r="BC50" s="92"/>
    </row>
    <row r="51" spans="1:62" s="78" customFormat="1" ht="22.5" customHeight="1" thickBot="1">
      <c r="A51" s="495"/>
      <c r="B51" s="497"/>
      <c r="C51" s="498"/>
      <c r="D51" s="501"/>
      <c r="E51" s="501" t="s">
        <v>1024</v>
      </c>
      <c r="F51" s="501" t="s">
        <v>896</v>
      </c>
      <c r="G51" s="501" t="s">
        <v>888</v>
      </c>
      <c r="H51" s="501" t="s">
        <v>1022</v>
      </c>
      <c r="I51" s="501" t="s">
        <v>1025</v>
      </c>
      <c r="J51" s="501" t="s">
        <v>806</v>
      </c>
      <c r="K51" s="501" t="s">
        <v>806</v>
      </c>
      <c r="L51" s="501"/>
      <c r="M51" s="501"/>
      <c r="N51" s="501"/>
      <c r="O51" s="501"/>
      <c r="P51" s="424"/>
      <c r="Q51" s="609"/>
      <c r="R51" s="205"/>
      <c r="S51" s="205"/>
      <c r="T51" s="496"/>
      <c r="U51" s="422"/>
      <c r="V51" s="440"/>
      <c r="W51" s="500"/>
      <c r="X51" s="423" t="s">
        <v>207</v>
      </c>
      <c r="Y51" s="419">
        <f>BR51/1000000</f>
        <v>0</v>
      </c>
      <c r="Z51" s="85"/>
      <c r="AA51" s="75"/>
      <c r="AB51" s="261"/>
      <c r="AC51" s="80"/>
      <c r="AD51" s="81"/>
      <c r="AE51" s="82"/>
      <c r="AF51" s="83"/>
      <c r="AG51" s="77"/>
      <c r="AH51" s="77"/>
      <c r="AI51" s="77"/>
      <c r="AJ51" s="77"/>
      <c r="AK51" s="77"/>
      <c r="AL51" s="77"/>
      <c r="AM51" s="77"/>
      <c r="AN51" s="77"/>
      <c r="AO51" s="77"/>
      <c r="AP51" s="77"/>
      <c r="AQ51" s="77"/>
      <c r="AR51" s="77"/>
      <c r="AS51" s="77"/>
      <c r="AT51" s="77"/>
      <c r="AU51" s="77"/>
      <c r="AV51" s="77"/>
      <c r="AW51" s="77"/>
      <c r="AX51" s="77"/>
      <c r="AY51" s="77"/>
      <c r="AZ51" s="77"/>
      <c r="BA51" s="77"/>
      <c r="BB51" s="77"/>
      <c r="BC51" s="77"/>
      <c r="BD51" s="68"/>
      <c r="BE51" s="68"/>
      <c r="BF51" s="68"/>
      <c r="BG51" s="68"/>
      <c r="BH51" s="68"/>
      <c r="BI51" s="68"/>
      <c r="BJ51" s="68"/>
    </row>
    <row r="52" spans="1:62" s="78" customFormat="1" ht="22.5" customHeight="1" thickBot="1">
      <c r="A52" s="490" t="s">
        <v>924</v>
      </c>
      <c r="B52" s="554">
        <v>0.05</v>
      </c>
      <c r="C52" s="555">
        <f>B52+D52+E52+F52+G52+H52+I52+J52+K52+L52+M52+N52+O52</f>
        <v>0.05</v>
      </c>
      <c r="D52" s="414"/>
      <c r="E52" s="414"/>
      <c r="F52" s="525"/>
      <c r="G52" s="525"/>
      <c r="H52" s="525"/>
      <c r="I52" s="525"/>
      <c r="J52" s="525"/>
      <c r="K52" s="525"/>
      <c r="L52" s="525"/>
      <c r="M52" s="525"/>
      <c r="N52" s="525"/>
      <c r="O52" s="525"/>
      <c r="P52" s="610"/>
      <c r="Q52" s="608" t="s">
        <v>1339</v>
      </c>
      <c r="R52" s="494" t="s">
        <v>1389</v>
      </c>
      <c r="S52" s="494">
        <v>328</v>
      </c>
      <c r="T52" s="614" t="s">
        <v>1338</v>
      </c>
      <c r="U52" s="520"/>
      <c r="V52" s="521" t="s">
        <v>799</v>
      </c>
      <c r="W52" s="522">
        <f>BL52/1000000</f>
        <v>0</v>
      </c>
      <c r="X52" s="523" t="s">
        <v>832</v>
      </c>
      <c r="Y52" s="524" t="e">
        <f>W52-#REF!/1.1+Y53</f>
        <v>#REF!</v>
      </c>
      <c r="Z52" s="90" t="s">
        <v>812</v>
      </c>
      <c r="AA52" s="79" t="s">
        <v>813</v>
      </c>
      <c r="AB52" s="260" t="s">
        <v>1322</v>
      </c>
      <c r="AC52" s="80" t="s">
        <v>799</v>
      </c>
      <c r="AD52" s="81">
        <v>4576831</v>
      </c>
      <c r="AE52" s="82"/>
      <c r="AF52" s="83">
        <f>SUM(AG52:BC52)</f>
        <v>0</v>
      </c>
      <c r="AG52" s="91"/>
      <c r="AH52" s="92"/>
      <c r="AI52" s="92"/>
      <c r="AJ52" s="92"/>
      <c r="AK52" s="92"/>
      <c r="AL52" s="92"/>
      <c r="AM52" s="92"/>
      <c r="AN52" s="92"/>
      <c r="AO52" s="92"/>
      <c r="AP52" s="92"/>
      <c r="AQ52" s="92"/>
      <c r="AR52" s="92"/>
      <c r="AS52" s="92"/>
      <c r="AT52" s="92"/>
      <c r="AU52" s="92"/>
      <c r="AV52" s="92"/>
      <c r="AW52" s="92"/>
      <c r="AX52" s="92"/>
      <c r="AY52" s="92"/>
      <c r="AZ52" s="92"/>
      <c r="BA52" s="92"/>
      <c r="BB52" s="92"/>
      <c r="BC52" s="92"/>
    </row>
    <row r="53" spans="1:62" s="78" customFormat="1" ht="22.5" customHeight="1" thickBot="1">
      <c r="A53" s="502"/>
      <c r="B53" s="558"/>
      <c r="C53" s="559"/>
      <c r="D53" s="560"/>
      <c r="E53" s="560"/>
      <c r="F53" s="560"/>
      <c r="G53" s="560"/>
      <c r="H53" s="560"/>
      <c r="I53" s="560"/>
      <c r="J53" s="560"/>
      <c r="K53" s="560"/>
      <c r="L53" s="560"/>
      <c r="M53" s="560"/>
      <c r="N53" s="560"/>
      <c r="O53" s="560"/>
      <c r="P53" s="611"/>
      <c r="Q53" s="609"/>
      <c r="R53" s="499"/>
      <c r="S53" s="499"/>
      <c r="T53" s="615"/>
      <c r="U53" s="531" t="s">
        <v>67</v>
      </c>
      <c r="V53" s="578" t="s">
        <v>27</v>
      </c>
      <c r="W53" s="579"/>
      <c r="X53" s="532" t="s">
        <v>207</v>
      </c>
      <c r="Y53" s="529">
        <f>BN53/1100000</f>
        <v>0</v>
      </c>
      <c r="Z53" s="69"/>
      <c r="AA53" s="69"/>
      <c r="AB53" s="261"/>
      <c r="AC53" s="80"/>
      <c r="AD53" s="81"/>
      <c r="AE53" s="82" t="s">
        <v>100</v>
      </c>
      <c r="AF53" s="83"/>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68"/>
      <c r="BE53" s="68"/>
      <c r="BF53" s="68"/>
      <c r="BG53" s="68"/>
      <c r="BH53" s="68"/>
      <c r="BI53" s="68"/>
      <c r="BJ53" s="68"/>
    </row>
    <row r="54" spans="1:62" s="78" customFormat="1" ht="22.5" customHeight="1" thickBot="1">
      <c r="A54" s="490" t="s">
        <v>933</v>
      </c>
      <c r="B54" s="554">
        <v>0.5</v>
      </c>
      <c r="C54" s="555">
        <f>B54+D54+E54+F54+G54+H54+I54+J54+K54+L54+M54+N54+O54</f>
        <v>0.79999999999999993</v>
      </c>
      <c r="D54" s="525">
        <v>0.1</v>
      </c>
      <c r="E54" s="525">
        <v>0.1</v>
      </c>
      <c r="F54" s="525">
        <v>0.1</v>
      </c>
      <c r="G54" s="525"/>
      <c r="H54" s="525"/>
      <c r="I54" s="525"/>
      <c r="J54" s="525"/>
      <c r="K54" s="525"/>
      <c r="L54" s="525"/>
      <c r="M54" s="525"/>
      <c r="N54" s="525"/>
      <c r="O54" s="525"/>
      <c r="P54" s="490"/>
      <c r="Q54" s="608" t="s">
        <v>1341</v>
      </c>
      <c r="R54" s="494" t="s">
        <v>1389</v>
      </c>
      <c r="S54" s="494">
        <v>336</v>
      </c>
      <c r="T54" s="614" t="s">
        <v>1340</v>
      </c>
      <c r="U54" s="520"/>
      <c r="V54" s="521" t="s">
        <v>104</v>
      </c>
      <c r="W54" s="522">
        <f>BL54/1000000</f>
        <v>0</v>
      </c>
      <c r="X54" s="523" t="s">
        <v>7</v>
      </c>
      <c r="Y54" s="524" t="e">
        <f>W54-#REF!/1.1+Y55</f>
        <v>#REF!</v>
      </c>
      <c r="Z54" s="90" t="s">
        <v>90</v>
      </c>
      <c r="AA54" s="79" t="s">
        <v>34</v>
      </c>
      <c r="AB54" s="260"/>
      <c r="AC54" s="80" t="s">
        <v>104</v>
      </c>
      <c r="AD54" s="81">
        <v>10000000</v>
      </c>
      <c r="AE54" s="82"/>
      <c r="AF54" s="83">
        <f>SUM(AG54:BC54)</f>
        <v>0</v>
      </c>
      <c r="AG54" s="91"/>
      <c r="AH54" s="92"/>
      <c r="AI54" s="92"/>
      <c r="AJ54" s="92"/>
      <c r="AK54" s="92"/>
      <c r="AL54" s="92"/>
      <c r="AM54" s="92"/>
      <c r="AN54" s="92"/>
      <c r="AO54" s="92"/>
      <c r="AP54" s="92"/>
      <c r="AQ54" s="92"/>
      <c r="AR54" s="92"/>
      <c r="AS54" s="92"/>
      <c r="AT54" s="92"/>
      <c r="AU54" s="92"/>
      <c r="AV54" s="92"/>
      <c r="AW54" s="92"/>
      <c r="AX54" s="92"/>
      <c r="AY54" s="92"/>
      <c r="AZ54" s="92"/>
      <c r="BA54" s="92"/>
      <c r="BB54" s="92"/>
      <c r="BC54" s="92"/>
    </row>
    <row r="55" spans="1:62" s="78" customFormat="1" ht="22.5" customHeight="1" thickBot="1">
      <c r="A55" s="502"/>
      <c r="B55" s="558"/>
      <c r="C55" s="559"/>
      <c r="D55" s="560"/>
      <c r="E55" s="560"/>
      <c r="F55" s="560"/>
      <c r="G55" s="560"/>
      <c r="H55" s="560"/>
      <c r="I55" s="560"/>
      <c r="J55" s="560"/>
      <c r="K55" s="560"/>
      <c r="L55" s="560"/>
      <c r="M55" s="560"/>
      <c r="N55" s="560"/>
      <c r="O55" s="560"/>
      <c r="P55" s="495"/>
      <c r="Q55" s="609"/>
      <c r="R55" s="499"/>
      <c r="S55" s="499"/>
      <c r="T55" s="615"/>
      <c r="U55" s="531" t="s">
        <v>67</v>
      </c>
      <c r="V55" s="578" t="s">
        <v>27</v>
      </c>
      <c r="W55" s="579"/>
      <c r="X55" s="532" t="s">
        <v>207</v>
      </c>
      <c r="Y55" s="529">
        <f>BN55/1100000</f>
        <v>0</v>
      </c>
      <c r="Z55" s="69"/>
      <c r="AA55" s="75"/>
      <c r="AB55" s="261"/>
      <c r="AC55" s="80"/>
      <c r="AD55" s="81"/>
      <c r="AE55" s="82" t="s">
        <v>100</v>
      </c>
      <c r="AF55" s="83"/>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68"/>
      <c r="BE55" s="68"/>
      <c r="BF55" s="68"/>
      <c r="BG55" s="68"/>
      <c r="BH55" s="68"/>
      <c r="BI55" s="68"/>
      <c r="BJ55" s="68"/>
    </row>
    <row r="56" spans="1:62" s="78" customFormat="1" ht="22.5" customHeight="1" thickBot="1">
      <c r="A56" s="490" t="s">
        <v>1015</v>
      </c>
      <c r="B56" s="554"/>
      <c r="C56" s="555">
        <f>B56+D56+E56+F56+G56+H56+I56+J56+K56+L56+M56+N56+O56</f>
        <v>0.4</v>
      </c>
      <c r="D56" s="525"/>
      <c r="E56" s="525"/>
      <c r="F56" s="525"/>
      <c r="G56" s="525"/>
      <c r="H56" s="525"/>
      <c r="I56" s="525"/>
      <c r="J56" s="525"/>
      <c r="K56" s="525"/>
      <c r="L56" s="525"/>
      <c r="M56" s="525"/>
      <c r="N56" s="525">
        <v>0.4</v>
      </c>
      <c r="O56" s="525"/>
      <c r="P56" s="566"/>
      <c r="Q56" s="608" t="s">
        <v>1341</v>
      </c>
      <c r="R56" s="494" t="s">
        <v>1389</v>
      </c>
      <c r="S56" s="494">
        <v>320</v>
      </c>
      <c r="T56" s="614" t="s">
        <v>1344</v>
      </c>
      <c r="U56" s="520"/>
      <c r="V56" s="521" t="s">
        <v>104</v>
      </c>
      <c r="W56" s="522">
        <f>BL56/1000000</f>
        <v>0</v>
      </c>
      <c r="X56" s="523" t="s">
        <v>7</v>
      </c>
      <c r="Y56" s="524" t="e">
        <f>W56-#REF!/1.1+Y57</f>
        <v>#REF!</v>
      </c>
      <c r="Z56" s="90" t="s">
        <v>90</v>
      </c>
      <c r="AA56" s="79" t="s">
        <v>34</v>
      </c>
      <c r="AB56" s="260"/>
      <c r="AC56" s="80" t="s">
        <v>104</v>
      </c>
      <c r="AD56" s="81">
        <v>3100000</v>
      </c>
      <c r="AE56" s="82"/>
      <c r="AF56" s="83">
        <f>SUM(AG56:BC56)</f>
        <v>0</v>
      </c>
      <c r="AG56" s="91"/>
      <c r="AH56" s="92"/>
      <c r="AI56" s="92"/>
      <c r="AJ56" s="92"/>
      <c r="AK56" s="92"/>
      <c r="AL56" s="92"/>
      <c r="AM56" s="92"/>
      <c r="AN56" s="92"/>
      <c r="AO56" s="92"/>
      <c r="AP56" s="92"/>
      <c r="AQ56" s="92"/>
      <c r="AR56" s="92"/>
      <c r="AS56" s="92"/>
      <c r="AT56" s="92"/>
      <c r="AU56" s="92"/>
      <c r="AV56" s="92"/>
      <c r="AW56" s="92"/>
      <c r="AX56" s="92"/>
      <c r="AY56" s="92"/>
      <c r="AZ56" s="92"/>
      <c r="BA56" s="92"/>
      <c r="BB56" s="92"/>
      <c r="BC56" s="92"/>
    </row>
    <row r="57" spans="1:62" s="78" customFormat="1" ht="22.5" customHeight="1" thickBot="1">
      <c r="A57" s="502"/>
      <c r="B57" s="558"/>
      <c r="C57" s="559"/>
      <c r="D57" s="560"/>
      <c r="E57" s="560"/>
      <c r="F57" s="560"/>
      <c r="G57" s="560"/>
      <c r="H57" s="560"/>
      <c r="I57" s="560"/>
      <c r="J57" s="560"/>
      <c r="K57" s="560"/>
      <c r="L57" s="560"/>
      <c r="M57" s="560"/>
      <c r="N57" s="560" t="s">
        <v>1345</v>
      </c>
      <c r="O57" s="560"/>
      <c r="P57" s="601"/>
      <c r="Q57" s="609"/>
      <c r="R57" s="499"/>
      <c r="S57" s="499"/>
      <c r="T57" s="615"/>
      <c r="U57" s="531" t="s">
        <v>67</v>
      </c>
      <c r="V57" s="578" t="s">
        <v>27</v>
      </c>
      <c r="W57" s="579"/>
      <c r="X57" s="532" t="s">
        <v>207</v>
      </c>
      <c r="Y57" s="529">
        <f>BN57/1100000</f>
        <v>0</v>
      </c>
      <c r="Z57" s="69"/>
      <c r="AA57" s="75"/>
      <c r="AB57" s="261"/>
      <c r="AC57" s="80"/>
      <c r="AD57" s="81"/>
      <c r="AE57" s="82" t="s">
        <v>100</v>
      </c>
      <c r="AF57" s="83"/>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68"/>
      <c r="BE57" s="68"/>
      <c r="BF57" s="68"/>
      <c r="BG57" s="68"/>
      <c r="BH57" s="68"/>
      <c r="BI57" s="68"/>
      <c r="BJ57" s="68"/>
    </row>
    <row r="58" spans="1:62" s="78" customFormat="1" ht="22.5" customHeight="1" thickBot="1">
      <c r="A58" s="490" t="s">
        <v>1346</v>
      </c>
      <c r="B58" s="554">
        <v>0.2</v>
      </c>
      <c r="C58" s="555">
        <f>B58+D58+E58+F58+G58+H58+I58+J58+K58+L58+M58+N58+O58</f>
        <v>0.5</v>
      </c>
      <c r="D58" s="525">
        <v>0.1</v>
      </c>
      <c r="E58" s="525">
        <v>0.1</v>
      </c>
      <c r="F58" s="525">
        <v>0.1</v>
      </c>
      <c r="G58" s="525"/>
      <c r="H58" s="525"/>
      <c r="I58" s="525"/>
      <c r="J58" s="525"/>
      <c r="K58" s="525"/>
      <c r="L58" s="525"/>
      <c r="M58" s="525"/>
      <c r="N58" s="525"/>
      <c r="O58" s="525"/>
      <c r="P58" s="610"/>
      <c r="Q58" s="608" t="s">
        <v>1341</v>
      </c>
      <c r="R58" s="494" t="s">
        <v>1389</v>
      </c>
      <c r="S58" s="494">
        <v>287</v>
      </c>
      <c r="T58" s="614" t="s">
        <v>1347</v>
      </c>
      <c r="U58" s="520"/>
      <c r="V58" s="521" t="s">
        <v>104</v>
      </c>
      <c r="W58" s="522">
        <f>BL58/1000000</f>
        <v>0</v>
      </c>
      <c r="X58" s="523" t="s">
        <v>7</v>
      </c>
      <c r="Y58" s="524" t="e">
        <f>W58-#REF!/1.1+Y59</f>
        <v>#REF!</v>
      </c>
      <c r="Z58" s="90" t="s">
        <v>90</v>
      </c>
      <c r="AA58" s="79" t="s">
        <v>34</v>
      </c>
      <c r="AB58" s="260" t="s">
        <v>194</v>
      </c>
      <c r="AC58" s="80" t="s">
        <v>104</v>
      </c>
      <c r="AD58" s="81">
        <v>5000000</v>
      </c>
      <c r="AE58" s="82"/>
      <c r="AF58" s="83">
        <f>SUM(AG58:BC58)</f>
        <v>0</v>
      </c>
      <c r="AG58" s="91"/>
      <c r="AH58" s="92"/>
      <c r="AI58" s="92"/>
      <c r="AJ58" s="92"/>
      <c r="AK58" s="92"/>
      <c r="AL58" s="92"/>
      <c r="AM58" s="92"/>
      <c r="AN58" s="92"/>
      <c r="AO58" s="92"/>
      <c r="AP58" s="92"/>
      <c r="AQ58" s="92"/>
      <c r="AR58" s="92"/>
      <c r="AS58" s="92"/>
      <c r="AT58" s="92"/>
      <c r="AU58" s="92"/>
      <c r="AV58" s="92"/>
      <c r="AW58" s="92"/>
      <c r="AX58" s="92"/>
      <c r="AY58" s="92"/>
      <c r="AZ58" s="92"/>
      <c r="BA58" s="92"/>
      <c r="BB58" s="92"/>
      <c r="BC58" s="92"/>
    </row>
    <row r="59" spans="1:62" s="78" customFormat="1" ht="22.5" customHeight="1" thickBot="1">
      <c r="A59" s="502"/>
      <c r="B59" s="558"/>
      <c r="C59" s="559"/>
      <c r="D59" s="560"/>
      <c r="E59" s="560"/>
      <c r="F59" s="560"/>
      <c r="G59" s="560"/>
      <c r="H59" s="560"/>
      <c r="I59" s="560"/>
      <c r="J59" s="560"/>
      <c r="K59" s="560"/>
      <c r="L59" s="560"/>
      <c r="M59" s="560"/>
      <c r="N59" s="560"/>
      <c r="O59" s="560"/>
      <c r="P59" s="611"/>
      <c r="Q59" s="609"/>
      <c r="R59" s="499"/>
      <c r="S59" s="499"/>
      <c r="T59" s="615"/>
      <c r="U59" s="531" t="s">
        <v>67</v>
      </c>
      <c r="V59" s="578" t="s">
        <v>27</v>
      </c>
      <c r="W59" s="579"/>
      <c r="X59" s="532" t="s">
        <v>207</v>
      </c>
      <c r="Y59" s="529">
        <f>BN59/1100000</f>
        <v>0</v>
      </c>
      <c r="Z59" s="69"/>
      <c r="AA59" s="69"/>
      <c r="AB59" s="261"/>
      <c r="AC59" s="80"/>
      <c r="AD59" s="81"/>
      <c r="AE59" s="82" t="s">
        <v>100</v>
      </c>
      <c r="AF59" s="83"/>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68"/>
      <c r="BE59" s="68"/>
      <c r="BF59" s="68"/>
      <c r="BG59" s="68"/>
      <c r="BH59" s="68"/>
      <c r="BI59" s="68"/>
      <c r="BJ59" s="68"/>
    </row>
    <row r="60" spans="1:62" s="78" customFormat="1" ht="22.5" customHeight="1" thickBot="1">
      <c r="A60" s="490" t="s">
        <v>734</v>
      </c>
      <c r="B60" s="554">
        <v>0.05</v>
      </c>
      <c r="C60" s="555">
        <f>B60+D60+E60+F60+G60+H60+I60+J60+K60+L60+M60+N60+O60</f>
        <v>0.05</v>
      </c>
      <c r="D60" s="525"/>
      <c r="E60" s="525"/>
      <c r="F60" s="525"/>
      <c r="G60" s="525"/>
      <c r="H60" s="525"/>
      <c r="I60" s="525"/>
      <c r="J60" s="525"/>
      <c r="K60" s="525"/>
      <c r="L60" s="525"/>
      <c r="M60" s="525"/>
      <c r="N60" s="525"/>
      <c r="O60" s="525"/>
      <c r="P60" s="490"/>
      <c r="Q60" s="608" t="s">
        <v>1341</v>
      </c>
      <c r="R60" s="494" t="s">
        <v>1389</v>
      </c>
      <c r="S60" s="494">
        <v>325</v>
      </c>
      <c r="T60" s="614" t="s">
        <v>1348</v>
      </c>
      <c r="U60" s="520"/>
      <c r="V60" s="521" t="s">
        <v>104</v>
      </c>
      <c r="W60" s="522">
        <f>BL60/1000000</f>
        <v>0</v>
      </c>
      <c r="X60" s="523" t="s">
        <v>7</v>
      </c>
      <c r="Y60" s="524" t="e">
        <f>W60-#REF!/1.1+Y61</f>
        <v>#REF!</v>
      </c>
      <c r="Z60" s="90" t="s">
        <v>90</v>
      </c>
      <c r="AA60" s="79" t="s">
        <v>34</v>
      </c>
      <c r="AB60" s="260"/>
      <c r="AC60" s="80" t="s">
        <v>104</v>
      </c>
      <c r="AD60" s="81">
        <v>15000000</v>
      </c>
      <c r="AE60" s="82"/>
      <c r="AF60" s="83">
        <f>SUM(AG60:BC60)</f>
        <v>0</v>
      </c>
      <c r="AG60" s="91"/>
      <c r="AH60" s="92"/>
      <c r="AI60" s="92"/>
      <c r="AJ60" s="92"/>
      <c r="AK60" s="92"/>
      <c r="AL60" s="92"/>
      <c r="AM60" s="92"/>
      <c r="AN60" s="92"/>
      <c r="AO60" s="92"/>
      <c r="AP60" s="92"/>
      <c r="AQ60" s="92"/>
      <c r="AR60" s="92"/>
      <c r="AS60" s="92"/>
      <c r="AT60" s="92"/>
      <c r="AU60" s="92"/>
      <c r="AV60" s="92"/>
      <c r="AW60" s="92"/>
      <c r="AX60" s="92"/>
      <c r="AY60" s="92"/>
      <c r="AZ60" s="92"/>
      <c r="BA60" s="92"/>
      <c r="BB60" s="92"/>
      <c r="BC60" s="92"/>
    </row>
    <row r="61" spans="1:62" s="78" customFormat="1" ht="22.5" customHeight="1" thickBot="1">
      <c r="A61" s="502"/>
      <c r="B61" s="558"/>
      <c r="C61" s="559"/>
      <c r="D61" s="560"/>
      <c r="E61" s="560"/>
      <c r="F61" s="560"/>
      <c r="G61" s="560"/>
      <c r="H61" s="560"/>
      <c r="I61" s="560"/>
      <c r="J61" s="560"/>
      <c r="K61" s="560"/>
      <c r="L61" s="560"/>
      <c r="M61" s="560"/>
      <c r="N61" s="560"/>
      <c r="O61" s="560"/>
      <c r="P61" s="495"/>
      <c r="Q61" s="609"/>
      <c r="R61" s="499"/>
      <c r="S61" s="499"/>
      <c r="T61" s="615"/>
      <c r="U61" s="531" t="s">
        <v>67</v>
      </c>
      <c r="V61" s="578" t="s">
        <v>27</v>
      </c>
      <c r="W61" s="579"/>
      <c r="X61" s="532" t="s">
        <v>207</v>
      </c>
      <c r="Y61" s="529">
        <f>BN61/1100000</f>
        <v>0</v>
      </c>
      <c r="Z61" s="69"/>
      <c r="AA61" s="75"/>
      <c r="AB61" s="261"/>
      <c r="AC61" s="80"/>
      <c r="AD61" s="81"/>
      <c r="AE61" s="82" t="s">
        <v>100</v>
      </c>
      <c r="AF61" s="83"/>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68"/>
      <c r="BE61" s="68"/>
      <c r="BF61" s="68"/>
      <c r="BG61" s="68"/>
      <c r="BH61" s="68"/>
      <c r="BI61" s="68"/>
      <c r="BJ61" s="68"/>
    </row>
    <row r="62" spans="1:62" s="78" customFormat="1" ht="22.5" customHeight="1" thickBot="1">
      <c r="A62" s="490" t="s">
        <v>1349</v>
      </c>
      <c r="B62" s="554">
        <v>0.4</v>
      </c>
      <c r="C62" s="555">
        <f>B62+D62+E62+F62+G62+H62+I62+J62+K62+L62+M62+N62+O62</f>
        <v>0.7</v>
      </c>
      <c r="D62" s="525">
        <v>0.1</v>
      </c>
      <c r="E62" s="525"/>
      <c r="F62" s="525">
        <v>0.1</v>
      </c>
      <c r="G62" s="525">
        <v>0.1</v>
      </c>
      <c r="H62" s="525"/>
      <c r="I62" s="525"/>
      <c r="J62" s="525"/>
      <c r="K62" s="525"/>
      <c r="L62" s="525"/>
      <c r="M62" s="525"/>
      <c r="N62" s="525"/>
      <c r="O62" s="525"/>
      <c r="P62" s="566"/>
      <c r="Q62" s="608" t="s">
        <v>1341</v>
      </c>
      <c r="R62" s="494" t="s">
        <v>1389</v>
      </c>
      <c r="S62" s="494">
        <v>288</v>
      </c>
      <c r="T62" s="616" t="s">
        <v>1350</v>
      </c>
      <c r="U62" s="520"/>
      <c r="V62" s="521" t="s">
        <v>104</v>
      </c>
      <c r="W62" s="522">
        <f>BL62/1000000</f>
        <v>0</v>
      </c>
      <c r="X62" s="523" t="s">
        <v>7</v>
      </c>
      <c r="Y62" s="524" t="e">
        <f>W62-#REF!/1.1+Y63</f>
        <v>#REF!</v>
      </c>
      <c r="Z62" s="90" t="s">
        <v>90</v>
      </c>
      <c r="AA62" s="79" t="s">
        <v>34</v>
      </c>
      <c r="AB62" s="260"/>
      <c r="AC62" s="80" t="s">
        <v>104</v>
      </c>
      <c r="AD62" s="81">
        <v>66000000</v>
      </c>
      <c r="AE62" s="82"/>
      <c r="AF62" s="83">
        <f>SUM(AG62:BC62)</f>
        <v>0</v>
      </c>
      <c r="AG62" s="91"/>
      <c r="AH62" s="92"/>
      <c r="AI62" s="92"/>
      <c r="AJ62" s="92"/>
      <c r="AK62" s="92"/>
      <c r="AL62" s="92"/>
      <c r="AM62" s="92"/>
      <c r="AN62" s="92"/>
      <c r="AO62" s="92"/>
      <c r="AP62" s="92"/>
      <c r="AQ62" s="92"/>
      <c r="AR62" s="92"/>
      <c r="AS62" s="92"/>
      <c r="AT62" s="92"/>
      <c r="AU62" s="92"/>
      <c r="AV62" s="92"/>
      <c r="AW62" s="92"/>
      <c r="AX62" s="92"/>
      <c r="AY62" s="92"/>
      <c r="AZ62" s="92"/>
      <c r="BA62" s="92"/>
      <c r="BB62" s="92"/>
      <c r="BC62" s="92"/>
    </row>
    <row r="63" spans="1:62" s="78" customFormat="1" ht="22.5" customHeight="1" thickBot="1">
      <c r="A63" s="502"/>
      <c r="B63" s="558"/>
      <c r="C63" s="559"/>
      <c r="D63" s="560"/>
      <c r="E63" s="560"/>
      <c r="F63" s="560"/>
      <c r="G63" s="560"/>
      <c r="H63" s="560"/>
      <c r="I63" s="560"/>
      <c r="J63" s="560"/>
      <c r="K63" s="560"/>
      <c r="L63" s="560"/>
      <c r="M63" s="560"/>
      <c r="N63" s="560"/>
      <c r="O63" s="560"/>
      <c r="P63" s="601"/>
      <c r="Q63" s="609"/>
      <c r="R63" s="499"/>
      <c r="S63" s="499"/>
      <c r="T63" s="425"/>
      <c r="U63" s="531" t="s">
        <v>67</v>
      </c>
      <c r="V63" s="578" t="s">
        <v>27</v>
      </c>
      <c r="W63" s="579"/>
      <c r="X63" s="532" t="s">
        <v>207</v>
      </c>
      <c r="Y63" s="529">
        <f>BN63/1100000</f>
        <v>0</v>
      </c>
      <c r="Z63" s="69"/>
      <c r="AA63" s="75"/>
      <c r="AB63" s="261"/>
      <c r="AC63" s="80"/>
      <c r="AD63" s="81"/>
      <c r="AE63" s="82" t="s">
        <v>100</v>
      </c>
      <c r="AF63" s="83"/>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68"/>
      <c r="BE63" s="68"/>
      <c r="BF63" s="68"/>
      <c r="BG63" s="68"/>
      <c r="BH63" s="68"/>
      <c r="BI63" s="68"/>
      <c r="BJ63" s="68"/>
    </row>
    <row r="64" spans="1:62" s="78" customFormat="1" ht="22.5" customHeight="1" thickBot="1">
      <c r="A64" s="490" t="s">
        <v>1351</v>
      </c>
      <c r="B64" s="554">
        <v>0</v>
      </c>
      <c r="C64" s="555">
        <f>B64+D64+E64+F64+G64+H64+I64+J64+K64+L64+M64+N64+O64</f>
        <v>0.28000000000000003</v>
      </c>
      <c r="D64" s="525"/>
      <c r="E64" s="525"/>
      <c r="F64" s="525">
        <v>0.03</v>
      </c>
      <c r="G64" s="525">
        <v>0.03</v>
      </c>
      <c r="H64" s="525">
        <v>0.02</v>
      </c>
      <c r="I64" s="525"/>
      <c r="J64" s="525"/>
      <c r="K64" s="525"/>
      <c r="L64" s="525"/>
      <c r="M64" s="525">
        <v>0.2</v>
      </c>
      <c r="N64" s="525"/>
      <c r="O64" s="525"/>
      <c r="P64" s="566"/>
      <c r="Q64" s="608" t="s">
        <v>1353</v>
      </c>
      <c r="R64" s="494" t="s">
        <v>1389</v>
      </c>
      <c r="S64" s="494">
        <v>329</v>
      </c>
      <c r="T64" s="614" t="s">
        <v>1352</v>
      </c>
      <c r="U64" s="520"/>
      <c r="V64" s="521" t="s">
        <v>104</v>
      </c>
      <c r="W64" s="522">
        <f>BL64/1000000</f>
        <v>0</v>
      </c>
      <c r="X64" s="523" t="s">
        <v>7</v>
      </c>
      <c r="Y64" s="524" t="e">
        <f>W64-#REF!/1.1+Y65</f>
        <v>#REF!</v>
      </c>
      <c r="Z64" s="90" t="s">
        <v>90</v>
      </c>
      <c r="AA64" s="79" t="s">
        <v>34</v>
      </c>
      <c r="AB64" s="260"/>
      <c r="AC64" s="80" t="s">
        <v>104</v>
      </c>
      <c r="AD64" s="81">
        <v>101387000</v>
      </c>
      <c r="AE64" s="82"/>
      <c r="AF64" s="83">
        <f>SUM(AG64:BC64)</f>
        <v>0</v>
      </c>
      <c r="AG64" s="91"/>
      <c r="AH64" s="92"/>
      <c r="AI64" s="92"/>
      <c r="AJ64" s="92"/>
      <c r="AK64" s="92"/>
      <c r="AL64" s="92"/>
      <c r="AM64" s="92"/>
      <c r="AN64" s="92"/>
      <c r="AO64" s="92"/>
      <c r="AP64" s="92"/>
      <c r="AQ64" s="92"/>
      <c r="AR64" s="92"/>
      <c r="AS64" s="92"/>
      <c r="AT64" s="92"/>
      <c r="AU64" s="92"/>
      <c r="AV64" s="92"/>
      <c r="AW64" s="92"/>
      <c r="AX64" s="92"/>
      <c r="AY64" s="92"/>
      <c r="AZ64" s="92"/>
      <c r="BA64" s="92"/>
      <c r="BB64" s="92"/>
      <c r="BC64" s="92"/>
    </row>
    <row r="65" spans="1:62" s="78" customFormat="1" ht="22.5" customHeight="1" thickBot="1">
      <c r="A65" s="502"/>
      <c r="B65" s="558"/>
      <c r="C65" s="559"/>
      <c r="D65" s="560"/>
      <c r="E65" s="560"/>
      <c r="F65" s="560"/>
      <c r="G65" s="560"/>
      <c r="H65" s="560"/>
      <c r="I65" s="560"/>
      <c r="J65" s="560"/>
      <c r="K65" s="560"/>
      <c r="L65" s="560"/>
      <c r="M65" s="560" t="s">
        <v>1345</v>
      </c>
      <c r="N65" s="560"/>
      <c r="O65" s="560"/>
      <c r="P65" s="601"/>
      <c r="Q65" s="609"/>
      <c r="R65" s="499"/>
      <c r="S65" s="499"/>
      <c r="T65" s="615"/>
      <c r="U65" s="531" t="s">
        <v>67</v>
      </c>
      <c r="V65" s="578" t="s">
        <v>27</v>
      </c>
      <c r="W65" s="579"/>
      <c r="X65" s="532" t="s">
        <v>207</v>
      </c>
      <c r="Y65" s="529">
        <f>BN65/1100000</f>
        <v>0</v>
      </c>
      <c r="Z65" s="69"/>
      <c r="AA65" s="75"/>
      <c r="AB65" s="261"/>
      <c r="AC65" s="80"/>
      <c r="AD65" s="81"/>
      <c r="AE65" s="82" t="s">
        <v>100</v>
      </c>
      <c r="AF65" s="83"/>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68"/>
      <c r="BE65" s="68"/>
      <c r="BF65" s="68"/>
      <c r="BG65" s="68"/>
      <c r="BH65" s="68"/>
      <c r="BI65" s="68"/>
      <c r="BJ65" s="68"/>
    </row>
    <row r="66" spans="1:62" s="78" customFormat="1" ht="22.5" customHeight="1" thickBot="1">
      <c r="A66" s="490" t="s">
        <v>1359</v>
      </c>
      <c r="B66" s="554">
        <v>0.3</v>
      </c>
      <c r="C66" s="555">
        <f>B66+D66+E66+F66+G66+H66+I66+J66+K66+L66+M66+N66+O66</f>
        <v>0.65000000000000013</v>
      </c>
      <c r="D66" s="525"/>
      <c r="E66" s="525">
        <v>0.1</v>
      </c>
      <c r="F66" s="525">
        <v>0.1</v>
      </c>
      <c r="G66" s="525">
        <v>0.05</v>
      </c>
      <c r="H66" s="525"/>
      <c r="I66" s="525">
        <v>0.05</v>
      </c>
      <c r="J66" s="414"/>
      <c r="K66" s="525">
        <v>0.05</v>
      </c>
      <c r="L66" s="525"/>
      <c r="M66" s="525"/>
      <c r="N66" s="525"/>
      <c r="O66" s="525"/>
      <c r="P66" s="490"/>
      <c r="Q66" s="608" t="s">
        <v>1361</v>
      </c>
      <c r="R66" s="494" t="s">
        <v>1389</v>
      </c>
      <c r="S66" s="494">
        <v>272</v>
      </c>
      <c r="T66" s="617" t="s">
        <v>1360</v>
      </c>
      <c r="U66" s="520"/>
      <c r="V66" s="521" t="s">
        <v>799</v>
      </c>
      <c r="W66" s="522">
        <f>BL66/1000000</f>
        <v>0</v>
      </c>
      <c r="X66" s="523" t="s">
        <v>832</v>
      </c>
      <c r="Y66" s="524" t="e">
        <f>W66-#REF!/1.1+Y67</f>
        <v>#REF!</v>
      </c>
      <c r="Z66" s="90" t="s">
        <v>812</v>
      </c>
      <c r="AA66" s="79" t="s">
        <v>813</v>
      </c>
      <c r="AB66" s="260" t="s">
        <v>1322</v>
      </c>
      <c r="AC66" s="80" t="s">
        <v>799</v>
      </c>
      <c r="AD66" s="81">
        <v>80000000</v>
      </c>
      <c r="AE66" s="82"/>
      <c r="AF66" s="83">
        <f>SUM(AG66:BC66)</f>
        <v>0</v>
      </c>
      <c r="AG66" s="91"/>
      <c r="AH66" s="92"/>
      <c r="AI66" s="92"/>
      <c r="AJ66" s="92"/>
      <c r="AK66" s="92"/>
      <c r="AL66" s="92"/>
      <c r="AM66" s="92"/>
      <c r="AN66" s="92"/>
      <c r="AO66" s="92"/>
      <c r="AP66" s="92"/>
      <c r="AQ66" s="92"/>
      <c r="AR66" s="92"/>
      <c r="AS66" s="92"/>
      <c r="AT66" s="92"/>
      <c r="AU66" s="92"/>
      <c r="AV66" s="92"/>
      <c r="AW66" s="92"/>
      <c r="AX66" s="92"/>
      <c r="AY66" s="92"/>
      <c r="AZ66" s="92"/>
      <c r="BA66" s="92"/>
      <c r="BB66" s="92"/>
      <c r="BC66" s="92"/>
    </row>
    <row r="67" spans="1:62" s="78" customFormat="1" ht="22.5" customHeight="1" thickBot="1">
      <c r="A67" s="502"/>
      <c r="B67" s="558"/>
      <c r="C67" s="570"/>
      <c r="D67" s="560"/>
      <c r="E67" s="560"/>
      <c r="F67" s="560"/>
      <c r="G67" s="560"/>
      <c r="H67" s="560"/>
      <c r="I67" s="560"/>
      <c r="J67" s="560"/>
      <c r="K67" s="560"/>
      <c r="L67" s="560"/>
      <c r="M67" s="560"/>
      <c r="N67" s="560"/>
      <c r="O67" s="560"/>
      <c r="P67" s="611"/>
      <c r="Q67" s="609"/>
      <c r="R67" s="499"/>
      <c r="S67" s="499"/>
      <c r="T67" s="618"/>
      <c r="U67" s="531" t="s">
        <v>67</v>
      </c>
      <c r="V67" s="578" t="s">
        <v>27</v>
      </c>
      <c r="W67" s="579"/>
      <c r="X67" s="532" t="s">
        <v>207</v>
      </c>
      <c r="Y67" s="529">
        <f>BN67/1100000</f>
        <v>0</v>
      </c>
      <c r="Z67" s="69"/>
      <c r="AA67" s="69"/>
      <c r="AB67" s="261"/>
      <c r="AC67" s="80"/>
      <c r="AD67" s="81"/>
      <c r="AE67" s="82" t="s">
        <v>100</v>
      </c>
      <c r="AF67" s="83"/>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68"/>
      <c r="BE67" s="68"/>
      <c r="BF67" s="68"/>
      <c r="BG67" s="68"/>
      <c r="BH67" s="68"/>
      <c r="BI67" s="68"/>
      <c r="BJ67" s="68"/>
    </row>
    <row r="68" spans="1:62" s="78" customFormat="1" ht="22.5" customHeight="1" thickBot="1">
      <c r="A68" s="490" t="s">
        <v>1229</v>
      </c>
      <c r="B68" s="554"/>
      <c r="C68" s="555">
        <f>B68+D68+E68+F68+G68+H68+I68+J68+K68+L68+M68+N68+O68</f>
        <v>0.30000000000000004</v>
      </c>
      <c r="D68" s="525"/>
      <c r="E68" s="525"/>
      <c r="F68" s="525"/>
      <c r="G68" s="525"/>
      <c r="H68" s="525"/>
      <c r="I68" s="525"/>
      <c r="J68" s="525"/>
      <c r="K68" s="525">
        <v>0.05</v>
      </c>
      <c r="L68" s="525">
        <v>0.05</v>
      </c>
      <c r="M68" s="525">
        <v>0.1</v>
      </c>
      <c r="N68" s="525">
        <v>0.1</v>
      </c>
      <c r="O68" s="525"/>
      <c r="P68" s="610" t="s">
        <v>1371</v>
      </c>
      <c r="Q68" s="608" t="s">
        <v>1353</v>
      </c>
      <c r="R68" s="494" t="s">
        <v>1389</v>
      </c>
      <c r="S68" s="494">
        <v>365</v>
      </c>
      <c r="T68" s="617" t="s">
        <v>1370</v>
      </c>
      <c r="U68" s="520"/>
      <c r="V68" s="521" t="s">
        <v>104</v>
      </c>
      <c r="W68" s="522">
        <f>BL68/1000000</f>
        <v>0</v>
      </c>
      <c r="X68" s="523" t="s">
        <v>7</v>
      </c>
      <c r="Y68" s="524" t="e">
        <f>W68-#REF!/1.1+Y69</f>
        <v>#REF!</v>
      </c>
      <c r="Z68" s="90" t="s">
        <v>90</v>
      </c>
      <c r="AA68" s="79" t="s">
        <v>34</v>
      </c>
      <c r="AB68" s="260"/>
      <c r="AC68" s="80" t="s">
        <v>104</v>
      </c>
      <c r="AD68" s="81">
        <v>27060000</v>
      </c>
      <c r="AE68" s="82"/>
      <c r="AF68" s="83">
        <f>SUM(AG68:BC68)</f>
        <v>0</v>
      </c>
      <c r="AG68" s="91"/>
      <c r="AH68" s="92"/>
      <c r="AI68" s="92"/>
      <c r="AJ68" s="92"/>
      <c r="AK68" s="92"/>
      <c r="AL68" s="92"/>
      <c r="AM68" s="92"/>
      <c r="AN68" s="92"/>
      <c r="AO68" s="92"/>
      <c r="AP68" s="92"/>
      <c r="AQ68" s="92"/>
      <c r="AR68" s="92"/>
      <c r="AS68" s="92"/>
      <c r="AT68" s="92"/>
      <c r="AU68" s="92"/>
      <c r="AV68" s="92"/>
      <c r="AW68" s="92"/>
      <c r="AX68" s="92"/>
      <c r="AY68" s="92"/>
      <c r="AZ68" s="92"/>
      <c r="BA68" s="92"/>
      <c r="BB68" s="92"/>
      <c r="BC68" s="92"/>
    </row>
    <row r="69" spans="1:62" s="78" customFormat="1" ht="22.5" customHeight="1" thickBot="1">
      <c r="A69" s="502"/>
      <c r="B69" s="558"/>
      <c r="C69" s="559"/>
      <c r="D69" s="560"/>
      <c r="E69" s="560"/>
      <c r="F69" s="560"/>
      <c r="G69" s="560"/>
      <c r="H69" s="560"/>
      <c r="I69" s="560"/>
      <c r="J69" s="560"/>
      <c r="K69" s="560" t="s">
        <v>1368</v>
      </c>
      <c r="L69" s="560" t="s">
        <v>1323</v>
      </c>
      <c r="M69" s="560" t="s">
        <v>1372</v>
      </c>
      <c r="N69" s="560"/>
      <c r="O69" s="560"/>
      <c r="P69" s="611"/>
      <c r="Q69" s="609"/>
      <c r="R69" s="499"/>
      <c r="S69" s="499"/>
      <c r="T69" s="618"/>
      <c r="U69" s="531" t="s">
        <v>67</v>
      </c>
      <c r="V69" s="578" t="s">
        <v>27</v>
      </c>
      <c r="W69" s="579"/>
      <c r="X69" s="532" t="s">
        <v>207</v>
      </c>
      <c r="Y69" s="529">
        <f>BN69/1100000</f>
        <v>0</v>
      </c>
      <c r="Z69" s="69"/>
      <c r="AA69" s="69"/>
      <c r="AB69" s="261"/>
      <c r="AC69" s="80"/>
      <c r="AD69" s="81"/>
      <c r="AE69" s="82" t="s">
        <v>100</v>
      </c>
      <c r="AF69" s="83"/>
      <c r="AG69" s="77"/>
      <c r="AH69" s="77"/>
      <c r="AI69" s="77"/>
      <c r="AJ69" s="77"/>
      <c r="AK69" s="77"/>
      <c r="AL69" s="77"/>
      <c r="AM69" s="77"/>
      <c r="AN69" s="77"/>
      <c r="AO69" s="77"/>
      <c r="AP69" s="77"/>
      <c r="AQ69" s="77"/>
      <c r="AR69" s="77"/>
      <c r="AS69" s="77"/>
      <c r="AT69" s="77"/>
      <c r="AU69" s="77"/>
      <c r="AV69" s="77"/>
      <c r="AW69" s="77"/>
      <c r="AX69" s="77"/>
      <c r="AY69" s="77"/>
      <c r="AZ69" s="77"/>
      <c r="BA69" s="77"/>
      <c r="BB69" s="77"/>
      <c r="BC69" s="77"/>
      <c r="BD69" s="68"/>
      <c r="BE69" s="68"/>
      <c r="BF69" s="68"/>
      <c r="BG69" s="68"/>
      <c r="BH69" s="68"/>
      <c r="BI69" s="68"/>
      <c r="BJ69" s="68"/>
    </row>
    <row r="70" spans="1:62" s="78" customFormat="1" ht="22.5" customHeight="1" thickBot="1">
      <c r="A70" s="490" t="s">
        <v>1373</v>
      </c>
      <c r="B70" s="554"/>
      <c r="C70" s="555">
        <f>B70+D70+E70+F70+G70+H70+I70+J70+K70+L70+M70+N70+O70</f>
        <v>0.6</v>
      </c>
      <c r="D70" s="525"/>
      <c r="E70" s="525"/>
      <c r="F70" s="525"/>
      <c r="G70" s="525"/>
      <c r="H70" s="525"/>
      <c r="I70" s="525"/>
      <c r="J70" s="525"/>
      <c r="K70" s="525">
        <v>0.1</v>
      </c>
      <c r="L70" s="525">
        <v>0.5</v>
      </c>
      <c r="M70" s="525"/>
      <c r="N70" s="525"/>
      <c r="O70" s="525"/>
      <c r="P70" s="490"/>
      <c r="Q70" s="608" t="s">
        <v>1353</v>
      </c>
      <c r="R70" s="494" t="s">
        <v>1389</v>
      </c>
      <c r="S70" s="494">
        <v>367</v>
      </c>
      <c r="T70" s="617" t="s">
        <v>1374</v>
      </c>
      <c r="U70" s="520"/>
      <c r="V70" s="521" t="s">
        <v>104</v>
      </c>
      <c r="W70" s="522">
        <f>BL70/1000000</f>
        <v>0</v>
      </c>
      <c r="X70" s="523" t="s">
        <v>7</v>
      </c>
      <c r="Y70" s="524" t="e">
        <f>W70-#REF!/1.1+Y71</f>
        <v>#REF!</v>
      </c>
      <c r="Z70" s="90" t="s">
        <v>90</v>
      </c>
      <c r="AA70" s="79" t="s">
        <v>34</v>
      </c>
      <c r="AB70" s="260"/>
      <c r="AC70" s="80" t="s">
        <v>104</v>
      </c>
      <c r="AD70" s="81">
        <v>7000000</v>
      </c>
      <c r="AE70" s="82"/>
      <c r="AF70" s="83">
        <f>SUM(AG70:BC70)</f>
        <v>0</v>
      </c>
      <c r="AG70" s="91"/>
      <c r="AH70" s="92"/>
      <c r="AI70" s="92"/>
      <c r="AJ70" s="92"/>
      <c r="AK70" s="92"/>
      <c r="AL70" s="92"/>
      <c r="AM70" s="92"/>
      <c r="AN70" s="92"/>
      <c r="AO70" s="92"/>
      <c r="AP70" s="92"/>
      <c r="AQ70" s="92"/>
      <c r="AR70" s="92"/>
      <c r="AS70" s="92"/>
      <c r="AT70" s="92"/>
      <c r="AU70" s="92"/>
      <c r="AV70" s="92"/>
      <c r="AW70" s="92"/>
      <c r="AX70" s="92"/>
      <c r="AY70" s="92"/>
      <c r="AZ70" s="92"/>
      <c r="BA70" s="92"/>
      <c r="BB70" s="92"/>
      <c r="BC70" s="92"/>
    </row>
    <row r="71" spans="1:62" s="78" customFormat="1" ht="22.5" customHeight="1" thickBot="1">
      <c r="A71" s="502"/>
      <c r="B71" s="558"/>
      <c r="C71" s="559"/>
      <c r="D71" s="560"/>
      <c r="E71" s="560"/>
      <c r="F71" s="560"/>
      <c r="G71" s="560"/>
      <c r="H71" s="560"/>
      <c r="I71" s="560"/>
      <c r="J71" s="560"/>
      <c r="K71" s="560"/>
      <c r="L71" s="560" t="s">
        <v>1326</v>
      </c>
      <c r="M71" s="560"/>
      <c r="N71" s="560"/>
      <c r="O71" s="560"/>
      <c r="P71" s="495"/>
      <c r="Q71" s="609"/>
      <c r="R71" s="499"/>
      <c r="S71" s="499"/>
      <c r="T71" s="618"/>
      <c r="U71" s="531" t="s">
        <v>67</v>
      </c>
      <c r="V71" s="578" t="s">
        <v>27</v>
      </c>
      <c r="W71" s="579"/>
      <c r="X71" s="532" t="s">
        <v>207</v>
      </c>
      <c r="Y71" s="529">
        <f>BN71/1100000</f>
        <v>0</v>
      </c>
      <c r="Z71" s="69"/>
      <c r="AA71" s="75"/>
      <c r="AB71" s="261"/>
      <c r="AC71" s="80"/>
      <c r="AD71" s="81"/>
      <c r="AE71" s="82" t="s">
        <v>100</v>
      </c>
      <c r="AF71" s="83"/>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68"/>
      <c r="BE71" s="68"/>
      <c r="BF71" s="68"/>
      <c r="BG71" s="68"/>
      <c r="BH71" s="68"/>
      <c r="BI71" s="68"/>
      <c r="BJ71" s="68"/>
    </row>
    <row r="72" spans="1:62" s="78" customFormat="1" ht="23.1" customHeight="1" thickBot="1">
      <c r="A72" s="257" t="s">
        <v>736</v>
      </c>
      <c r="B72" s="554">
        <v>0.85</v>
      </c>
      <c r="C72" s="555">
        <f>B72+D72+E72+F72+G72+H72+I72+J72+K72+L72+M72+N72+O72</f>
        <v>0.95000000000000007</v>
      </c>
      <c r="D72" s="651">
        <v>0.05</v>
      </c>
      <c r="E72" s="651">
        <v>0.05</v>
      </c>
      <c r="F72" s="651">
        <v>0</v>
      </c>
      <c r="G72" s="651">
        <v>0</v>
      </c>
      <c r="H72" s="651">
        <v>0</v>
      </c>
      <c r="I72" s="651">
        <v>0</v>
      </c>
      <c r="J72" s="651">
        <v>0</v>
      </c>
      <c r="K72" s="651">
        <v>0</v>
      </c>
      <c r="L72" s="651">
        <v>0</v>
      </c>
      <c r="M72" s="651">
        <v>0</v>
      </c>
      <c r="N72" s="651">
        <v>0</v>
      </c>
      <c r="O72" s="651">
        <v>0</v>
      </c>
      <c r="P72" s="701" t="s">
        <v>1546</v>
      </c>
      <c r="Q72" s="727" t="s">
        <v>1547</v>
      </c>
      <c r="R72" s="563" t="s">
        <v>797</v>
      </c>
      <c r="S72" s="563">
        <v>47</v>
      </c>
      <c r="T72" s="254" t="s">
        <v>1545</v>
      </c>
      <c r="U72" s="631" t="s">
        <v>465</v>
      </c>
      <c r="V72" s="648" t="s">
        <v>104</v>
      </c>
      <c r="W72" s="650">
        <f>BN72/1000000</f>
        <v>0</v>
      </c>
      <c r="X72" s="523" t="s">
        <v>7</v>
      </c>
      <c r="Y72" s="524" t="e">
        <f>W72-(#REF!+Y73)/1.1</f>
        <v>#REF!</v>
      </c>
      <c r="Z72" s="299" t="s">
        <v>90</v>
      </c>
      <c r="AA72" s="79" t="s">
        <v>34</v>
      </c>
      <c r="AB72" s="260"/>
      <c r="AC72" s="652" t="s">
        <v>104</v>
      </c>
      <c r="AD72" s="653">
        <v>97500000</v>
      </c>
      <c r="AE72" s="654"/>
      <c r="AF72" s="83">
        <f>SUM(AG72:BC72)</f>
        <v>0</v>
      </c>
      <c r="AG72" s="91"/>
      <c r="AH72" s="92"/>
      <c r="AI72" s="92"/>
      <c r="AJ72" s="92"/>
      <c r="AK72" s="92"/>
      <c r="AL72" s="92"/>
      <c r="AM72" s="92"/>
      <c r="AN72" s="92"/>
      <c r="AO72" s="92"/>
      <c r="AP72" s="92"/>
      <c r="AQ72" s="92"/>
      <c r="AR72" s="92"/>
      <c r="AS72" s="92"/>
      <c r="AT72" s="92"/>
      <c r="AU72" s="92"/>
      <c r="AV72" s="92"/>
      <c r="AW72" s="92"/>
      <c r="AX72" s="92"/>
      <c r="AY72" s="92"/>
      <c r="AZ72" s="92"/>
      <c r="BA72" s="92"/>
      <c r="BB72" s="92"/>
      <c r="BC72" s="92"/>
    </row>
    <row r="73" spans="1:62" s="78" customFormat="1" ht="23.1" customHeight="1" thickBot="1">
      <c r="A73" s="258"/>
      <c r="B73" s="558"/>
      <c r="C73" s="559"/>
      <c r="D73" s="231" t="s">
        <v>1548</v>
      </c>
      <c r="E73" s="704" t="s">
        <v>1549</v>
      </c>
      <c r="F73" s="704" t="s">
        <v>1549</v>
      </c>
      <c r="G73" s="704" t="s">
        <v>1549</v>
      </c>
      <c r="H73" s="704" t="s">
        <v>1549</v>
      </c>
      <c r="I73" s="704" t="s">
        <v>1549</v>
      </c>
      <c r="J73" s="704" t="s">
        <v>1549</v>
      </c>
      <c r="K73" s="704" t="s">
        <v>1549</v>
      </c>
      <c r="L73" s="704" t="s">
        <v>1549</v>
      </c>
      <c r="M73" s="704" t="s">
        <v>1549</v>
      </c>
      <c r="N73" s="704" t="s">
        <v>1549</v>
      </c>
      <c r="O73" s="687"/>
      <c r="P73" s="702"/>
      <c r="Q73" s="732"/>
      <c r="R73" s="565"/>
      <c r="S73" s="565"/>
      <c r="T73" s="255"/>
      <c r="U73" s="531" t="s">
        <v>67</v>
      </c>
      <c r="V73" s="578" t="s">
        <v>27</v>
      </c>
      <c r="W73" s="579"/>
      <c r="X73" s="532" t="s">
        <v>207</v>
      </c>
      <c r="Y73" s="529">
        <f>BP73/1000000</f>
        <v>0</v>
      </c>
      <c r="Z73" s="85"/>
      <c r="AA73" s="69"/>
      <c r="AB73" s="261"/>
      <c r="AC73" s="656" t="s">
        <v>196</v>
      </c>
      <c r="AD73" s="657" t="e">
        <f>AD72-#REF!</f>
        <v>#REF!</v>
      </c>
      <c r="AE73" s="82" t="s">
        <v>100</v>
      </c>
      <c r="AF73" s="83"/>
      <c r="AG73" s="77"/>
      <c r="AH73" s="77"/>
      <c r="AI73" s="77"/>
      <c r="AJ73" s="77"/>
      <c r="AK73" s="77"/>
      <c r="AL73" s="77"/>
      <c r="AM73" s="77"/>
      <c r="AN73" s="77"/>
      <c r="AO73" s="77"/>
      <c r="AP73" s="77"/>
      <c r="AQ73" s="77"/>
      <c r="AR73" s="77"/>
      <c r="AS73" s="77"/>
      <c r="AT73" s="77"/>
      <c r="AU73" s="77"/>
      <c r="AV73" s="77"/>
      <c r="AW73" s="77"/>
      <c r="AX73" s="77"/>
      <c r="AY73" s="77"/>
      <c r="AZ73" s="77"/>
      <c r="BA73" s="77"/>
      <c r="BB73" s="77"/>
      <c r="BC73" s="77"/>
      <c r="BD73" s="68"/>
      <c r="BE73" s="68"/>
      <c r="BF73" s="68"/>
      <c r="BG73" s="68"/>
      <c r="BH73" s="68"/>
      <c r="BI73" s="68"/>
      <c r="BJ73" s="68"/>
    </row>
    <row r="74" spans="1:62" s="78" customFormat="1" ht="23.1" customHeight="1" thickBot="1">
      <c r="A74" s="257" t="s">
        <v>1550</v>
      </c>
      <c r="B74" s="554">
        <v>0.2</v>
      </c>
      <c r="C74" s="555">
        <f>B74+D74+E74+F74+G74+H74+I74+J74+K74+L74+M74+N74+O74</f>
        <v>0.2</v>
      </c>
      <c r="D74" s="651">
        <v>0</v>
      </c>
      <c r="E74" s="651">
        <v>0</v>
      </c>
      <c r="F74" s="651">
        <v>0</v>
      </c>
      <c r="G74" s="651">
        <v>0</v>
      </c>
      <c r="H74" s="636">
        <v>0</v>
      </c>
      <c r="I74" s="636">
        <v>0</v>
      </c>
      <c r="J74" s="651">
        <v>0</v>
      </c>
      <c r="K74" s="651">
        <v>0</v>
      </c>
      <c r="L74" s="651">
        <v>0</v>
      </c>
      <c r="M74" s="651">
        <v>0</v>
      </c>
      <c r="N74" s="651">
        <v>0</v>
      </c>
      <c r="O74" s="651">
        <v>0</v>
      </c>
      <c r="P74" s="701" t="s">
        <v>1553</v>
      </c>
      <c r="Q74" s="727" t="s">
        <v>1547</v>
      </c>
      <c r="R74" s="563" t="s">
        <v>1670</v>
      </c>
      <c r="S74" s="563">
        <v>51</v>
      </c>
      <c r="T74" s="254" t="s">
        <v>1551</v>
      </c>
      <c r="U74" s="631" t="s">
        <v>1552</v>
      </c>
      <c r="V74" s="648" t="s">
        <v>104</v>
      </c>
      <c r="W74" s="650">
        <f>BN74/1000000</f>
        <v>0</v>
      </c>
      <c r="X74" s="523" t="s">
        <v>7</v>
      </c>
      <c r="Y74" s="524" t="e">
        <f>W74-(#REF!+Y75)/1.1</f>
        <v>#REF!</v>
      </c>
      <c r="Z74" s="299" t="s">
        <v>90</v>
      </c>
      <c r="AA74" s="79" t="s">
        <v>34</v>
      </c>
      <c r="AB74" s="260"/>
      <c r="AC74" s="652" t="s">
        <v>104</v>
      </c>
      <c r="AD74" s="653">
        <v>10000000</v>
      </c>
      <c r="AE74" s="654"/>
      <c r="AF74" s="83">
        <f>SUM(AG74:BC74)</f>
        <v>0</v>
      </c>
      <c r="AG74" s="91"/>
      <c r="AH74" s="92"/>
      <c r="AI74" s="92"/>
      <c r="AJ74" s="92"/>
      <c r="AK74" s="92"/>
      <c r="AL74" s="92"/>
      <c r="AM74" s="92"/>
      <c r="AN74" s="92"/>
      <c r="AO74" s="92"/>
      <c r="AP74" s="92"/>
      <c r="AQ74" s="92"/>
      <c r="AR74" s="92"/>
      <c r="AS74" s="92"/>
      <c r="AT74" s="92"/>
      <c r="AU74" s="92"/>
      <c r="AV74" s="92"/>
      <c r="AW74" s="92"/>
      <c r="AX74" s="92"/>
      <c r="AY74" s="92"/>
      <c r="AZ74" s="92"/>
      <c r="BA74" s="92"/>
      <c r="BB74" s="92"/>
      <c r="BC74" s="92"/>
    </row>
    <row r="75" spans="1:62" s="78" customFormat="1" ht="23.1" customHeight="1" thickBot="1">
      <c r="A75" s="258"/>
      <c r="B75" s="558"/>
      <c r="C75" s="559"/>
      <c r="D75" s="231" t="s">
        <v>821</v>
      </c>
      <c r="E75" s="231" t="s">
        <v>821</v>
      </c>
      <c r="F75" s="231" t="s">
        <v>821</v>
      </c>
      <c r="G75" s="231" t="s">
        <v>821</v>
      </c>
      <c r="H75" s="231" t="s">
        <v>821</v>
      </c>
      <c r="I75" s="231" t="s">
        <v>821</v>
      </c>
      <c r="J75" s="231" t="s">
        <v>821</v>
      </c>
      <c r="K75" s="231" t="s">
        <v>821</v>
      </c>
      <c r="L75" s="231" t="s">
        <v>821</v>
      </c>
      <c r="M75" s="231" t="s">
        <v>821</v>
      </c>
      <c r="N75" s="231" t="s">
        <v>821</v>
      </c>
      <c r="O75" s="687"/>
      <c r="P75" s="702"/>
      <c r="Q75" s="732"/>
      <c r="R75" s="565"/>
      <c r="S75" s="565"/>
      <c r="T75" s="255"/>
      <c r="U75" s="531" t="s">
        <v>816</v>
      </c>
      <c r="V75" s="578" t="s">
        <v>1277</v>
      </c>
      <c r="W75" s="579"/>
      <c r="X75" s="532" t="s">
        <v>1080</v>
      </c>
      <c r="Y75" s="529">
        <f>BP75/1000000</f>
        <v>0</v>
      </c>
      <c r="Z75" s="85"/>
      <c r="AA75" s="69"/>
      <c r="AB75" s="261"/>
      <c r="AC75" s="656" t="s">
        <v>817</v>
      </c>
      <c r="AD75" s="657" t="e">
        <f>AD74-#REF!</f>
        <v>#REF!</v>
      </c>
      <c r="AE75" s="82" t="s">
        <v>824</v>
      </c>
      <c r="AF75" s="83"/>
      <c r="AG75" s="77"/>
      <c r="AH75" s="77"/>
      <c r="AI75" s="77"/>
      <c r="AJ75" s="77"/>
      <c r="AK75" s="77"/>
      <c r="AL75" s="77"/>
      <c r="AM75" s="77"/>
      <c r="AN75" s="77"/>
      <c r="AO75" s="77"/>
      <c r="AP75" s="77"/>
      <c r="AQ75" s="77"/>
      <c r="AR75" s="77"/>
      <c r="AS75" s="77"/>
      <c r="AT75" s="77"/>
      <c r="AU75" s="77"/>
      <c r="AV75" s="77"/>
      <c r="AW75" s="77"/>
      <c r="AX75" s="77"/>
      <c r="AY75" s="77"/>
      <c r="AZ75" s="77"/>
      <c r="BA75" s="77"/>
      <c r="BB75" s="77"/>
      <c r="BC75" s="77"/>
      <c r="BD75" s="68"/>
      <c r="BE75" s="68"/>
      <c r="BF75" s="68"/>
      <c r="BG75" s="68"/>
      <c r="BH75" s="68"/>
      <c r="BI75" s="68"/>
      <c r="BJ75" s="68"/>
    </row>
    <row r="76" spans="1:62" s="78" customFormat="1" ht="23.1" customHeight="1" thickBot="1">
      <c r="A76" s="563" t="s">
        <v>829</v>
      </c>
      <c r="B76" s="554">
        <v>0.9</v>
      </c>
      <c r="C76" s="555">
        <f>B76+D76+E76+F76+G76+H76+I76+J76+K76+L76+M76+N76+O76</f>
        <v>0.9</v>
      </c>
      <c r="D76" s="651">
        <v>0</v>
      </c>
      <c r="E76" s="651">
        <v>0</v>
      </c>
      <c r="F76" s="651">
        <v>0</v>
      </c>
      <c r="G76" s="651">
        <v>0</v>
      </c>
      <c r="H76" s="636">
        <v>0</v>
      </c>
      <c r="I76" s="636">
        <v>0</v>
      </c>
      <c r="J76" s="651">
        <v>0</v>
      </c>
      <c r="K76" s="651">
        <v>0</v>
      </c>
      <c r="L76" s="651">
        <v>0</v>
      </c>
      <c r="M76" s="651">
        <v>0</v>
      </c>
      <c r="N76" s="651">
        <v>0</v>
      </c>
      <c r="O76" s="651">
        <v>0</v>
      </c>
      <c r="P76" s="701" t="s">
        <v>1556</v>
      </c>
      <c r="Q76" s="727" t="s">
        <v>1557</v>
      </c>
      <c r="R76" s="563" t="s">
        <v>1670</v>
      </c>
      <c r="S76" s="563">
        <v>220</v>
      </c>
      <c r="T76" s="254" t="s">
        <v>1555</v>
      </c>
      <c r="U76" s="631" t="s">
        <v>831</v>
      </c>
      <c r="V76" s="648" t="s">
        <v>799</v>
      </c>
      <c r="W76" s="650">
        <f>BN76/1000000</f>
        <v>0</v>
      </c>
      <c r="X76" s="523" t="s">
        <v>832</v>
      </c>
      <c r="Y76" s="524" t="e">
        <f>W76-(#REF!+Y77)/1.1</f>
        <v>#REF!</v>
      </c>
      <c r="Z76" s="299" t="s">
        <v>812</v>
      </c>
      <c r="AA76" s="79" t="s">
        <v>813</v>
      </c>
      <c r="AB76" s="260"/>
      <c r="AC76" s="652" t="s">
        <v>799</v>
      </c>
      <c r="AD76" s="653">
        <v>81000000</v>
      </c>
      <c r="AE76" s="82"/>
      <c r="AF76" s="83">
        <f>SUM(AG76:BC76)</f>
        <v>0</v>
      </c>
      <c r="AG76" s="91"/>
      <c r="AH76" s="92"/>
      <c r="AI76" s="92"/>
      <c r="AJ76" s="92"/>
      <c r="AK76" s="92"/>
      <c r="AL76" s="92"/>
      <c r="AM76" s="92"/>
      <c r="AN76" s="92"/>
      <c r="AO76" s="92"/>
      <c r="AP76" s="92"/>
      <c r="AQ76" s="92"/>
      <c r="AR76" s="92"/>
      <c r="AS76" s="92"/>
      <c r="AT76" s="92"/>
      <c r="AU76" s="92"/>
      <c r="AV76" s="92"/>
      <c r="AW76" s="92"/>
      <c r="AX76" s="92"/>
      <c r="AY76" s="92"/>
      <c r="AZ76" s="92"/>
      <c r="BA76" s="92"/>
      <c r="BB76" s="92"/>
      <c r="BC76" s="92"/>
    </row>
    <row r="77" spans="1:62" s="78" customFormat="1" ht="23.1" customHeight="1" thickBot="1">
      <c r="A77" s="564"/>
      <c r="B77" s="558"/>
      <c r="C77" s="559"/>
      <c r="D77" s="231" t="s">
        <v>1558</v>
      </c>
      <c r="E77" s="704" t="s">
        <v>1559</v>
      </c>
      <c r="F77" s="704" t="s">
        <v>1559</v>
      </c>
      <c r="G77" s="704" t="s">
        <v>1559</v>
      </c>
      <c r="H77" s="704" t="s">
        <v>1559</v>
      </c>
      <c r="I77" s="704" t="s">
        <v>1559</v>
      </c>
      <c r="J77" s="704" t="s">
        <v>1559</v>
      </c>
      <c r="K77" s="704" t="s">
        <v>1559</v>
      </c>
      <c r="L77" s="704" t="s">
        <v>1559</v>
      </c>
      <c r="M77" s="704" t="s">
        <v>1559</v>
      </c>
      <c r="N77" s="704" t="s">
        <v>1559</v>
      </c>
      <c r="O77" s="687"/>
      <c r="P77" s="706"/>
      <c r="Q77" s="732"/>
      <c r="R77" s="565"/>
      <c r="S77" s="565"/>
      <c r="T77" s="255"/>
      <c r="U77" s="531" t="s">
        <v>816</v>
      </c>
      <c r="V77" s="578" t="s">
        <v>1277</v>
      </c>
      <c r="W77" s="579"/>
      <c r="X77" s="532" t="s">
        <v>1080</v>
      </c>
      <c r="Y77" s="529">
        <f>BP77/1000000</f>
        <v>0</v>
      </c>
      <c r="Z77" s="85"/>
      <c r="AA77" s="69"/>
      <c r="AB77" s="261"/>
      <c r="AC77" s="656" t="s">
        <v>817</v>
      </c>
      <c r="AD77" s="657" t="e">
        <f>AD76-#REF!</f>
        <v>#REF!</v>
      </c>
      <c r="AE77" s="82" t="s">
        <v>824</v>
      </c>
      <c r="AF77" s="83"/>
      <c r="AG77" s="77"/>
      <c r="AH77" s="77"/>
      <c r="AI77" s="77"/>
      <c r="AJ77" s="77"/>
      <c r="AK77" s="77"/>
      <c r="AL77" s="77"/>
      <c r="AM77" s="77"/>
      <c r="AN77" s="77"/>
      <c r="AO77" s="77"/>
      <c r="AP77" s="77"/>
      <c r="AQ77" s="77"/>
      <c r="AR77" s="77"/>
      <c r="AS77" s="77"/>
      <c r="AT77" s="77"/>
      <c r="AU77" s="77"/>
      <c r="AV77" s="77"/>
      <c r="AW77" s="77"/>
      <c r="AX77" s="77"/>
      <c r="AY77" s="77"/>
      <c r="AZ77" s="77"/>
      <c r="BA77" s="77"/>
      <c r="BB77" s="77"/>
      <c r="BC77" s="77"/>
      <c r="BD77" s="68"/>
      <c r="BE77" s="68"/>
      <c r="BF77" s="68"/>
      <c r="BG77" s="68"/>
      <c r="BH77" s="68"/>
      <c r="BI77" s="68"/>
      <c r="BJ77" s="68"/>
    </row>
    <row r="78" spans="1:62" s="78" customFormat="1" ht="23.1" customHeight="1" thickBot="1">
      <c r="A78" s="257" t="s">
        <v>848</v>
      </c>
      <c r="B78" s="681">
        <v>0.94</v>
      </c>
      <c r="C78" s="555">
        <f>B78+D78+E78+F78+G78+H78+J78+K78+I78+L78+M78+N78+O78</f>
        <v>1</v>
      </c>
      <c r="D78" s="651">
        <v>0</v>
      </c>
      <c r="E78" s="651">
        <v>0</v>
      </c>
      <c r="F78" s="651">
        <v>0</v>
      </c>
      <c r="G78" s="636">
        <v>0.06</v>
      </c>
      <c r="H78" s="636">
        <v>0</v>
      </c>
      <c r="I78" s="636">
        <v>0</v>
      </c>
      <c r="J78" s="636">
        <v>0</v>
      </c>
      <c r="K78" s="636">
        <v>0</v>
      </c>
      <c r="L78" s="636">
        <v>0</v>
      </c>
      <c r="M78" s="651">
        <v>0</v>
      </c>
      <c r="N78" s="651">
        <v>0</v>
      </c>
      <c r="O78" s="651">
        <v>0</v>
      </c>
      <c r="P78" s="701" t="s">
        <v>1562</v>
      </c>
      <c r="Q78" s="727" t="s">
        <v>1557</v>
      </c>
      <c r="R78" s="563" t="s">
        <v>1670</v>
      </c>
      <c r="S78" s="563">
        <v>233</v>
      </c>
      <c r="T78" s="250" t="s">
        <v>1560</v>
      </c>
      <c r="U78" s="631" t="s">
        <v>1561</v>
      </c>
      <c r="V78" s="660" t="s">
        <v>799</v>
      </c>
      <c r="W78" s="661">
        <f>BN78/1000000</f>
        <v>0</v>
      </c>
      <c r="X78" s="634" t="s">
        <v>832</v>
      </c>
      <c r="Y78" s="524" t="e">
        <f>W78-(#REF!+Y79)/1.1</f>
        <v>#REF!</v>
      </c>
      <c r="Z78" s="299" t="s">
        <v>812</v>
      </c>
      <c r="AA78" s="79" t="s">
        <v>813</v>
      </c>
      <c r="AB78" s="260" t="s">
        <v>1563</v>
      </c>
      <c r="AC78" s="652" t="s">
        <v>799</v>
      </c>
      <c r="AD78" s="653">
        <v>19250000</v>
      </c>
      <c r="AE78" s="82"/>
      <c r="AF78" s="83">
        <f>SUM(AG78:BC78)</f>
        <v>0</v>
      </c>
      <c r="AG78" s="91"/>
      <c r="AH78" s="92"/>
      <c r="AI78" s="92"/>
      <c r="AJ78" s="92"/>
      <c r="AK78" s="92"/>
      <c r="AL78" s="92"/>
      <c r="AM78" s="92"/>
      <c r="AN78" s="92"/>
      <c r="AO78" s="92"/>
      <c r="AP78" s="92"/>
      <c r="AQ78" s="92"/>
      <c r="AR78" s="92"/>
      <c r="AS78" s="92"/>
      <c r="AT78" s="92"/>
      <c r="AU78" s="92"/>
      <c r="AV78" s="92"/>
      <c r="AW78" s="92"/>
      <c r="AX78" s="92"/>
      <c r="AY78" s="92"/>
      <c r="AZ78" s="92"/>
      <c r="BA78" s="92"/>
      <c r="BB78" s="92"/>
      <c r="BC78" s="92"/>
    </row>
    <row r="79" spans="1:62" s="78" customFormat="1" ht="23.1" customHeight="1" thickBot="1">
      <c r="A79" s="258"/>
      <c r="B79" s="685"/>
      <c r="C79" s="559"/>
      <c r="D79" s="231" t="s">
        <v>1558</v>
      </c>
      <c r="E79" s="704" t="s">
        <v>1559</v>
      </c>
      <c r="F79" s="704" t="s">
        <v>1559</v>
      </c>
      <c r="G79" s="687" t="s">
        <v>1564</v>
      </c>
      <c r="H79" s="687" t="s">
        <v>996</v>
      </c>
      <c r="I79" s="687" t="s">
        <v>996</v>
      </c>
      <c r="J79" s="687" t="s">
        <v>996</v>
      </c>
      <c r="K79" s="687" t="s">
        <v>996</v>
      </c>
      <c r="L79" s="687" t="s">
        <v>996</v>
      </c>
      <c r="M79" s="687" t="s">
        <v>996</v>
      </c>
      <c r="N79" s="687" t="s">
        <v>996</v>
      </c>
      <c r="O79" s="687"/>
      <c r="P79" s="706"/>
      <c r="Q79" s="732"/>
      <c r="R79" s="565"/>
      <c r="S79" s="565"/>
      <c r="T79" s="251"/>
      <c r="U79" s="640" t="s">
        <v>816</v>
      </c>
      <c r="V79" s="707" t="s">
        <v>1277</v>
      </c>
      <c r="W79" s="708"/>
      <c r="X79" s="641" t="s">
        <v>1080</v>
      </c>
      <c r="Y79" s="529">
        <f>BP79/1000000</f>
        <v>0</v>
      </c>
      <c r="Z79" s="85"/>
      <c r="AA79" s="69"/>
      <c r="AB79" s="261"/>
      <c r="AC79" s="656" t="s">
        <v>817</v>
      </c>
      <c r="AD79" s="657" t="e">
        <f>AD78-#REF!</f>
        <v>#REF!</v>
      </c>
      <c r="AE79" s="82" t="s">
        <v>824</v>
      </c>
      <c r="AF79" s="83"/>
      <c r="AG79" s="77"/>
      <c r="AH79" s="77"/>
      <c r="AI79" s="77"/>
      <c r="AJ79" s="77"/>
      <c r="AK79" s="77"/>
      <c r="AL79" s="77"/>
      <c r="AM79" s="77"/>
      <c r="AN79" s="77"/>
      <c r="AO79" s="77"/>
      <c r="AP79" s="77"/>
      <c r="AQ79" s="77"/>
      <c r="AR79" s="77"/>
      <c r="AS79" s="77"/>
      <c r="AT79" s="77"/>
      <c r="AU79" s="77"/>
      <c r="AV79" s="77"/>
      <c r="AW79" s="77"/>
      <c r="AX79" s="77"/>
      <c r="AY79" s="77"/>
      <c r="AZ79" s="77"/>
      <c r="BA79" s="77"/>
      <c r="BB79" s="77"/>
      <c r="BC79" s="77"/>
      <c r="BD79" s="68"/>
      <c r="BE79" s="68"/>
      <c r="BF79" s="68"/>
      <c r="BG79" s="68"/>
      <c r="BH79" s="68"/>
      <c r="BI79" s="68"/>
      <c r="BJ79" s="68"/>
    </row>
    <row r="80" spans="1:62" s="78" customFormat="1" ht="23.1" customHeight="1" thickBot="1">
      <c r="A80" s="257" t="s">
        <v>1576</v>
      </c>
      <c r="B80" s="681">
        <v>0.5</v>
      </c>
      <c r="C80" s="555">
        <f>B80+D80+E80+F80+G80+H80+J80+K80+I80+L80+M80+N80+O80</f>
        <v>0.5</v>
      </c>
      <c r="D80" s="636">
        <v>0</v>
      </c>
      <c r="E80" s="636">
        <v>0</v>
      </c>
      <c r="F80" s="651">
        <v>0</v>
      </c>
      <c r="G80" s="651">
        <v>0</v>
      </c>
      <c r="H80" s="636">
        <v>0</v>
      </c>
      <c r="I80" s="636">
        <v>0</v>
      </c>
      <c r="J80" s="636">
        <v>0</v>
      </c>
      <c r="K80" s="636">
        <v>0</v>
      </c>
      <c r="L80" s="636">
        <v>0</v>
      </c>
      <c r="M80" s="651">
        <v>0</v>
      </c>
      <c r="N80" s="651">
        <v>0</v>
      </c>
      <c r="O80" s="651">
        <v>0</v>
      </c>
      <c r="P80" s="701" t="s">
        <v>1579</v>
      </c>
      <c r="Q80" s="727" t="s">
        <v>1580</v>
      </c>
      <c r="R80" s="563" t="s">
        <v>1670</v>
      </c>
      <c r="S80" s="563">
        <v>245</v>
      </c>
      <c r="T80" s="254" t="s">
        <v>1577</v>
      </c>
      <c r="U80" s="631" t="s">
        <v>1578</v>
      </c>
      <c r="V80" s="660" t="s">
        <v>1354</v>
      </c>
      <c r="W80" s="661">
        <f>BN80/1000000</f>
        <v>0</v>
      </c>
      <c r="X80" s="634" t="s">
        <v>1355</v>
      </c>
      <c r="Y80" s="524" t="e">
        <f>W80-(#REF!+Y81)/1.1</f>
        <v>#REF!</v>
      </c>
      <c r="Z80" s="299" t="s">
        <v>1356</v>
      </c>
      <c r="AA80" s="79" t="s">
        <v>1357</v>
      </c>
      <c r="AB80" s="691"/>
      <c r="AC80" s="663" t="s">
        <v>1354</v>
      </c>
      <c r="AD80" s="664">
        <f>35000000</f>
        <v>35000000</v>
      </c>
      <c r="AE80" s="101"/>
      <c r="AF80" s="83">
        <f>SUM(AG80:BC80)</f>
        <v>0</v>
      </c>
      <c r="AG80" s="665"/>
      <c r="AH80" s="102"/>
      <c r="AI80" s="102"/>
      <c r="AJ80" s="102"/>
      <c r="AK80" s="92"/>
      <c r="AL80" s="92"/>
      <c r="AM80" s="92"/>
      <c r="AN80" s="92"/>
      <c r="AO80" s="92"/>
      <c r="AP80" s="92"/>
      <c r="AQ80" s="92"/>
      <c r="AR80" s="92"/>
      <c r="AS80" s="92"/>
      <c r="AT80" s="92"/>
      <c r="AU80" s="92"/>
      <c r="AV80" s="92"/>
      <c r="AW80" s="92"/>
      <c r="AX80" s="92"/>
      <c r="AY80" s="92"/>
      <c r="AZ80" s="92"/>
      <c r="BA80" s="92"/>
      <c r="BB80" s="92"/>
      <c r="BC80" s="92"/>
    </row>
    <row r="81" spans="1:62" s="78" customFormat="1" ht="23.1" customHeight="1" thickBot="1">
      <c r="A81" s="258"/>
      <c r="B81" s="685"/>
      <c r="C81" s="559"/>
      <c r="D81" s="704" t="s">
        <v>821</v>
      </c>
      <c r="E81" s="704" t="s">
        <v>821</v>
      </c>
      <c r="F81" s="704" t="s">
        <v>821</v>
      </c>
      <c r="G81" s="704" t="s">
        <v>821</v>
      </c>
      <c r="H81" s="704" t="s">
        <v>821</v>
      </c>
      <c r="I81" s="704" t="s">
        <v>821</v>
      </c>
      <c r="J81" s="704" t="s">
        <v>821</v>
      </c>
      <c r="K81" s="704" t="s">
        <v>821</v>
      </c>
      <c r="L81" s="704" t="s">
        <v>821</v>
      </c>
      <c r="M81" s="704" t="s">
        <v>821</v>
      </c>
      <c r="N81" s="704" t="s">
        <v>821</v>
      </c>
      <c r="O81" s="687"/>
      <c r="P81" s="706"/>
      <c r="Q81" s="732"/>
      <c r="R81" s="565"/>
      <c r="S81" s="565"/>
      <c r="T81" s="255"/>
      <c r="U81" s="640" t="s">
        <v>816</v>
      </c>
      <c r="V81" s="707" t="s">
        <v>1277</v>
      </c>
      <c r="W81" s="708"/>
      <c r="X81" s="641" t="s">
        <v>1080</v>
      </c>
      <c r="Y81" s="529">
        <f>BP81/1000000</f>
        <v>0</v>
      </c>
      <c r="Z81" s="85"/>
      <c r="AA81" s="69"/>
      <c r="AB81" s="692"/>
      <c r="AC81" s="656" t="s">
        <v>817</v>
      </c>
      <c r="AD81" s="657" t="e">
        <f>AD80-#REF!</f>
        <v>#REF!</v>
      </c>
      <c r="AE81" s="101" t="s">
        <v>824</v>
      </c>
      <c r="AF81" s="83"/>
      <c r="AG81" s="662"/>
      <c r="AH81" s="662"/>
      <c r="AI81" s="662"/>
      <c r="AJ81" s="662"/>
      <c r="AK81" s="77"/>
      <c r="AL81" s="77"/>
      <c r="AM81" s="77"/>
      <c r="AN81" s="77"/>
      <c r="AO81" s="77"/>
      <c r="AP81" s="77"/>
      <c r="AQ81" s="77"/>
      <c r="AR81" s="77"/>
      <c r="AS81" s="77"/>
      <c r="AT81" s="77"/>
      <c r="AU81" s="77"/>
      <c r="AV81" s="77"/>
      <c r="AW81" s="77"/>
      <c r="AX81" s="77"/>
      <c r="AY81" s="77"/>
      <c r="AZ81" s="77"/>
      <c r="BA81" s="77"/>
      <c r="BB81" s="77"/>
      <c r="BC81" s="77"/>
      <c r="BD81" s="68"/>
      <c r="BE81" s="68"/>
      <c r="BF81" s="68"/>
      <c r="BG81" s="68"/>
      <c r="BH81" s="68"/>
      <c r="BI81" s="68"/>
      <c r="BJ81" s="68"/>
    </row>
    <row r="82" spans="1:62" s="78" customFormat="1" ht="23.1" customHeight="1" thickBot="1">
      <c r="A82" s="563" t="s">
        <v>1581</v>
      </c>
      <c r="B82" s="681">
        <v>0.3</v>
      </c>
      <c r="C82" s="555">
        <f>B82+D82+E82+F82+G82+H82+J82+K82+I82+L82+M82+N82+O82</f>
        <v>0.85000000000000009</v>
      </c>
      <c r="D82" s="636">
        <v>0</v>
      </c>
      <c r="E82" s="636">
        <v>0</v>
      </c>
      <c r="F82" s="636">
        <v>0.05</v>
      </c>
      <c r="G82" s="636">
        <v>0.1</v>
      </c>
      <c r="H82" s="636">
        <v>0.05</v>
      </c>
      <c r="I82" s="636">
        <v>0.02</v>
      </c>
      <c r="J82" s="636">
        <v>0.03</v>
      </c>
      <c r="K82" s="636">
        <v>0.05</v>
      </c>
      <c r="L82" s="636">
        <v>0.15</v>
      </c>
      <c r="M82" s="651">
        <v>0.05</v>
      </c>
      <c r="N82" s="651">
        <v>0.05</v>
      </c>
      <c r="O82" s="651">
        <v>0</v>
      </c>
      <c r="P82" s="709" t="s">
        <v>1584</v>
      </c>
      <c r="Q82" s="727" t="s">
        <v>1557</v>
      </c>
      <c r="R82" s="564" t="s">
        <v>1670</v>
      </c>
      <c r="S82" s="564">
        <v>350</v>
      </c>
      <c r="T82" s="250" t="s">
        <v>1582</v>
      </c>
      <c r="U82" s="631" t="s">
        <v>1583</v>
      </c>
      <c r="V82" s="660" t="s">
        <v>799</v>
      </c>
      <c r="W82" s="661">
        <f>BN82/1000000</f>
        <v>0</v>
      </c>
      <c r="X82" s="634" t="s">
        <v>832</v>
      </c>
      <c r="Y82" s="524" t="e">
        <f>W82-(#REF!+Y83)/1.1</f>
        <v>#REF!</v>
      </c>
      <c r="Z82" s="299" t="s">
        <v>812</v>
      </c>
      <c r="AA82" s="79" t="s">
        <v>813</v>
      </c>
      <c r="AB82" s="260"/>
      <c r="AC82" s="652" t="s">
        <v>799</v>
      </c>
      <c r="AD82" s="653">
        <v>246000000</v>
      </c>
      <c r="AE82" s="82"/>
      <c r="AF82" s="83">
        <f>SUM(AG82:BC82)</f>
        <v>0</v>
      </c>
      <c r="AG82" s="91"/>
      <c r="AH82" s="92"/>
      <c r="AI82" s="92"/>
      <c r="AJ82" s="92"/>
      <c r="AK82" s="92"/>
      <c r="AL82" s="92"/>
      <c r="AM82" s="92"/>
      <c r="AN82" s="92"/>
      <c r="AO82" s="92"/>
      <c r="AP82" s="92"/>
      <c r="AQ82" s="92"/>
      <c r="AR82" s="92"/>
      <c r="AS82" s="92"/>
      <c r="AT82" s="92"/>
      <c r="AU82" s="92"/>
      <c r="AV82" s="92"/>
      <c r="AW82" s="92"/>
      <c r="AX82" s="92"/>
      <c r="AY82" s="92"/>
      <c r="AZ82" s="92"/>
      <c r="BA82" s="92"/>
      <c r="BB82" s="92"/>
      <c r="BC82" s="92"/>
    </row>
    <row r="83" spans="1:62" s="78" customFormat="1" ht="23.1" customHeight="1" thickBot="1">
      <c r="A83" s="564"/>
      <c r="B83" s="685"/>
      <c r="C83" s="559"/>
      <c r="D83" s="704" t="s">
        <v>1586</v>
      </c>
      <c r="E83" s="704" t="s">
        <v>1587</v>
      </c>
      <c r="F83" s="704" t="s">
        <v>1587</v>
      </c>
      <c r="G83" s="704" t="s">
        <v>1587</v>
      </c>
      <c r="H83" s="687" t="s">
        <v>1588</v>
      </c>
      <c r="I83" s="687" t="s">
        <v>1589</v>
      </c>
      <c r="J83" s="687" t="s">
        <v>1589</v>
      </c>
      <c r="K83" s="711" t="s">
        <v>1590</v>
      </c>
      <c r="L83" s="711" t="s">
        <v>1590</v>
      </c>
      <c r="M83" s="711" t="s">
        <v>1591</v>
      </c>
      <c r="N83" s="711" t="s">
        <v>1592</v>
      </c>
      <c r="O83" s="687"/>
      <c r="P83" s="710"/>
      <c r="Q83" s="732"/>
      <c r="R83" s="564"/>
      <c r="S83" s="564"/>
      <c r="T83" s="251"/>
      <c r="U83" s="640" t="s">
        <v>1585</v>
      </c>
      <c r="V83" s="707" t="s">
        <v>1277</v>
      </c>
      <c r="W83" s="708"/>
      <c r="X83" s="641" t="s">
        <v>1080</v>
      </c>
      <c r="Y83" s="529">
        <f>BP83/1000000</f>
        <v>0</v>
      </c>
      <c r="Z83" s="85"/>
      <c r="AA83" s="69"/>
      <c r="AB83" s="261"/>
      <c r="AC83" s="666" t="s">
        <v>817</v>
      </c>
      <c r="AD83" s="657" t="e">
        <f>AD82-#REF!</f>
        <v>#REF!</v>
      </c>
      <c r="AE83" s="82" t="s">
        <v>824</v>
      </c>
      <c r="AF83" s="83"/>
      <c r="AG83" s="77"/>
      <c r="AH83" s="77"/>
      <c r="AI83" s="77"/>
      <c r="AJ83" s="77"/>
      <c r="AK83" s="77"/>
      <c r="AL83" s="77"/>
      <c r="AM83" s="77"/>
      <c r="AN83" s="77"/>
      <c r="AO83" s="77"/>
      <c r="AP83" s="77"/>
      <c r="AQ83" s="77"/>
      <c r="AR83" s="77"/>
      <c r="AS83" s="77"/>
      <c r="AT83" s="77"/>
      <c r="AU83" s="77"/>
      <c r="AV83" s="77"/>
      <c r="AW83" s="77"/>
      <c r="AX83" s="77"/>
      <c r="AY83" s="77"/>
      <c r="AZ83" s="77"/>
      <c r="BA83" s="77"/>
      <c r="BB83" s="77"/>
      <c r="BC83" s="77"/>
      <c r="BD83" s="68"/>
      <c r="BE83" s="68"/>
      <c r="BF83" s="68"/>
      <c r="BG83" s="68"/>
      <c r="BH83" s="68"/>
      <c r="BI83" s="68"/>
      <c r="BJ83" s="68"/>
    </row>
    <row r="84" spans="1:62" s="78" customFormat="1" ht="23.1" customHeight="1" thickBot="1">
      <c r="A84" s="257" t="s">
        <v>1594</v>
      </c>
      <c r="B84" s="681">
        <v>0.99</v>
      </c>
      <c r="C84" s="211">
        <f>B84+D84+E84+F84+G84+H84+I84+J84+K84+L84+M84+N84+O84</f>
        <v>0.99</v>
      </c>
      <c r="D84" s="636">
        <v>0</v>
      </c>
      <c r="E84" s="636">
        <v>0</v>
      </c>
      <c r="F84" s="636">
        <v>0</v>
      </c>
      <c r="G84" s="636">
        <v>0</v>
      </c>
      <c r="H84" s="636">
        <v>0</v>
      </c>
      <c r="I84" s="636">
        <v>0</v>
      </c>
      <c r="J84" s="636">
        <v>0</v>
      </c>
      <c r="K84" s="636">
        <v>0</v>
      </c>
      <c r="L84" s="636">
        <v>0</v>
      </c>
      <c r="M84" s="651">
        <v>0</v>
      </c>
      <c r="N84" s="651">
        <v>0</v>
      </c>
      <c r="O84" s="651">
        <v>0</v>
      </c>
      <c r="P84" s="631" t="s">
        <v>1597</v>
      </c>
      <c r="Q84" s="727" t="s">
        <v>1598</v>
      </c>
      <c r="R84" s="563" t="s">
        <v>1670</v>
      </c>
      <c r="S84" s="563">
        <v>269</v>
      </c>
      <c r="T84" s="206" t="s">
        <v>1595</v>
      </c>
      <c r="U84" s="643" t="s">
        <v>1596</v>
      </c>
      <c r="V84" s="660" t="s">
        <v>799</v>
      </c>
      <c r="W84" s="661">
        <f>BN84/1000000</f>
        <v>0</v>
      </c>
      <c r="X84" s="634" t="s">
        <v>832</v>
      </c>
      <c r="Y84" s="524" t="e">
        <f>W84-(#REF!+Y85)/1.1</f>
        <v>#REF!</v>
      </c>
      <c r="Z84" s="299" t="s">
        <v>812</v>
      </c>
      <c r="AA84" s="79" t="s">
        <v>813</v>
      </c>
      <c r="AB84" s="260"/>
      <c r="AC84" s="652" t="s">
        <v>799</v>
      </c>
      <c r="AD84" s="667">
        <v>10000000</v>
      </c>
      <c r="AE84" s="82"/>
      <c r="AF84" s="83">
        <f>SUM(AG84:BC84)</f>
        <v>0</v>
      </c>
      <c r="AG84" s="91"/>
      <c r="AH84" s="92"/>
      <c r="AI84" s="92"/>
      <c r="AJ84" s="92"/>
      <c r="AK84" s="92"/>
      <c r="AL84" s="92"/>
      <c r="AM84" s="92"/>
      <c r="AN84" s="92"/>
      <c r="AO84" s="92"/>
      <c r="AP84" s="92"/>
      <c r="AQ84" s="92"/>
      <c r="AR84" s="92"/>
      <c r="AS84" s="92"/>
      <c r="AT84" s="92"/>
      <c r="AU84" s="92"/>
      <c r="AV84" s="92"/>
      <c r="AW84" s="92"/>
      <c r="AX84" s="92"/>
      <c r="AY84" s="92"/>
      <c r="AZ84" s="92"/>
      <c r="BA84" s="92"/>
      <c r="BB84" s="92"/>
      <c r="BC84" s="92"/>
    </row>
    <row r="85" spans="1:62" s="78" customFormat="1" ht="23.1" customHeight="1" thickBot="1">
      <c r="A85" s="258"/>
      <c r="B85" s="685"/>
      <c r="C85" s="212"/>
      <c r="D85" s="687" t="s">
        <v>1599</v>
      </c>
      <c r="E85" s="687" t="s">
        <v>1599</v>
      </c>
      <c r="F85" s="687" t="s">
        <v>1599</v>
      </c>
      <c r="G85" s="687" t="s">
        <v>1599</v>
      </c>
      <c r="H85" s="687" t="s">
        <v>1599</v>
      </c>
      <c r="I85" s="687" t="s">
        <v>1599</v>
      </c>
      <c r="J85" s="687" t="s">
        <v>1599</v>
      </c>
      <c r="K85" s="687" t="s">
        <v>1599</v>
      </c>
      <c r="L85" s="687" t="s">
        <v>1599</v>
      </c>
      <c r="M85" s="687" t="s">
        <v>1599</v>
      </c>
      <c r="N85" s="687" t="s">
        <v>1599</v>
      </c>
      <c r="O85" s="687"/>
      <c r="P85" s="713"/>
      <c r="Q85" s="732"/>
      <c r="R85" s="565"/>
      <c r="S85" s="565"/>
      <c r="T85" s="207"/>
      <c r="U85" s="229" t="s">
        <v>816</v>
      </c>
      <c r="V85" s="707" t="s">
        <v>1277</v>
      </c>
      <c r="W85" s="708"/>
      <c r="X85" s="641" t="s">
        <v>1080</v>
      </c>
      <c r="Y85" s="529">
        <f>BP85/1000000</f>
        <v>0</v>
      </c>
      <c r="Z85" s="85"/>
      <c r="AA85" s="69"/>
      <c r="AB85" s="261"/>
      <c r="AC85" s="666" t="s">
        <v>817</v>
      </c>
      <c r="AD85" s="668" t="e">
        <f>AD84-#REF!</f>
        <v>#REF!</v>
      </c>
      <c r="AE85" s="82" t="s">
        <v>824</v>
      </c>
      <c r="AF85" s="83"/>
      <c r="AG85" s="77"/>
      <c r="AH85" s="77"/>
      <c r="AI85" s="77"/>
      <c r="AJ85" s="77"/>
      <c r="AK85" s="77"/>
      <c r="AL85" s="77"/>
      <c r="AM85" s="77"/>
      <c r="AN85" s="77"/>
      <c r="AO85" s="77"/>
      <c r="AP85" s="77"/>
      <c r="AQ85" s="77"/>
      <c r="AR85" s="77"/>
      <c r="AS85" s="77"/>
      <c r="AT85" s="77"/>
      <c r="AU85" s="77"/>
      <c r="AV85" s="77"/>
      <c r="AW85" s="77"/>
      <c r="AX85" s="77"/>
      <c r="AY85" s="77"/>
      <c r="AZ85" s="77"/>
      <c r="BA85" s="77"/>
      <c r="BB85" s="77"/>
      <c r="BC85" s="77"/>
      <c r="BD85" s="68"/>
      <c r="BE85" s="68"/>
      <c r="BF85" s="68"/>
      <c r="BG85" s="68"/>
      <c r="BH85" s="68"/>
      <c r="BI85" s="68"/>
      <c r="BJ85" s="68"/>
    </row>
    <row r="86" spans="1:62" s="78" customFormat="1" ht="23.1" customHeight="1" thickBot="1">
      <c r="A86" s="257" t="s">
        <v>1600</v>
      </c>
      <c r="B86" s="681">
        <v>0.15</v>
      </c>
      <c r="C86" s="211">
        <f>B86+D86+E86+F86+G86+H86+I86+J86+K86+L86+M86+N86+O86</f>
        <v>0.8</v>
      </c>
      <c r="D86" s="636">
        <v>0</v>
      </c>
      <c r="E86" s="636">
        <v>0</v>
      </c>
      <c r="F86" s="636">
        <v>0</v>
      </c>
      <c r="G86" s="636">
        <v>0</v>
      </c>
      <c r="H86" s="636">
        <v>0.15</v>
      </c>
      <c r="I86" s="636">
        <v>0.1</v>
      </c>
      <c r="J86" s="636">
        <v>0.1</v>
      </c>
      <c r="K86" s="636">
        <v>0.25</v>
      </c>
      <c r="L86" s="636">
        <v>0.05</v>
      </c>
      <c r="M86" s="651">
        <v>0</v>
      </c>
      <c r="N86" s="651">
        <v>0</v>
      </c>
      <c r="O86" s="651">
        <v>0</v>
      </c>
      <c r="P86" s="631" t="s">
        <v>1603</v>
      </c>
      <c r="Q86" s="727" t="s">
        <v>1604</v>
      </c>
      <c r="R86" s="564" t="s">
        <v>1670</v>
      </c>
      <c r="S86" s="564">
        <v>319</v>
      </c>
      <c r="T86" s="206" t="s">
        <v>1601</v>
      </c>
      <c r="U86" s="645" t="s">
        <v>1602</v>
      </c>
      <c r="V86" s="660" t="s">
        <v>799</v>
      </c>
      <c r="W86" s="661">
        <f>BN86/1000000</f>
        <v>0</v>
      </c>
      <c r="X86" s="634" t="s">
        <v>832</v>
      </c>
      <c r="Y86" s="524" t="e">
        <f>W86-(#REF!+Y87)/1.1</f>
        <v>#REF!</v>
      </c>
      <c r="Z86" s="299" t="s">
        <v>812</v>
      </c>
      <c r="AA86" s="79" t="s">
        <v>813</v>
      </c>
      <c r="AB86" s="260"/>
      <c r="AC86" s="652" t="s">
        <v>799</v>
      </c>
      <c r="AD86" s="653">
        <v>4000000</v>
      </c>
      <c r="AE86" s="82"/>
      <c r="AF86" s="83">
        <f>SUM(AG86:BC86)</f>
        <v>0</v>
      </c>
      <c r="AG86" s="91"/>
      <c r="AH86" s="92"/>
      <c r="AI86" s="92"/>
      <c r="AJ86" s="92"/>
      <c r="AK86" s="92"/>
      <c r="AL86" s="92"/>
      <c r="AM86" s="92"/>
      <c r="AN86" s="92"/>
      <c r="AO86" s="92"/>
      <c r="AP86" s="92"/>
      <c r="AQ86" s="92"/>
      <c r="AR86" s="92"/>
      <c r="AS86" s="92"/>
      <c r="AT86" s="92"/>
      <c r="AU86" s="92"/>
      <c r="AV86" s="92"/>
      <c r="AW86" s="92"/>
      <c r="AX86" s="92"/>
      <c r="AY86" s="92"/>
      <c r="AZ86" s="92"/>
      <c r="BA86" s="92"/>
      <c r="BB86" s="92"/>
      <c r="BC86" s="92"/>
    </row>
    <row r="87" spans="1:62" s="78" customFormat="1" ht="23.1" customHeight="1" thickBot="1">
      <c r="A87" s="258"/>
      <c r="B87" s="685"/>
      <c r="C87" s="212"/>
      <c r="D87" s="687" t="s">
        <v>1605</v>
      </c>
      <c r="E87" s="704" t="s">
        <v>821</v>
      </c>
      <c r="F87" s="704" t="s">
        <v>821</v>
      </c>
      <c r="G87" s="704" t="s">
        <v>821</v>
      </c>
      <c r="H87" s="687" t="s">
        <v>1606</v>
      </c>
      <c r="I87" s="687" t="s">
        <v>1607</v>
      </c>
      <c r="J87" s="687" t="s">
        <v>1607</v>
      </c>
      <c r="K87" s="687" t="s">
        <v>1607</v>
      </c>
      <c r="L87" s="687" t="s">
        <v>1607</v>
      </c>
      <c r="M87" s="704" t="s">
        <v>821</v>
      </c>
      <c r="N87" s="704" t="s">
        <v>821</v>
      </c>
      <c r="O87" s="687"/>
      <c r="P87" s="713"/>
      <c r="Q87" s="732"/>
      <c r="R87" s="564"/>
      <c r="S87" s="564"/>
      <c r="T87" s="207"/>
      <c r="U87" s="229" t="s">
        <v>816</v>
      </c>
      <c r="V87" s="707" t="s">
        <v>1277</v>
      </c>
      <c r="W87" s="708"/>
      <c r="X87" s="641" t="s">
        <v>1080</v>
      </c>
      <c r="Y87" s="529">
        <f>BP87/1000000</f>
        <v>0</v>
      </c>
      <c r="Z87" s="85"/>
      <c r="AA87" s="69"/>
      <c r="AB87" s="261"/>
      <c r="AC87" s="666" t="s">
        <v>817</v>
      </c>
      <c r="AD87" s="657" t="e">
        <f>AD86-#REF!</f>
        <v>#REF!</v>
      </c>
      <c r="AE87" s="82" t="s">
        <v>824</v>
      </c>
      <c r="AF87" s="83"/>
      <c r="AG87" s="77"/>
      <c r="AH87" s="77"/>
      <c r="AI87" s="77"/>
      <c r="AJ87" s="77"/>
      <c r="AK87" s="77"/>
      <c r="AL87" s="77"/>
      <c r="AM87" s="77"/>
      <c r="AN87" s="77"/>
      <c r="AO87" s="77"/>
      <c r="AP87" s="77"/>
      <c r="AQ87" s="77"/>
      <c r="AR87" s="77"/>
      <c r="AS87" s="77"/>
      <c r="AT87" s="77"/>
      <c r="AU87" s="77"/>
      <c r="AV87" s="77"/>
      <c r="AW87" s="77"/>
      <c r="AX87" s="77"/>
      <c r="AY87" s="77"/>
      <c r="AZ87" s="77"/>
      <c r="BA87" s="77"/>
      <c r="BB87" s="77"/>
      <c r="BC87" s="77"/>
      <c r="BD87" s="68"/>
      <c r="BE87" s="68"/>
      <c r="BF87" s="68"/>
      <c r="BG87" s="68"/>
      <c r="BH87" s="68"/>
      <c r="BI87" s="68"/>
      <c r="BJ87" s="68"/>
    </row>
    <row r="88" spans="1:62" s="78" customFormat="1" ht="23.1" customHeight="1" thickBot="1">
      <c r="A88" s="563" t="s">
        <v>1608</v>
      </c>
      <c r="B88" s="234">
        <v>0.65</v>
      </c>
      <c r="C88" s="211">
        <f>B88+D88+E88+F88+G88+H88+I88+J88+K88+L88+M88+N88+O88</f>
        <v>1</v>
      </c>
      <c r="D88" s="636">
        <v>0.05</v>
      </c>
      <c r="E88" s="636">
        <v>0.05</v>
      </c>
      <c r="F88" s="636">
        <v>0.1</v>
      </c>
      <c r="G88" s="636">
        <v>0</v>
      </c>
      <c r="H88" s="636">
        <v>0</v>
      </c>
      <c r="I88" s="636">
        <v>0</v>
      </c>
      <c r="J88" s="636">
        <v>0.15</v>
      </c>
      <c r="K88" s="636">
        <v>0</v>
      </c>
      <c r="L88" s="636">
        <v>0</v>
      </c>
      <c r="M88" s="651">
        <v>0</v>
      </c>
      <c r="N88" s="651">
        <v>0</v>
      </c>
      <c r="O88" s="651">
        <v>0</v>
      </c>
      <c r="P88" s="701" t="s">
        <v>1611</v>
      </c>
      <c r="Q88" s="728" t="s">
        <v>1612</v>
      </c>
      <c r="R88" s="271" t="s">
        <v>1670</v>
      </c>
      <c r="S88" s="271">
        <v>337</v>
      </c>
      <c r="T88" s="226" t="s">
        <v>1609</v>
      </c>
      <c r="U88" s="643" t="s">
        <v>1610</v>
      </c>
      <c r="V88" s="669" t="s">
        <v>799</v>
      </c>
      <c r="W88" s="670">
        <f>BN88/1000000</f>
        <v>0</v>
      </c>
      <c r="X88" s="671" t="s">
        <v>832</v>
      </c>
      <c r="Y88" s="524" t="e">
        <f>W88-(#REF!+Y89)/1.1</f>
        <v>#REF!</v>
      </c>
      <c r="Z88" s="299" t="s">
        <v>812</v>
      </c>
      <c r="AA88" s="79" t="s">
        <v>813</v>
      </c>
      <c r="AB88" s="260"/>
      <c r="AC88" s="652" t="s">
        <v>799</v>
      </c>
      <c r="AD88" s="672">
        <v>50000000</v>
      </c>
      <c r="AE88" s="82"/>
      <c r="AF88" s="83">
        <f>SUM(AG88:BC88)</f>
        <v>0</v>
      </c>
      <c r="AG88" s="91"/>
      <c r="AH88" s="92"/>
      <c r="AI88" s="92"/>
      <c r="AJ88" s="92"/>
      <c r="AK88" s="92"/>
      <c r="AL88" s="92"/>
      <c r="AM88" s="92"/>
      <c r="AN88" s="92"/>
      <c r="AO88" s="92"/>
      <c r="AP88" s="92"/>
      <c r="AQ88" s="92"/>
      <c r="AR88" s="92"/>
      <c r="AS88" s="92"/>
      <c r="AT88" s="92"/>
      <c r="AU88" s="92"/>
      <c r="AV88" s="92"/>
      <c r="AW88" s="92"/>
      <c r="AX88" s="92"/>
      <c r="AY88" s="92"/>
      <c r="AZ88" s="92"/>
      <c r="BA88" s="92"/>
      <c r="BB88" s="92"/>
      <c r="BC88" s="92"/>
    </row>
    <row r="89" spans="1:62" s="78" customFormat="1" ht="23.1" customHeight="1" thickBot="1">
      <c r="A89" s="564"/>
      <c r="B89" s="235"/>
      <c r="C89" s="212"/>
      <c r="D89" s="560" t="s">
        <v>1613</v>
      </c>
      <c r="E89" s="560" t="s">
        <v>1614</v>
      </c>
      <c r="F89" s="560" t="s">
        <v>1615</v>
      </c>
      <c r="G89" s="704" t="s">
        <v>1616</v>
      </c>
      <c r="H89" s="704" t="s">
        <v>1616</v>
      </c>
      <c r="I89" s="704" t="s">
        <v>1616</v>
      </c>
      <c r="J89" s="704" t="s">
        <v>1617</v>
      </c>
      <c r="K89" s="711" t="s">
        <v>996</v>
      </c>
      <c r="L89" s="711" t="s">
        <v>996</v>
      </c>
      <c r="M89" s="711" t="s">
        <v>996</v>
      </c>
      <c r="N89" s="711" t="s">
        <v>996</v>
      </c>
      <c r="O89" s="687"/>
      <c r="P89" s="702"/>
      <c r="Q89" s="733"/>
      <c r="R89" s="238"/>
      <c r="S89" s="238"/>
      <c r="T89" s="227"/>
      <c r="U89" s="229" t="s">
        <v>816</v>
      </c>
      <c r="V89" s="714" t="s">
        <v>1277</v>
      </c>
      <c r="W89" s="715"/>
      <c r="X89" s="674" t="s">
        <v>1080</v>
      </c>
      <c r="Y89" s="529">
        <f>BP89/1000000</f>
        <v>0</v>
      </c>
      <c r="Z89" s="85"/>
      <c r="AA89" s="69"/>
      <c r="AB89" s="261"/>
      <c r="AC89" s="656" t="s">
        <v>817</v>
      </c>
      <c r="AD89" s="657" t="e">
        <f>AD88-#REF!</f>
        <v>#REF!</v>
      </c>
      <c r="AE89" s="82" t="s">
        <v>824</v>
      </c>
      <c r="AF89" s="83"/>
      <c r="AG89" s="77"/>
      <c r="AH89" s="77"/>
      <c r="AI89" s="77"/>
      <c r="AJ89" s="77"/>
      <c r="AK89" s="77"/>
      <c r="AL89" s="77"/>
      <c r="AM89" s="77"/>
      <c r="AN89" s="77"/>
      <c r="AO89" s="77"/>
      <c r="AP89" s="77"/>
      <c r="AQ89" s="77"/>
      <c r="AR89" s="77"/>
      <c r="AS89" s="77"/>
      <c r="AT89" s="77"/>
      <c r="AU89" s="77"/>
      <c r="AV89" s="77"/>
      <c r="AW89" s="77"/>
      <c r="AX89" s="77"/>
      <c r="AY89" s="77"/>
      <c r="AZ89" s="77"/>
      <c r="BA89" s="77"/>
      <c r="BB89" s="77"/>
      <c r="BC89" s="77"/>
      <c r="BD89" s="68"/>
      <c r="BE89" s="68"/>
      <c r="BF89" s="68"/>
      <c r="BG89" s="68"/>
      <c r="BH89" s="68"/>
      <c r="BI89" s="68"/>
      <c r="BJ89" s="68"/>
    </row>
    <row r="90" spans="1:62" s="78" customFormat="1" ht="23.1" customHeight="1" thickBot="1">
      <c r="A90" s="563" t="s">
        <v>1618</v>
      </c>
      <c r="B90" s="234">
        <v>0</v>
      </c>
      <c r="C90" s="211">
        <f>B90+D90+E90+F90+G90+H90+I90+J90+K90+L90+M90+N90+O90</f>
        <v>0.9</v>
      </c>
      <c r="D90" s="636">
        <v>0</v>
      </c>
      <c r="E90" s="636">
        <v>0</v>
      </c>
      <c r="F90" s="636">
        <v>0.05</v>
      </c>
      <c r="G90" s="636">
        <v>0.05</v>
      </c>
      <c r="H90" s="636">
        <v>0.2</v>
      </c>
      <c r="I90" s="636">
        <v>0.05</v>
      </c>
      <c r="J90" s="636">
        <v>0</v>
      </c>
      <c r="K90" s="636">
        <v>0.15</v>
      </c>
      <c r="L90" s="636">
        <v>0.15</v>
      </c>
      <c r="M90" s="651">
        <v>0.15</v>
      </c>
      <c r="N90" s="651">
        <v>0.1</v>
      </c>
      <c r="O90" s="651">
        <v>0</v>
      </c>
      <c r="P90" s="701" t="s">
        <v>1621</v>
      </c>
      <c r="Q90" s="728" t="s">
        <v>1622</v>
      </c>
      <c r="R90" s="237" t="s">
        <v>1670</v>
      </c>
      <c r="S90" s="237">
        <v>371</v>
      </c>
      <c r="T90" s="226" t="s">
        <v>1619</v>
      </c>
      <c r="U90" s="643" t="s">
        <v>1620</v>
      </c>
      <c r="V90" s="669" t="s">
        <v>799</v>
      </c>
      <c r="W90" s="670">
        <f>BN90/1000000</f>
        <v>0</v>
      </c>
      <c r="X90" s="671" t="s">
        <v>832</v>
      </c>
      <c r="Y90" s="524" t="e">
        <f>W90-(#REF!+Y91)/1.1</f>
        <v>#REF!</v>
      </c>
      <c r="Z90" s="299" t="s">
        <v>812</v>
      </c>
      <c r="AA90" s="79" t="s">
        <v>813</v>
      </c>
      <c r="AB90" s="260"/>
      <c r="AC90" s="652" t="s">
        <v>799</v>
      </c>
      <c r="AD90" s="672">
        <v>6500000</v>
      </c>
      <c r="AE90" s="82"/>
      <c r="AF90" s="83">
        <f>SUM(AG90:BC90)</f>
        <v>0</v>
      </c>
      <c r="AG90" s="91"/>
      <c r="AH90" s="92"/>
      <c r="AI90" s="92"/>
      <c r="AJ90" s="92"/>
      <c r="AK90" s="92"/>
      <c r="AL90" s="92"/>
      <c r="AM90" s="92"/>
      <c r="AN90" s="92"/>
      <c r="AO90" s="92"/>
      <c r="AP90" s="92"/>
      <c r="AQ90" s="92"/>
      <c r="AR90" s="92"/>
      <c r="AS90" s="92"/>
      <c r="AT90" s="92"/>
      <c r="AU90" s="92"/>
      <c r="AV90" s="92"/>
      <c r="AW90" s="92"/>
      <c r="AX90" s="92"/>
      <c r="AY90" s="92"/>
      <c r="AZ90" s="92"/>
      <c r="BA90" s="92"/>
      <c r="BB90" s="92"/>
      <c r="BC90" s="92"/>
    </row>
    <row r="91" spans="1:62" s="78" customFormat="1" ht="23.1" customHeight="1" thickBot="1">
      <c r="A91" s="564"/>
      <c r="B91" s="235"/>
      <c r="C91" s="212"/>
      <c r="D91" s="560"/>
      <c r="E91" s="560"/>
      <c r="F91" s="560" t="s">
        <v>1623</v>
      </c>
      <c r="G91" s="560" t="s">
        <v>1624</v>
      </c>
      <c r="H91" s="560" t="s">
        <v>1625</v>
      </c>
      <c r="I91" s="687" t="s">
        <v>1626</v>
      </c>
      <c r="J91" s="711" t="s">
        <v>821</v>
      </c>
      <c r="K91" s="687" t="s">
        <v>1626</v>
      </c>
      <c r="L91" s="687" t="s">
        <v>1626</v>
      </c>
      <c r="M91" s="687" t="s">
        <v>1626</v>
      </c>
      <c r="N91" s="687" t="s">
        <v>1626</v>
      </c>
      <c r="O91" s="687"/>
      <c r="P91" s="702"/>
      <c r="Q91" s="733"/>
      <c r="R91" s="237"/>
      <c r="S91" s="237"/>
      <c r="T91" s="227"/>
      <c r="U91" s="229" t="s">
        <v>816</v>
      </c>
      <c r="V91" s="714" t="s">
        <v>1277</v>
      </c>
      <c r="W91" s="715"/>
      <c r="X91" s="674" t="s">
        <v>1080</v>
      </c>
      <c r="Y91" s="529">
        <f>BP91/1000000</f>
        <v>0</v>
      </c>
      <c r="Z91" s="85"/>
      <c r="AA91" s="69"/>
      <c r="AB91" s="261"/>
      <c r="AC91" s="656" t="s">
        <v>817</v>
      </c>
      <c r="AD91" s="657" t="e">
        <f>AD90-#REF!</f>
        <v>#REF!</v>
      </c>
      <c r="AE91" s="82" t="s">
        <v>824</v>
      </c>
      <c r="AF91" s="83"/>
      <c r="AG91" s="77"/>
      <c r="AH91" s="77"/>
      <c r="AI91" s="77"/>
      <c r="AJ91" s="77"/>
      <c r="AK91" s="77"/>
      <c r="AL91" s="77"/>
      <c r="AM91" s="77"/>
      <c r="AN91" s="77"/>
      <c r="AO91" s="77"/>
      <c r="AP91" s="77"/>
      <c r="AQ91" s="77"/>
      <c r="AR91" s="77"/>
      <c r="AS91" s="77"/>
      <c r="AT91" s="77"/>
      <c r="AU91" s="77"/>
      <c r="AV91" s="77"/>
      <c r="AW91" s="77"/>
      <c r="AX91" s="77"/>
      <c r="AY91" s="77"/>
      <c r="AZ91" s="77"/>
      <c r="BA91" s="77"/>
      <c r="BB91" s="77"/>
      <c r="BC91" s="77"/>
      <c r="BD91" s="68"/>
      <c r="BE91" s="68"/>
      <c r="BF91" s="68"/>
      <c r="BG91" s="68"/>
      <c r="BH91" s="68"/>
      <c r="BI91" s="68"/>
      <c r="BJ91" s="68"/>
    </row>
    <row r="92" spans="1:62" s="78" customFormat="1" ht="23.1" customHeight="1" thickBot="1">
      <c r="A92" s="563" t="s">
        <v>1627</v>
      </c>
      <c r="B92" s="234">
        <v>0</v>
      </c>
      <c r="C92" s="211">
        <f>B92+D92+E92+F92+G92+H92+I92+J92+K92+L92+M92+N92+O92</f>
        <v>0.8</v>
      </c>
      <c r="D92" s="636">
        <v>0</v>
      </c>
      <c r="E92" s="636">
        <v>0</v>
      </c>
      <c r="F92" s="636">
        <v>0.15</v>
      </c>
      <c r="G92" s="636">
        <v>0.15</v>
      </c>
      <c r="H92" s="636">
        <v>0.15</v>
      </c>
      <c r="I92" s="636">
        <v>0.05</v>
      </c>
      <c r="J92" s="636">
        <v>0</v>
      </c>
      <c r="K92" s="636">
        <v>0.15</v>
      </c>
      <c r="L92" s="636">
        <v>0.05</v>
      </c>
      <c r="M92" s="651">
        <v>0.05</v>
      </c>
      <c r="N92" s="651">
        <v>0.05</v>
      </c>
      <c r="O92" s="651">
        <v>0</v>
      </c>
      <c r="P92" s="701" t="s">
        <v>1630</v>
      </c>
      <c r="Q92" s="728" t="s">
        <v>1631</v>
      </c>
      <c r="R92" s="271" t="s">
        <v>1670</v>
      </c>
      <c r="S92" s="271">
        <v>363</v>
      </c>
      <c r="T92" s="226" t="s">
        <v>1628</v>
      </c>
      <c r="U92" s="643" t="s">
        <v>1629</v>
      </c>
      <c r="V92" s="669" t="s">
        <v>799</v>
      </c>
      <c r="W92" s="670">
        <f>BN92/1000000</f>
        <v>0</v>
      </c>
      <c r="X92" s="671" t="s">
        <v>832</v>
      </c>
      <c r="Y92" s="524" t="e">
        <f>W92-(#REF!+Y93)/1.1</f>
        <v>#REF!</v>
      </c>
      <c r="Z92" s="299" t="s">
        <v>812</v>
      </c>
      <c r="AA92" s="79" t="s">
        <v>813</v>
      </c>
      <c r="AB92" s="260"/>
      <c r="AC92" s="652" t="s">
        <v>799</v>
      </c>
      <c r="AD92" s="672">
        <v>70000000</v>
      </c>
      <c r="AE92" s="82"/>
      <c r="AF92" s="83">
        <f>SUM(AG92:BC92)</f>
        <v>0</v>
      </c>
      <c r="AG92" s="91"/>
      <c r="AH92" s="92"/>
      <c r="AI92" s="92"/>
      <c r="AJ92" s="92"/>
      <c r="AK92" s="92"/>
      <c r="AL92" s="92"/>
      <c r="AM92" s="92"/>
      <c r="AN92" s="92"/>
      <c r="AO92" s="92"/>
      <c r="AP92" s="92"/>
      <c r="AQ92" s="92"/>
      <c r="AR92" s="92"/>
      <c r="AS92" s="92"/>
      <c r="AT92" s="92"/>
      <c r="AU92" s="92"/>
      <c r="AV92" s="92"/>
      <c r="AW92" s="92"/>
      <c r="AX92" s="92"/>
      <c r="AY92" s="92"/>
      <c r="AZ92" s="92"/>
      <c r="BA92" s="92"/>
      <c r="BB92" s="92"/>
      <c r="BC92" s="92"/>
    </row>
    <row r="93" spans="1:62" s="78" customFormat="1" ht="23.1" customHeight="1" thickBot="1">
      <c r="A93" s="564"/>
      <c r="B93" s="235"/>
      <c r="C93" s="212"/>
      <c r="D93" s="560"/>
      <c r="E93" s="560"/>
      <c r="F93" s="560" t="s">
        <v>1632</v>
      </c>
      <c r="G93" s="560" t="s">
        <v>1633</v>
      </c>
      <c r="H93" s="560" t="s">
        <v>1634</v>
      </c>
      <c r="I93" s="560" t="s">
        <v>1634</v>
      </c>
      <c r="J93" s="711" t="s">
        <v>821</v>
      </c>
      <c r="K93" s="560" t="s">
        <v>1634</v>
      </c>
      <c r="L93" s="560" t="s">
        <v>1634</v>
      </c>
      <c r="M93" s="560" t="s">
        <v>1634</v>
      </c>
      <c r="N93" s="560" t="s">
        <v>1634</v>
      </c>
      <c r="O93" s="687"/>
      <c r="P93" s="702"/>
      <c r="Q93" s="733"/>
      <c r="R93" s="238"/>
      <c r="S93" s="238"/>
      <c r="T93" s="227"/>
      <c r="U93" s="229" t="s">
        <v>816</v>
      </c>
      <c r="V93" s="714" t="s">
        <v>1277</v>
      </c>
      <c r="W93" s="715"/>
      <c r="X93" s="674" t="s">
        <v>1080</v>
      </c>
      <c r="Y93" s="529">
        <f>BP93/1000000</f>
        <v>0</v>
      </c>
      <c r="Z93" s="85"/>
      <c r="AA93" s="69"/>
      <c r="AB93" s="261"/>
      <c r="AC93" s="656" t="s">
        <v>817</v>
      </c>
      <c r="AD93" s="657" t="e">
        <f>AD92-#REF!</f>
        <v>#REF!</v>
      </c>
      <c r="AE93" s="82" t="s">
        <v>824</v>
      </c>
      <c r="AF93" s="83"/>
      <c r="AG93" s="77"/>
      <c r="AH93" s="77"/>
      <c r="AI93" s="77"/>
      <c r="AJ93" s="77"/>
      <c r="AK93" s="77"/>
      <c r="AL93" s="77"/>
      <c r="AM93" s="77"/>
      <c r="AN93" s="77"/>
      <c r="AO93" s="77"/>
      <c r="AP93" s="77"/>
      <c r="AQ93" s="77"/>
      <c r="AR93" s="77"/>
      <c r="AS93" s="77"/>
      <c r="AT93" s="77"/>
      <c r="AU93" s="77"/>
      <c r="AV93" s="77"/>
      <c r="AW93" s="77"/>
      <c r="AX93" s="77"/>
      <c r="AY93" s="77"/>
      <c r="AZ93" s="77"/>
      <c r="BA93" s="77"/>
      <c r="BB93" s="77"/>
      <c r="BC93" s="77"/>
      <c r="BD93" s="68"/>
      <c r="BE93" s="68"/>
      <c r="BF93" s="68"/>
      <c r="BG93" s="68"/>
      <c r="BH93" s="68"/>
      <c r="BI93" s="68"/>
      <c r="BJ93" s="68"/>
    </row>
    <row r="94" spans="1:62" s="78" customFormat="1" ht="23.1" customHeight="1" thickBot="1">
      <c r="A94" s="563" t="s">
        <v>1644</v>
      </c>
      <c r="B94" s="234">
        <v>0</v>
      </c>
      <c r="C94" s="211">
        <f>B94+D94+E94+F94+G94+H94+I94+J94+K94+L94+M94+N94+O94</f>
        <v>0.75</v>
      </c>
      <c r="D94" s="636">
        <v>0</v>
      </c>
      <c r="E94" s="636">
        <v>0</v>
      </c>
      <c r="F94" s="636">
        <v>0</v>
      </c>
      <c r="G94" s="636">
        <v>0</v>
      </c>
      <c r="H94" s="636">
        <v>0</v>
      </c>
      <c r="I94" s="636">
        <v>0</v>
      </c>
      <c r="J94" s="636">
        <v>0.25</v>
      </c>
      <c r="K94" s="636">
        <v>0.1</v>
      </c>
      <c r="L94" s="636">
        <v>0.1</v>
      </c>
      <c r="M94" s="651">
        <v>0.15</v>
      </c>
      <c r="N94" s="651">
        <v>0.15</v>
      </c>
      <c r="O94" s="651">
        <v>0</v>
      </c>
      <c r="P94" s="701" t="s">
        <v>1646</v>
      </c>
      <c r="Q94" s="728" t="s">
        <v>1647</v>
      </c>
      <c r="R94" s="271" t="s">
        <v>1670</v>
      </c>
      <c r="S94" s="271">
        <v>364</v>
      </c>
      <c r="T94" s="226" t="s">
        <v>1645</v>
      </c>
      <c r="U94" s="643" t="s">
        <v>1629</v>
      </c>
      <c r="V94" s="669" t="s">
        <v>799</v>
      </c>
      <c r="W94" s="670">
        <f>BN94/1000000</f>
        <v>0</v>
      </c>
      <c r="X94" s="671" t="s">
        <v>832</v>
      </c>
      <c r="Y94" s="524" t="e">
        <f>W94-(#REF!+Y95)/1.1</f>
        <v>#REF!</v>
      </c>
      <c r="Z94" s="299" t="s">
        <v>812</v>
      </c>
      <c r="AA94" s="79" t="s">
        <v>813</v>
      </c>
      <c r="AB94" s="260"/>
      <c r="AC94" s="652" t="s">
        <v>799</v>
      </c>
      <c r="AD94" s="672">
        <v>120000000</v>
      </c>
      <c r="AE94" s="82"/>
      <c r="AF94" s="83">
        <f>SUM(AG94:BC94)</f>
        <v>0</v>
      </c>
      <c r="AG94" s="91"/>
      <c r="AH94" s="92"/>
      <c r="AI94" s="92"/>
      <c r="AJ94" s="92"/>
      <c r="AK94" s="92"/>
      <c r="AL94" s="92"/>
      <c r="AM94" s="92"/>
      <c r="AN94" s="92"/>
      <c r="AO94" s="92"/>
      <c r="AP94" s="92"/>
      <c r="AQ94" s="92"/>
      <c r="AR94" s="92"/>
      <c r="AS94" s="92"/>
      <c r="AT94" s="92"/>
      <c r="AU94" s="92"/>
      <c r="AV94" s="92"/>
      <c r="AW94" s="92"/>
      <c r="AX94" s="92"/>
      <c r="AY94" s="92"/>
      <c r="AZ94" s="92"/>
      <c r="BA94" s="92"/>
      <c r="BB94" s="92"/>
      <c r="BC94" s="92"/>
    </row>
    <row r="95" spans="1:62" s="78" customFormat="1" ht="23.1" customHeight="1" thickBot="1">
      <c r="A95" s="564"/>
      <c r="B95" s="235"/>
      <c r="C95" s="212"/>
      <c r="D95" s="560"/>
      <c r="E95" s="560"/>
      <c r="F95" s="560"/>
      <c r="G95" s="560"/>
      <c r="H95" s="560"/>
      <c r="I95" s="560"/>
      <c r="J95" s="711" t="s">
        <v>1648</v>
      </c>
      <c r="K95" s="711" t="s">
        <v>1649</v>
      </c>
      <c r="L95" s="711" t="s">
        <v>1649</v>
      </c>
      <c r="M95" s="711" t="s">
        <v>1650</v>
      </c>
      <c r="N95" s="711" t="s">
        <v>1650</v>
      </c>
      <c r="O95" s="687"/>
      <c r="P95" s="702"/>
      <c r="Q95" s="733"/>
      <c r="R95" s="238"/>
      <c r="S95" s="238"/>
      <c r="T95" s="227"/>
      <c r="U95" s="229" t="s">
        <v>816</v>
      </c>
      <c r="V95" s="714" t="s">
        <v>1277</v>
      </c>
      <c r="W95" s="715"/>
      <c r="X95" s="674" t="s">
        <v>1080</v>
      </c>
      <c r="Y95" s="529">
        <f>BP95/1000000</f>
        <v>0</v>
      </c>
      <c r="Z95" s="85"/>
      <c r="AA95" s="69"/>
      <c r="AB95" s="261"/>
      <c r="AC95" s="656" t="s">
        <v>817</v>
      </c>
      <c r="AD95" s="657" t="e">
        <f>AD94-#REF!</f>
        <v>#REF!</v>
      </c>
      <c r="AE95" s="82" t="s">
        <v>824</v>
      </c>
      <c r="AF95" s="83"/>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68"/>
      <c r="BE95" s="68"/>
      <c r="BF95" s="68"/>
      <c r="BG95" s="68"/>
      <c r="BH95" s="68"/>
      <c r="BI95" s="68"/>
      <c r="BJ95" s="68"/>
    </row>
    <row r="96" spans="1:62" s="78" customFormat="1" ht="23.1" customHeight="1" thickBot="1">
      <c r="A96" s="563" t="s">
        <v>992</v>
      </c>
      <c r="B96" s="234">
        <v>0</v>
      </c>
      <c r="C96" s="211">
        <f>B96+D96+E96+F96+G96+H96+I96+J96+K96+L96+M96+N96+O96</f>
        <v>0.55000000000000004</v>
      </c>
      <c r="D96" s="636">
        <v>0</v>
      </c>
      <c r="E96" s="636">
        <v>0</v>
      </c>
      <c r="F96" s="636">
        <v>0</v>
      </c>
      <c r="G96" s="636">
        <v>0</v>
      </c>
      <c r="H96" s="636">
        <v>0</v>
      </c>
      <c r="I96" s="636">
        <v>0</v>
      </c>
      <c r="J96" s="636">
        <v>0.1</v>
      </c>
      <c r="K96" s="636">
        <v>0.15</v>
      </c>
      <c r="L96" s="636">
        <v>0.15</v>
      </c>
      <c r="M96" s="651">
        <v>0.15</v>
      </c>
      <c r="N96" s="651">
        <v>0</v>
      </c>
      <c r="O96" s="651">
        <v>0</v>
      </c>
      <c r="P96" s="701" t="s">
        <v>1652</v>
      </c>
      <c r="Q96" s="728" t="s">
        <v>1653</v>
      </c>
      <c r="R96" s="237" t="s">
        <v>1670</v>
      </c>
      <c r="S96" s="237">
        <v>366</v>
      </c>
      <c r="T96" s="226" t="s">
        <v>1651</v>
      </c>
      <c r="U96" s="643" t="s">
        <v>994</v>
      </c>
      <c r="V96" s="669" t="s">
        <v>799</v>
      </c>
      <c r="W96" s="670">
        <f>BN96/1000000</f>
        <v>0</v>
      </c>
      <c r="X96" s="671" t="s">
        <v>832</v>
      </c>
      <c r="Y96" s="524" t="e">
        <f>W96-(#REF!+Y97)/1.1</f>
        <v>#REF!</v>
      </c>
      <c r="Z96" s="299" t="s">
        <v>812</v>
      </c>
      <c r="AA96" s="79" t="s">
        <v>813</v>
      </c>
      <c r="AB96" s="260"/>
      <c r="AC96" s="652" t="s">
        <v>799</v>
      </c>
      <c r="AD96" s="672">
        <v>6300000</v>
      </c>
      <c r="AE96" s="82"/>
      <c r="AF96" s="83">
        <f>SUM(AG96:BC96)</f>
        <v>0</v>
      </c>
      <c r="AG96" s="91"/>
      <c r="AH96" s="92"/>
      <c r="AI96" s="92"/>
      <c r="AJ96" s="92"/>
      <c r="AK96" s="92"/>
      <c r="AL96" s="92"/>
      <c r="AM96" s="92"/>
      <c r="AN96" s="92"/>
      <c r="AO96" s="92"/>
      <c r="AP96" s="92"/>
      <c r="AQ96" s="92"/>
      <c r="AR96" s="92"/>
      <c r="AS96" s="92"/>
      <c r="AT96" s="92"/>
      <c r="AU96" s="92"/>
      <c r="AV96" s="92"/>
      <c r="AW96" s="92"/>
      <c r="AX96" s="92"/>
      <c r="AY96" s="92"/>
      <c r="AZ96" s="92"/>
      <c r="BA96" s="92"/>
      <c r="BB96" s="92"/>
      <c r="BC96" s="92"/>
    </row>
    <row r="97" spans="1:62" s="78" customFormat="1" ht="23.1" customHeight="1" thickBot="1">
      <c r="A97" s="564"/>
      <c r="B97" s="235"/>
      <c r="C97" s="212"/>
      <c r="D97" s="560"/>
      <c r="E97" s="560"/>
      <c r="F97" s="560"/>
      <c r="G97" s="560"/>
      <c r="H97" s="560"/>
      <c r="I97" s="560"/>
      <c r="J97" s="711" t="s">
        <v>1654</v>
      </c>
      <c r="K97" s="711" t="s">
        <v>1649</v>
      </c>
      <c r="L97" s="711" t="s">
        <v>1649</v>
      </c>
      <c r="M97" s="711" t="s">
        <v>1649</v>
      </c>
      <c r="N97" s="687" t="s">
        <v>821</v>
      </c>
      <c r="O97" s="687"/>
      <c r="P97" s="702"/>
      <c r="Q97" s="733"/>
      <c r="R97" s="237"/>
      <c r="S97" s="237"/>
      <c r="T97" s="227"/>
      <c r="U97" s="229" t="s">
        <v>816</v>
      </c>
      <c r="V97" s="714" t="s">
        <v>1277</v>
      </c>
      <c r="W97" s="715"/>
      <c r="X97" s="674" t="s">
        <v>1080</v>
      </c>
      <c r="Y97" s="529">
        <f>BP97/1000000</f>
        <v>0</v>
      </c>
      <c r="Z97" s="85"/>
      <c r="AA97" s="69"/>
      <c r="AB97" s="261"/>
      <c r="AC97" s="656" t="s">
        <v>817</v>
      </c>
      <c r="AD97" s="657" t="e">
        <f>AD96-#REF!</f>
        <v>#REF!</v>
      </c>
      <c r="AE97" s="82" t="s">
        <v>824</v>
      </c>
      <c r="AF97" s="83"/>
      <c r="AG97" s="77"/>
      <c r="AH97" s="77"/>
      <c r="AI97" s="77"/>
      <c r="AJ97" s="77"/>
      <c r="AK97" s="77"/>
      <c r="AL97" s="77"/>
      <c r="AM97" s="77"/>
      <c r="AN97" s="77"/>
      <c r="AO97" s="77"/>
      <c r="AP97" s="77"/>
      <c r="AQ97" s="77"/>
      <c r="AR97" s="77"/>
      <c r="AS97" s="77"/>
      <c r="AT97" s="77"/>
      <c r="AU97" s="77"/>
      <c r="AV97" s="77"/>
      <c r="AW97" s="77"/>
      <c r="AX97" s="77"/>
      <c r="AY97" s="77"/>
      <c r="AZ97" s="77"/>
      <c r="BA97" s="77"/>
      <c r="BB97" s="77"/>
      <c r="BC97" s="77"/>
      <c r="BD97" s="68"/>
      <c r="BE97" s="68"/>
      <c r="BF97" s="68"/>
      <c r="BG97" s="68"/>
      <c r="BH97" s="68"/>
      <c r="BI97" s="68"/>
      <c r="BJ97" s="68"/>
    </row>
    <row r="98" spans="1:62" s="78" customFormat="1" ht="22.5" customHeight="1" thickBot="1">
      <c r="A98" s="490" t="s">
        <v>1272</v>
      </c>
      <c r="B98" s="554">
        <v>1</v>
      </c>
      <c r="C98" s="555">
        <f>B98+D98+E98+F98+G98+H98+I98+J98+K98+N98+L98+M98+O98</f>
        <v>1</v>
      </c>
      <c r="D98" s="525"/>
      <c r="E98" s="525"/>
      <c r="F98" s="525"/>
      <c r="G98" s="525"/>
      <c r="H98" s="525"/>
      <c r="I98" s="525"/>
      <c r="J98" s="525"/>
      <c r="K98" s="525"/>
      <c r="L98" s="525"/>
      <c r="M98" s="525"/>
      <c r="N98" s="525"/>
      <c r="O98" s="525"/>
      <c r="P98" s="490" t="s">
        <v>1846</v>
      </c>
      <c r="Q98" s="490" t="s">
        <v>996</v>
      </c>
      <c r="R98" s="725" t="s">
        <v>36</v>
      </c>
      <c r="S98" s="490">
        <v>36</v>
      </c>
      <c r="T98" s="553" t="s">
        <v>2030</v>
      </c>
      <c r="U98" s="520" t="s">
        <v>2031</v>
      </c>
      <c r="V98" s="521" t="s">
        <v>799</v>
      </c>
      <c r="W98" s="522">
        <f>BN98/1000000</f>
        <v>0</v>
      </c>
      <c r="X98" s="523" t="s">
        <v>832</v>
      </c>
      <c r="Y98" s="524" t="e">
        <f>W98-(#REF!+Y99)*1.1</f>
        <v>#REF!</v>
      </c>
      <c r="Z98" s="299" t="s">
        <v>812</v>
      </c>
      <c r="AA98" s="79" t="s">
        <v>813</v>
      </c>
      <c r="AB98" s="260" t="s">
        <v>1322</v>
      </c>
      <c r="AC98" s="80" t="s">
        <v>799</v>
      </c>
      <c r="AD98" s="81">
        <v>65000000</v>
      </c>
      <c r="AE98" s="82"/>
      <c r="AF98" s="83">
        <f>SUM(AG98:BC98)</f>
        <v>0</v>
      </c>
      <c r="AG98" s="91"/>
      <c r="AH98" s="92"/>
      <c r="AI98" s="92"/>
      <c r="AJ98" s="92"/>
      <c r="AK98" s="92"/>
      <c r="AL98" s="92"/>
      <c r="AM98" s="92"/>
      <c r="AN98" s="92"/>
      <c r="AO98" s="92"/>
      <c r="AP98" s="92"/>
      <c r="AQ98" s="92"/>
      <c r="AR98" s="92"/>
      <c r="AS98" s="92"/>
      <c r="AT98" s="92"/>
      <c r="AU98" s="92"/>
      <c r="AV98" s="92"/>
      <c r="AW98" s="92"/>
      <c r="AX98" s="92"/>
      <c r="AY98" s="92"/>
      <c r="AZ98" s="92"/>
      <c r="BA98" s="92"/>
      <c r="BB98" s="92"/>
      <c r="BC98" s="92"/>
    </row>
    <row r="99" spans="1:62" s="78" customFormat="1" ht="22.5" customHeight="1" thickBot="1">
      <c r="A99" s="495"/>
      <c r="B99" s="558"/>
      <c r="C99" s="559"/>
      <c r="D99" s="780"/>
      <c r="E99" s="780"/>
      <c r="F99" s="780"/>
      <c r="G99" s="780"/>
      <c r="H99" s="780"/>
      <c r="I99" s="780"/>
      <c r="J99" s="780"/>
      <c r="K99" s="780"/>
      <c r="L99" s="780"/>
      <c r="M99" s="780"/>
      <c r="N99" s="780"/>
      <c r="O99" s="780"/>
      <c r="P99" s="502"/>
      <c r="Q99" s="495"/>
      <c r="R99" s="936"/>
      <c r="S99" s="502"/>
      <c r="T99" s="557"/>
      <c r="U99" s="531"/>
      <c r="V99" s="578" t="s">
        <v>1277</v>
      </c>
      <c r="W99" s="579"/>
      <c r="X99" s="532" t="s">
        <v>1080</v>
      </c>
      <c r="Y99" s="529">
        <f>BP99/1000000</f>
        <v>0</v>
      </c>
      <c r="Z99" s="89"/>
      <c r="AA99" s="73"/>
      <c r="AB99" s="261"/>
      <c r="AC99" s="80"/>
      <c r="AD99" s="81"/>
      <c r="AE99" s="82" t="s">
        <v>824</v>
      </c>
      <c r="AF99" s="83"/>
      <c r="AG99" s="77"/>
      <c r="AH99" s="77"/>
      <c r="AI99" s="77"/>
      <c r="AJ99" s="77"/>
      <c r="AK99" s="77"/>
      <c r="AL99" s="77"/>
      <c r="AM99" s="77"/>
      <c r="AN99" s="77"/>
      <c r="AO99" s="77"/>
      <c r="AP99" s="77"/>
      <c r="AQ99" s="77"/>
      <c r="AR99" s="77"/>
      <c r="AS99" s="77"/>
      <c r="AT99" s="77"/>
      <c r="AU99" s="77"/>
      <c r="AV99" s="77"/>
      <c r="AW99" s="77"/>
      <c r="AX99" s="77"/>
      <c r="AY99" s="77"/>
      <c r="AZ99" s="77"/>
      <c r="BA99" s="77"/>
      <c r="BB99" s="77"/>
      <c r="BC99" s="77"/>
    </row>
    <row r="100" spans="1:62" s="78" customFormat="1" ht="22.5" customHeight="1" thickBot="1">
      <c r="A100" s="490" t="s">
        <v>2032</v>
      </c>
      <c r="B100" s="554">
        <v>0.4</v>
      </c>
      <c r="C100" s="555">
        <f>B100+D100+E100+F100+G100+H100+I100+J100+K100+N100+L100+M100+O100</f>
        <v>0.48000000000000009</v>
      </c>
      <c r="D100" s="525">
        <v>0.02</v>
      </c>
      <c r="E100" s="525">
        <v>0.02</v>
      </c>
      <c r="F100" s="525">
        <v>0.02</v>
      </c>
      <c r="G100" s="525">
        <v>0.02</v>
      </c>
      <c r="H100" s="525"/>
      <c r="I100" s="525"/>
      <c r="J100" s="525"/>
      <c r="K100" s="525"/>
      <c r="L100" s="525"/>
      <c r="M100" s="525"/>
      <c r="N100" s="525"/>
      <c r="O100" s="525"/>
      <c r="P100" s="490" t="s">
        <v>2035</v>
      </c>
      <c r="Q100" s="490" t="s">
        <v>2036</v>
      </c>
      <c r="R100" s="725" t="s">
        <v>1283</v>
      </c>
      <c r="S100" s="490">
        <v>284</v>
      </c>
      <c r="T100" s="553" t="s">
        <v>2033</v>
      </c>
      <c r="U100" s="520" t="s">
        <v>2034</v>
      </c>
      <c r="V100" s="521" t="s">
        <v>799</v>
      </c>
      <c r="W100" s="522">
        <v>30</v>
      </c>
      <c r="X100" s="523" t="s">
        <v>832</v>
      </c>
      <c r="Y100" s="524" t="e">
        <f>W100-(#REF!+Y101)*1.1</f>
        <v>#REF!</v>
      </c>
      <c r="Z100" s="299" t="s">
        <v>812</v>
      </c>
      <c r="AA100" s="79" t="s">
        <v>813</v>
      </c>
      <c r="AB100" s="260" t="s">
        <v>1322</v>
      </c>
      <c r="AC100" s="80" t="s">
        <v>799</v>
      </c>
      <c r="AD100" s="81">
        <v>30000000</v>
      </c>
      <c r="AE100" s="82"/>
      <c r="AF100" s="83">
        <f>SUM(AG100:BC100)</f>
        <v>0</v>
      </c>
      <c r="AG100" s="91"/>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row>
    <row r="101" spans="1:62" s="78" customFormat="1" ht="22.5" customHeight="1" thickBot="1">
      <c r="A101" s="495"/>
      <c r="B101" s="558"/>
      <c r="C101" s="559"/>
      <c r="D101" s="780"/>
      <c r="E101" s="780"/>
      <c r="F101" s="780"/>
      <c r="G101" s="780"/>
      <c r="H101" s="780"/>
      <c r="I101" s="780"/>
      <c r="J101" s="780"/>
      <c r="K101" s="780"/>
      <c r="L101" s="780"/>
      <c r="M101" s="780"/>
      <c r="N101" s="780"/>
      <c r="O101" s="780"/>
      <c r="P101" s="502"/>
      <c r="Q101" s="495"/>
      <c r="R101" s="936"/>
      <c r="S101" s="502"/>
      <c r="T101" s="557"/>
      <c r="U101" s="531"/>
      <c r="V101" s="578" t="s">
        <v>1277</v>
      </c>
      <c r="W101" s="579"/>
      <c r="X101" s="532" t="s">
        <v>1080</v>
      </c>
      <c r="Y101" s="529">
        <f>BP101/1000000</f>
        <v>0</v>
      </c>
      <c r="Z101" s="89"/>
      <c r="AA101" s="73"/>
      <c r="AB101" s="261"/>
      <c r="AC101" s="80"/>
      <c r="AD101" s="81"/>
      <c r="AE101" s="82" t="s">
        <v>824</v>
      </c>
      <c r="AF101" s="83"/>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row>
    <row r="102" spans="1:62" s="78" customFormat="1" ht="22.5" customHeight="1" thickBot="1">
      <c r="A102" s="490" t="s">
        <v>1122</v>
      </c>
      <c r="B102" s="554">
        <v>0.89</v>
      </c>
      <c r="C102" s="555">
        <f>B102+D102+E102+F102+G102+H102+I102+J102+K102+N102+L102+M102+O102</f>
        <v>1</v>
      </c>
      <c r="D102" s="525">
        <v>0.11</v>
      </c>
      <c r="E102" s="525"/>
      <c r="F102" s="525"/>
      <c r="G102" s="525"/>
      <c r="H102" s="525"/>
      <c r="I102" s="525"/>
      <c r="J102" s="525"/>
      <c r="K102" s="525"/>
      <c r="L102" s="525"/>
      <c r="M102" s="525"/>
      <c r="N102" s="525"/>
      <c r="O102" s="525"/>
      <c r="P102" s="490" t="s">
        <v>2041</v>
      </c>
      <c r="Q102" s="490" t="s">
        <v>2042</v>
      </c>
      <c r="R102" s="533" t="s">
        <v>36</v>
      </c>
      <c r="S102" s="495">
        <v>310</v>
      </c>
      <c r="T102" s="553" t="s">
        <v>2040</v>
      </c>
      <c r="U102" s="520">
        <v>19.059999999999999</v>
      </c>
      <c r="V102" s="521" t="s">
        <v>104</v>
      </c>
      <c r="W102" s="522">
        <f>BN102/1000000</f>
        <v>0</v>
      </c>
      <c r="X102" s="523" t="s">
        <v>7</v>
      </c>
      <c r="Y102" s="524" t="e">
        <f>W102-(#REF!+Y103)*1.1</f>
        <v>#REF!</v>
      </c>
      <c r="Z102" s="299" t="s">
        <v>2043</v>
      </c>
      <c r="AA102" s="79" t="s">
        <v>2044</v>
      </c>
      <c r="AB102" s="260"/>
      <c r="AC102" s="80" t="s">
        <v>2045</v>
      </c>
      <c r="AD102" s="81">
        <v>21160000</v>
      </c>
      <c r="AE102" s="82"/>
      <c r="AF102" s="83">
        <f>SUM(AG102:BC102)</f>
        <v>0</v>
      </c>
      <c r="AG102" s="91"/>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row>
    <row r="103" spans="1:62" s="78" customFormat="1" ht="22.5" customHeight="1" thickBot="1">
      <c r="A103" s="495"/>
      <c r="B103" s="558"/>
      <c r="C103" s="559"/>
      <c r="D103" s="780"/>
      <c r="E103" s="780"/>
      <c r="F103" s="780"/>
      <c r="G103" s="780"/>
      <c r="H103" s="780"/>
      <c r="I103" s="780"/>
      <c r="J103" s="780"/>
      <c r="K103" s="780"/>
      <c r="L103" s="780"/>
      <c r="M103" s="780"/>
      <c r="N103" s="780"/>
      <c r="O103" s="780"/>
      <c r="P103" s="502"/>
      <c r="Q103" s="495"/>
      <c r="R103" s="533"/>
      <c r="S103" s="495"/>
      <c r="T103" s="557"/>
      <c r="U103" s="531"/>
      <c r="V103" s="578" t="s">
        <v>2047</v>
      </c>
      <c r="W103" s="579"/>
      <c r="X103" s="532" t="s">
        <v>2046</v>
      </c>
      <c r="Y103" s="529">
        <f t="shared" ref="Y103" si="3">BP103/1000000</f>
        <v>0</v>
      </c>
      <c r="Z103" s="89"/>
      <c r="AA103" s="73"/>
      <c r="AB103" s="261"/>
      <c r="AC103" s="80"/>
      <c r="AD103" s="81"/>
      <c r="AE103" s="82" t="s">
        <v>2048</v>
      </c>
      <c r="AF103" s="83"/>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c r="BC103" s="77"/>
    </row>
    <row r="104" spans="1:62" s="78" customFormat="1" ht="22.5" customHeight="1" thickBot="1">
      <c r="A104" s="490" t="s">
        <v>2052</v>
      </c>
      <c r="B104" s="554">
        <v>1</v>
      </c>
      <c r="C104" s="555">
        <f>B104+D104+E104+F104+G104+H104+I104+J104+K104+N104+L104+M104+O104</f>
        <v>1</v>
      </c>
      <c r="D104" s="525"/>
      <c r="E104" s="525"/>
      <c r="F104" s="525"/>
      <c r="G104" s="525"/>
      <c r="H104" s="525"/>
      <c r="I104" s="525"/>
      <c r="J104" s="525"/>
      <c r="K104" s="525"/>
      <c r="L104" s="525"/>
      <c r="M104" s="525"/>
      <c r="N104" s="525"/>
      <c r="O104" s="525"/>
      <c r="P104" s="490" t="s">
        <v>2041</v>
      </c>
      <c r="Q104" s="490" t="s">
        <v>2054</v>
      </c>
      <c r="R104" s="725" t="s">
        <v>1283</v>
      </c>
      <c r="S104" s="490">
        <v>232</v>
      </c>
      <c r="T104" s="700" t="s">
        <v>2053</v>
      </c>
      <c r="U104" s="520">
        <v>18.09</v>
      </c>
      <c r="V104" s="410" t="s">
        <v>2045</v>
      </c>
      <c r="W104" s="522">
        <f>BN104/1000000</f>
        <v>0</v>
      </c>
      <c r="X104" s="412" t="s">
        <v>2051</v>
      </c>
      <c r="Y104" s="524" t="e">
        <f>W104-(#REF!+Y105)*1.1</f>
        <v>#REF!</v>
      </c>
      <c r="Z104" s="299" t="s">
        <v>2043</v>
      </c>
      <c r="AA104" s="79" t="s">
        <v>2044</v>
      </c>
      <c r="AB104" s="797"/>
      <c r="AC104" s="80" t="s">
        <v>2045</v>
      </c>
      <c r="AD104" s="81">
        <v>57750000</v>
      </c>
      <c r="AE104" s="82"/>
      <c r="AF104" s="83">
        <f>SUM(AG104:BC104)</f>
        <v>0</v>
      </c>
      <c r="AG104" s="91"/>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row>
    <row r="105" spans="1:62" s="78" customFormat="1" ht="22.5" customHeight="1" thickBot="1">
      <c r="A105" s="495"/>
      <c r="B105" s="558"/>
      <c r="C105" s="559"/>
      <c r="D105" s="780"/>
      <c r="E105" s="780"/>
      <c r="F105" s="780"/>
      <c r="G105" s="780"/>
      <c r="H105" s="780"/>
      <c r="I105" s="780"/>
      <c r="J105" s="780"/>
      <c r="K105" s="780"/>
      <c r="L105" s="780"/>
      <c r="M105" s="780"/>
      <c r="N105" s="780"/>
      <c r="O105" s="780"/>
      <c r="P105" s="502"/>
      <c r="Q105" s="495"/>
      <c r="R105" s="936"/>
      <c r="S105" s="502"/>
      <c r="T105" s="784"/>
      <c r="U105" s="593"/>
      <c r="V105" s="578" t="s">
        <v>2047</v>
      </c>
      <c r="W105" s="579"/>
      <c r="X105" s="532" t="s">
        <v>2046</v>
      </c>
      <c r="Y105" s="529">
        <f t="shared" ref="Y105" si="4">BP105/1000000</f>
        <v>0</v>
      </c>
      <c r="Z105" s="89"/>
      <c r="AA105" s="73"/>
      <c r="AB105" s="798"/>
      <c r="AC105" s="80"/>
      <c r="AD105" s="81"/>
      <c r="AE105" s="82" t="s">
        <v>2048</v>
      </c>
      <c r="AF105" s="83"/>
      <c r="AG105" s="77"/>
      <c r="AH105" s="77"/>
      <c r="AI105" s="77"/>
      <c r="AJ105" s="77"/>
      <c r="AK105" s="77"/>
      <c r="AL105" s="77"/>
      <c r="AM105" s="77"/>
      <c r="AN105" s="77"/>
      <c r="AO105" s="77"/>
      <c r="AP105" s="77"/>
      <c r="AQ105" s="77"/>
      <c r="AR105" s="77"/>
      <c r="AS105" s="77"/>
      <c r="AT105" s="77"/>
      <c r="AU105" s="77"/>
      <c r="AV105" s="77"/>
      <c r="AW105" s="77"/>
      <c r="AX105" s="77"/>
      <c r="AY105" s="77"/>
      <c r="AZ105" s="77"/>
      <c r="BA105" s="77"/>
      <c r="BB105" s="77"/>
      <c r="BC105" s="77"/>
    </row>
    <row r="106" spans="1:62" s="78" customFormat="1" ht="22.5" customHeight="1" thickBot="1">
      <c r="A106" s="490" t="s">
        <v>2055</v>
      </c>
      <c r="B106" s="554">
        <v>1</v>
      </c>
      <c r="C106" s="555">
        <f>B106+D106+E106+F106+G106+H106+I106+J106+K106+N106+L106+M106+O106</f>
        <v>1</v>
      </c>
      <c r="D106" s="525"/>
      <c r="E106" s="525"/>
      <c r="F106" s="525"/>
      <c r="G106" s="525"/>
      <c r="H106" s="525"/>
      <c r="I106" s="525"/>
      <c r="J106" s="525"/>
      <c r="K106" s="525"/>
      <c r="L106" s="525"/>
      <c r="M106" s="525"/>
      <c r="N106" s="525"/>
      <c r="O106" s="525"/>
      <c r="P106" s="490" t="s">
        <v>2041</v>
      </c>
      <c r="Q106" s="490" t="s">
        <v>2054</v>
      </c>
      <c r="R106" s="533" t="s">
        <v>36</v>
      </c>
      <c r="S106" s="495">
        <v>125</v>
      </c>
      <c r="T106" s="553" t="s">
        <v>2056</v>
      </c>
      <c r="U106" s="520">
        <v>16.079999999999998</v>
      </c>
      <c r="V106" s="410" t="s">
        <v>2045</v>
      </c>
      <c r="W106" s="522">
        <f>BN106/1000000</f>
        <v>0</v>
      </c>
      <c r="X106" s="412" t="s">
        <v>2051</v>
      </c>
      <c r="Y106" s="524" t="e">
        <f>W106-(#REF!+Y107)*1.1</f>
        <v>#REF!</v>
      </c>
      <c r="Z106" s="299" t="s">
        <v>2043</v>
      </c>
      <c r="AA106" s="79" t="s">
        <v>2044</v>
      </c>
      <c r="AB106" s="260"/>
      <c r="AC106" s="80" t="s">
        <v>2045</v>
      </c>
      <c r="AD106" s="81">
        <v>75000000</v>
      </c>
      <c r="AE106" s="82"/>
      <c r="AF106" s="83">
        <f>SUM(AG106:BC106)</f>
        <v>0</v>
      </c>
      <c r="AG106" s="91"/>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row>
    <row r="107" spans="1:62" s="78" customFormat="1" ht="22.5" customHeight="1" thickBot="1">
      <c r="A107" s="495"/>
      <c r="B107" s="558"/>
      <c r="C107" s="559"/>
      <c r="D107" s="780"/>
      <c r="E107" s="780"/>
      <c r="F107" s="780"/>
      <c r="G107" s="780"/>
      <c r="H107" s="780"/>
      <c r="I107" s="780"/>
      <c r="J107" s="780"/>
      <c r="K107" s="780"/>
      <c r="L107" s="780"/>
      <c r="M107" s="780"/>
      <c r="N107" s="780"/>
      <c r="O107" s="780"/>
      <c r="P107" s="502"/>
      <c r="Q107" s="495"/>
      <c r="R107" s="533"/>
      <c r="S107" s="495"/>
      <c r="T107" s="557"/>
      <c r="U107" s="593"/>
      <c r="V107" s="578" t="s">
        <v>2047</v>
      </c>
      <c r="W107" s="579"/>
      <c r="X107" s="532" t="s">
        <v>2046</v>
      </c>
      <c r="Y107" s="529">
        <f t="shared" ref="Y107" si="5">BP107/1000000</f>
        <v>0</v>
      </c>
      <c r="Z107" s="89"/>
      <c r="AA107" s="73"/>
      <c r="AB107" s="261"/>
      <c r="AC107" s="80"/>
      <c r="AD107" s="81"/>
      <c r="AE107" s="82" t="s">
        <v>2048</v>
      </c>
      <c r="AF107" s="83"/>
      <c r="AG107" s="77"/>
      <c r="AH107" s="77"/>
      <c r="AI107" s="77"/>
      <c r="AJ107" s="77"/>
      <c r="AK107" s="77"/>
      <c r="AL107" s="77"/>
      <c r="AM107" s="77"/>
      <c r="AN107" s="77"/>
      <c r="AO107" s="77"/>
      <c r="AP107" s="77"/>
      <c r="AQ107" s="77"/>
      <c r="AR107" s="77"/>
      <c r="AS107" s="77"/>
      <c r="AT107" s="77"/>
      <c r="AU107" s="77"/>
      <c r="AV107" s="77"/>
      <c r="AW107" s="77"/>
      <c r="AX107" s="77"/>
      <c r="AY107" s="77"/>
      <c r="AZ107" s="77"/>
      <c r="BA107" s="77"/>
      <c r="BB107" s="77"/>
      <c r="BC107" s="77"/>
    </row>
    <row r="108" spans="1:62" s="78" customFormat="1" ht="22.5" customHeight="1" thickBot="1">
      <c r="A108" s="490" t="s">
        <v>2057</v>
      </c>
      <c r="B108" s="554">
        <v>0.35</v>
      </c>
      <c r="C108" s="555">
        <f>B108+D108+E108+F108+G108+H108+I108+J108+K108+N108+L108+M108+O108</f>
        <v>0.35</v>
      </c>
      <c r="D108" s="525"/>
      <c r="E108" s="525"/>
      <c r="F108" s="525"/>
      <c r="G108" s="525"/>
      <c r="H108" s="525"/>
      <c r="I108" s="525"/>
      <c r="J108" s="525"/>
      <c r="K108" s="525"/>
      <c r="L108" s="525"/>
      <c r="M108" s="525"/>
      <c r="N108" s="525"/>
      <c r="O108" s="525"/>
      <c r="P108" s="490" t="s">
        <v>2059</v>
      </c>
      <c r="Q108" s="490" t="s">
        <v>2054</v>
      </c>
      <c r="R108" s="725" t="s">
        <v>1283</v>
      </c>
      <c r="S108" s="490">
        <v>273</v>
      </c>
      <c r="T108" s="553" t="s">
        <v>2058</v>
      </c>
      <c r="U108" s="520">
        <v>18.03</v>
      </c>
      <c r="V108" s="410" t="s">
        <v>2045</v>
      </c>
      <c r="W108" s="522">
        <f>BN108/1000000</f>
        <v>0</v>
      </c>
      <c r="X108" s="412" t="s">
        <v>2051</v>
      </c>
      <c r="Y108" s="524" t="e">
        <f>W108-(#REF!+Y109)*1.1</f>
        <v>#REF!</v>
      </c>
      <c r="Z108" s="299" t="s">
        <v>2043</v>
      </c>
      <c r="AA108" s="79" t="s">
        <v>2044</v>
      </c>
      <c r="AB108" s="260"/>
      <c r="AC108" s="80" t="s">
        <v>2045</v>
      </c>
      <c r="AD108" s="81">
        <v>130000000</v>
      </c>
      <c r="AE108" s="82"/>
      <c r="AF108" s="83">
        <f>SUM(AG108:BC108)</f>
        <v>0</v>
      </c>
      <c r="AG108" s="91"/>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row>
    <row r="109" spans="1:62" s="78" customFormat="1" ht="22.5" customHeight="1" thickBot="1">
      <c r="A109" s="495"/>
      <c r="B109" s="558"/>
      <c r="C109" s="559"/>
      <c r="D109" s="780"/>
      <c r="E109" s="780"/>
      <c r="F109" s="780"/>
      <c r="G109" s="780"/>
      <c r="H109" s="780"/>
      <c r="I109" s="780"/>
      <c r="J109" s="780"/>
      <c r="K109" s="780"/>
      <c r="L109" s="780"/>
      <c r="M109" s="780"/>
      <c r="N109" s="780"/>
      <c r="O109" s="780"/>
      <c r="P109" s="502"/>
      <c r="Q109" s="495"/>
      <c r="R109" s="936"/>
      <c r="S109" s="502"/>
      <c r="T109" s="557"/>
      <c r="U109" s="593"/>
      <c r="V109" s="578" t="s">
        <v>2047</v>
      </c>
      <c r="W109" s="579"/>
      <c r="X109" s="532" t="s">
        <v>2046</v>
      </c>
      <c r="Y109" s="529">
        <f t="shared" ref="Y109" si="6">BP109/1000000</f>
        <v>0</v>
      </c>
      <c r="Z109" s="89"/>
      <c r="AA109" s="73"/>
      <c r="AB109" s="261"/>
      <c r="AC109" s="80"/>
      <c r="AD109" s="81"/>
      <c r="AE109" s="82" t="s">
        <v>2048</v>
      </c>
      <c r="AF109" s="83"/>
      <c r="AG109" s="77"/>
      <c r="AH109" s="77"/>
      <c r="AI109" s="77"/>
      <c r="AJ109" s="77"/>
      <c r="AK109" s="77"/>
      <c r="AL109" s="77"/>
      <c r="AM109" s="77"/>
      <c r="AN109" s="77"/>
      <c r="AO109" s="77"/>
      <c r="AP109" s="77"/>
      <c r="AQ109" s="77"/>
      <c r="AR109" s="77"/>
      <c r="AS109" s="77"/>
      <c r="AT109" s="77"/>
      <c r="AU109" s="77"/>
      <c r="AV109" s="77"/>
      <c r="AW109" s="77"/>
      <c r="AX109" s="77"/>
      <c r="AY109" s="77"/>
      <c r="AZ109" s="77"/>
      <c r="BA109" s="77"/>
      <c r="BB109" s="77"/>
      <c r="BC109" s="77"/>
    </row>
    <row r="110" spans="1:62" s="78" customFormat="1" ht="22.5" customHeight="1" thickBot="1">
      <c r="A110" s="490" t="s">
        <v>2060</v>
      </c>
      <c r="B110" s="554">
        <v>0</v>
      </c>
      <c r="C110" s="555">
        <f>B110+D110+E110+F110+G110+H110+I110+J110+K110+N110+L110+M110+O110</f>
        <v>0</v>
      </c>
      <c r="D110" s="525"/>
      <c r="E110" s="525"/>
      <c r="F110" s="525"/>
      <c r="G110" s="525"/>
      <c r="H110" s="525"/>
      <c r="I110" s="525"/>
      <c r="J110" s="525"/>
      <c r="K110" s="525"/>
      <c r="L110" s="525"/>
      <c r="M110" s="525"/>
      <c r="N110" s="525"/>
      <c r="O110" s="525"/>
      <c r="P110" s="490" t="s">
        <v>2059</v>
      </c>
      <c r="Q110" s="490" t="s">
        <v>2042</v>
      </c>
      <c r="R110" s="533" t="s">
        <v>1283</v>
      </c>
      <c r="S110" s="495">
        <v>309</v>
      </c>
      <c r="T110" s="553" t="s">
        <v>2061</v>
      </c>
      <c r="U110" s="520">
        <v>19.03</v>
      </c>
      <c r="V110" s="410" t="s">
        <v>2045</v>
      </c>
      <c r="W110" s="522">
        <f>BN110/1000000</f>
        <v>0</v>
      </c>
      <c r="X110" s="412" t="s">
        <v>2051</v>
      </c>
      <c r="Y110" s="524" t="e">
        <f>W110-(#REF!+Y111)*1.1</f>
        <v>#REF!</v>
      </c>
      <c r="Z110" s="299" t="s">
        <v>2043</v>
      </c>
      <c r="AA110" s="79" t="s">
        <v>2044</v>
      </c>
      <c r="AB110" s="260"/>
      <c r="AC110" s="80" t="s">
        <v>2045</v>
      </c>
      <c r="AD110" s="81">
        <v>43690000</v>
      </c>
      <c r="AE110" s="82"/>
      <c r="AF110" s="83">
        <f>SUM(AG110:BC110)</f>
        <v>0</v>
      </c>
      <c r="AG110" s="91"/>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row>
    <row r="111" spans="1:62" s="78" customFormat="1" ht="22.5" customHeight="1" thickBot="1">
      <c r="A111" s="495"/>
      <c r="B111" s="558"/>
      <c r="C111" s="559"/>
      <c r="D111" s="780"/>
      <c r="E111" s="780"/>
      <c r="F111" s="780"/>
      <c r="G111" s="780"/>
      <c r="H111" s="780"/>
      <c r="I111" s="780"/>
      <c r="J111" s="780"/>
      <c r="K111" s="780"/>
      <c r="L111" s="780"/>
      <c r="M111" s="780"/>
      <c r="N111" s="780"/>
      <c r="O111" s="780"/>
      <c r="P111" s="502"/>
      <c r="Q111" s="495"/>
      <c r="R111" s="533"/>
      <c r="S111" s="495"/>
      <c r="T111" s="557"/>
      <c r="U111" s="593"/>
      <c r="V111" s="578" t="s">
        <v>2047</v>
      </c>
      <c r="W111" s="579"/>
      <c r="X111" s="532" t="s">
        <v>2046</v>
      </c>
      <c r="Y111" s="529">
        <f t="shared" ref="Y111" si="7">BP111/1000000</f>
        <v>0</v>
      </c>
      <c r="Z111" s="89"/>
      <c r="AA111" s="73"/>
      <c r="AB111" s="261"/>
      <c r="AC111" s="80"/>
      <c r="AD111" s="81"/>
      <c r="AE111" s="82" t="s">
        <v>2048</v>
      </c>
      <c r="AF111" s="83"/>
      <c r="AG111" s="77"/>
      <c r="AH111" s="77"/>
      <c r="AI111" s="77"/>
      <c r="AJ111" s="77"/>
      <c r="AK111" s="77"/>
      <c r="AL111" s="77"/>
      <c r="AM111" s="77"/>
      <c r="AN111" s="77"/>
      <c r="AO111" s="77"/>
      <c r="AP111" s="77"/>
      <c r="AQ111" s="77"/>
      <c r="AR111" s="77"/>
      <c r="AS111" s="77"/>
      <c r="AT111" s="77"/>
      <c r="AU111" s="77"/>
      <c r="AV111" s="77"/>
      <c r="AW111" s="77"/>
      <c r="AX111" s="77"/>
      <c r="AY111" s="77"/>
      <c r="AZ111" s="77"/>
      <c r="BA111" s="77"/>
      <c r="BB111" s="77"/>
      <c r="BC111" s="77"/>
    </row>
    <row r="112" spans="1:62" s="78" customFormat="1" ht="22.5" customHeight="1" thickBot="1">
      <c r="A112" s="490" t="s">
        <v>2062</v>
      </c>
      <c r="B112" s="554">
        <v>0.65</v>
      </c>
      <c r="C112" s="555">
        <f>B112+D112+E112+F112+G112+H112+I112+J112+K112+N112+L112+M112+O112</f>
        <v>0.75000000000000011</v>
      </c>
      <c r="D112" s="525"/>
      <c r="E112" s="525">
        <v>0.01</v>
      </c>
      <c r="F112" s="525">
        <v>0.01</v>
      </c>
      <c r="G112" s="525">
        <v>0.01</v>
      </c>
      <c r="H112" s="525">
        <v>0.01</v>
      </c>
      <c r="I112" s="525">
        <v>0.01</v>
      </c>
      <c r="J112" s="525">
        <v>0.01</v>
      </c>
      <c r="K112" s="525">
        <v>0.01</v>
      </c>
      <c r="L112" s="525">
        <v>0.01</v>
      </c>
      <c r="M112" s="525">
        <v>0.01</v>
      </c>
      <c r="N112" s="525">
        <v>0.01</v>
      </c>
      <c r="O112" s="525"/>
      <c r="P112" s="490" t="s">
        <v>2064</v>
      </c>
      <c r="Q112" s="490" t="s">
        <v>2065</v>
      </c>
      <c r="R112" s="725" t="s">
        <v>1283</v>
      </c>
      <c r="S112" s="490">
        <v>189</v>
      </c>
      <c r="T112" s="553" t="s">
        <v>2063</v>
      </c>
      <c r="U112" s="520">
        <v>17.03</v>
      </c>
      <c r="V112" s="410" t="s">
        <v>2045</v>
      </c>
      <c r="W112" s="522">
        <f>BN112/1000000</f>
        <v>0</v>
      </c>
      <c r="X112" s="412" t="s">
        <v>2051</v>
      </c>
      <c r="Y112" s="524" t="e">
        <f>W112-(#REF!+Y113)*1.1</f>
        <v>#REF!</v>
      </c>
      <c r="Z112" s="299" t="s">
        <v>2043</v>
      </c>
      <c r="AA112" s="79" t="s">
        <v>2044</v>
      </c>
      <c r="AB112" s="260"/>
      <c r="AC112" s="80" t="s">
        <v>2045</v>
      </c>
      <c r="AD112" s="81">
        <v>18679000</v>
      </c>
      <c r="AE112" s="82"/>
      <c r="AF112" s="83">
        <f>SUM(AG112:BC112)</f>
        <v>0</v>
      </c>
      <c r="AG112" s="91"/>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row>
    <row r="113" spans="1:62" s="78" customFormat="1" ht="22.5" customHeight="1" thickBot="1">
      <c r="A113" s="495"/>
      <c r="B113" s="558"/>
      <c r="C113" s="559"/>
      <c r="D113" s="780"/>
      <c r="E113" s="780"/>
      <c r="F113" s="780"/>
      <c r="G113" s="780"/>
      <c r="H113" s="780"/>
      <c r="I113" s="780"/>
      <c r="J113" s="780"/>
      <c r="K113" s="780"/>
      <c r="L113" s="780"/>
      <c r="M113" s="780"/>
      <c r="N113" s="780"/>
      <c r="O113" s="780"/>
      <c r="P113" s="502"/>
      <c r="Q113" s="495"/>
      <c r="R113" s="936"/>
      <c r="S113" s="502"/>
      <c r="T113" s="557"/>
      <c r="U113" s="593"/>
      <c r="V113" s="578" t="s">
        <v>2047</v>
      </c>
      <c r="W113" s="579"/>
      <c r="X113" s="532" t="s">
        <v>2046</v>
      </c>
      <c r="Y113" s="529">
        <f t="shared" ref="Y113" si="8">BP113/1000000</f>
        <v>0</v>
      </c>
      <c r="Z113" s="89"/>
      <c r="AA113" s="73"/>
      <c r="AB113" s="261"/>
      <c r="AC113" s="80"/>
      <c r="AD113" s="81"/>
      <c r="AE113" s="82" t="s">
        <v>2048</v>
      </c>
      <c r="AF113" s="83"/>
      <c r="AG113" s="77"/>
      <c r="AH113" s="77"/>
      <c r="AI113" s="77"/>
      <c r="AJ113" s="77"/>
      <c r="AK113" s="77"/>
      <c r="AL113" s="77"/>
      <c r="AM113" s="77"/>
      <c r="AN113" s="77"/>
      <c r="AO113" s="77"/>
      <c r="AP113" s="77"/>
      <c r="AQ113" s="77"/>
      <c r="AR113" s="77"/>
      <c r="AS113" s="77"/>
      <c r="AT113" s="77"/>
      <c r="AU113" s="77"/>
      <c r="AV113" s="77"/>
      <c r="AW113" s="77"/>
      <c r="AX113" s="77"/>
      <c r="AY113" s="77"/>
      <c r="AZ113" s="77"/>
      <c r="BA113" s="77"/>
      <c r="BB113" s="77"/>
      <c r="BC113" s="77"/>
    </row>
    <row r="114" spans="1:62" s="78" customFormat="1" ht="22.5" customHeight="1" thickBot="1">
      <c r="A114" s="490" t="s">
        <v>2066</v>
      </c>
      <c r="B114" s="554">
        <v>0.93</v>
      </c>
      <c r="C114" s="555">
        <f>B114+D114+E114+F114+G114+H114+I114+J114+K114+N114+L114+M114+O114</f>
        <v>0.98000000000000009</v>
      </c>
      <c r="D114" s="525"/>
      <c r="E114" s="525">
        <v>0.01</v>
      </c>
      <c r="F114" s="525">
        <v>0.01</v>
      </c>
      <c r="G114" s="525">
        <v>0.01</v>
      </c>
      <c r="H114" s="525">
        <v>0.01</v>
      </c>
      <c r="I114" s="525">
        <v>0.01</v>
      </c>
      <c r="J114" s="525"/>
      <c r="K114" s="525"/>
      <c r="L114" s="525"/>
      <c r="M114" s="525"/>
      <c r="N114" s="525"/>
      <c r="O114" s="525"/>
      <c r="P114" s="490" t="s">
        <v>2068</v>
      </c>
      <c r="Q114" s="490" t="s">
        <v>2069</v>
      </c>
      <c r="R114" s="533" t="s">
        <v>2205</v>
      </c>
      <c r="S114" s="495">
        <v>190</v>
      </c>
      <c r="T114" s="553" t="s">
        <v>2067</v>
      </c>
      <c r="U114" s="520">
        <v>17.03</v>
      </c>
      <c r="V114" s="410" t="s">
        <v>2045</v>
      </c>
      <c r="W114" s="522">
        <f>BN114/1000000</f>
        <v>0</v>
      </c>
      <c r="X114" s="412" t="s">
        <v>2051</v>
      </c>
      <c r="Y114" s="524" t="e">
        <f>W114-(#REF!+Y115)*1.1</f>
        <v>#REF!</v>
      </c>
      <c r="Z114" s="299" t="s">
        <v>2043</v>
      </c>
      <c r="AA114" s="79" t="s">
        <v>2044</v>
      </c>
      <c r="AB114" s="260"/>
      <c r="AC114" s="80" t="s">
        <v>2045</v>
      </c>
      <c r="AD114" s="81">
        <v>11364000</v>
      </c>
      <c r="AE114" s="82"/>
      <c r="AF114" s="83">
        <f>SUM(AG114:BC114)</f>
        <v>0</v>
      </c>
      <c r="AG114" s="91"/>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row>
    <row r="115" spans="1:62" s="78" customFormat="1" ht="22.5" customHeight="1" thickBot="1">
      <c r="A115" s="495"/>
      <c r="B115" s="558"/>
      <c r="C115" s="559"/>
      <c r="D115" s="780"/>
      <c r="E115" s="780"/>
      <c r="F115" s="780"/>
      <c r="G115" s="780"/>
      <c r="H115" s="780"/>
      <c r="I115" s="780"/>
      <c r="J115" s="780"/>
      <c r="K115" s="780"/>
      <c r="L115" s="780"/>
      <c r="M115" s="780"/>
      <c r="N115" s="780"/>
      <c r="O115" s="780"/>
      <c r="P115" s="502"/>
      <c r="Q115" s="495"/>
      <c r="R115" s="533"/>
      <c r="S115" s="495"/>
      <c r="T115" s="557"/>
      <c r="U115" s="593"/>
      <c r="V115" s="578" t="s">
        <v>2047</v>
      </c>
      <c r="W115" s="579"/>
      <c r="X115" s="532" t="s">
        <v>2046</v>
      </c>
      <c r="Y115" s="529">
        <f t="shared" ref="Y115" si="9">BP115/1000000</f>
        <v>0</v>
      </c>
      <c r="Z115" s="89"/>
      <c r="AA115" s="73"/>
      <c r="AB115" s="261"/>
      <c r="AC115" s="80"/>
      <c r="AD115" s="81"/>
      <c r="AE115" s="82" t="s">
        <v>2048</v>
      </c>
      <c r="AF115" s="83"/>
      <c r="AG115" s="77"/>
      <c r="AH115" s="77"/>
      <c r="AI115" s="77"/>
      <c r="AJ115" s="77"/>
      <c r="AK115" s="77"/>
      <c r="AL115" s="77"/>
      <c r="AM115" s="77"/>
      <c r="AN115" s="77"/>
      <c r="AO115" s="77"/>
      <c r="AP115" s="77"/>
      <c r="AQ115" s="77"/>
      <c r="AR115" s="77"/>
      <c r="AS115" s="77"/>
      <c r="AT115" s="77"/>
      <c r="AU115" s="77"/>
      <c r="AV115" s="77"/>
      <c r="AW115" s="77"/>
      <c r="AX115" s="77"/>
      <c r="AY115" s="77"/>
      <c r="AZ115" s="77"/>
      <c r="BA115" s="77"/>
      <c r="BB115" s="77"/>
      <c r="BC115" s="77"/>
    </row>
    <row r="116" spans="1:62" s="78" customFormat="1" ht="22.5" customHeight="1" thickBot="1">
      <c r="A116" s="490" t="s">
        <v>2074</v>
      </c>
      <c r="B116" s="554">
        <v>0</v>
      </c>
      <c r="C116" s="555">
        <f>B116+D116+E116+F116+G116+H116+I116+J116+K116+N116+L116+M116+O116</f>
        <v>0.09</v>
      </c>
      <c r="D116" s="525">
        <v>0.03</v>
      </c>
      <c r="E116" s="525">
        <v>0.03</v>
      </c>
      <c r="F116" s="525">
        <v>0.03</v>
      </c>
      <c r="G116" s="525"/>
      <c r="H116" s="525"/>
      <c r="I116" s="525"/>
      <c r="J116" s="525"/>
      <c r="K116" s="525"/>
      <c r="L116" s="525"/>
      <c r="M116" s="525"/>
      <c r="N116" s="525"/>
      <c r="O116" s="525"/>
      <c r="P116" s="490" t="s">
        <v>2059</v>
      </c>
      <c r="Q116" s="490" t="s">
        <v>2042</v>
      </c>
      <c r="R116" s="725" t="s">
        <v>1283</v>
      </c>
      <c r="S116" s="490">
        <v>339</v>
      </c>
      <c r="T116" s="553" t="s">
        <v>2075</v>
      </c>
      <c r="U116" s="520">
        <v>21.08</v>
      </c>
      <c r="V116" s="410" t="s">
        <v>2045</v>
      </c>
      <c r="W116" s="522">
        <f>BN116/1000000</f>
        <v>0</v>
      </c>
      <c r="X116" s="412" t="s">
        <v>2051</v>
      </c>
      <c r="Y116" s="524" t="e">
        <f>W116-(#REF!+Y117)*1.1</f>
        <v>#REF!</v>
      </c>
      <c r="Z116" s="299" t="s">
        <v>2043</v>
      </c>
      <c r="AA116" s="79" t="s">
        <v>2044</v>
      </c>
      <c r="AB116" s="260"/>
      <c r="AC116" s="80" t="s">
        <v>2045</v>
      </c>
      <c r="AD116" s="81">
        <v>106500000</v>
      </c>
      <c r="AE116" s="82"/>
      <c r="AF116" s="83">
        <f>SUM(AG116:BC116)</f>
        <v>0</v>
      </c>
      <c r="AG116" s="91"/>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row>
    <row r="117" spans="1:62" s="78" customFormat="1" ht="22.5" customHeight="1" thickBot="1">
      <c r="A117" s="495"/>
      <c r="B117" s="558"/>
      <c r="C117" s="559"/>
      <c r="D117" s="780"/>
      <c r="E117" s="780"/>
      <c r="F117" s="780"/>
      <c r="G117" s="780"/>
      <c r="H117" s="780"/>
      <c r="I117" s="780"/>
      <c r="J117" s="780"/>
      <c r="K117" s="780"/>
      <c r="L117" s="780"/>
      <c r="M117" s="780"/>
      <c r="N117" s="780"/>
      <c r="O117" s="780"/>
      <c r="P117" s="502"/>
      <c r="Q117" s="495"/>
      <c r="R117" s="936"/>
      <c r="S117" s="502"/>
      <c r="T117" s="557"/>
      <c r="U117" s="593"/>
      <c r="V117" s="578" t="s">
        <v>2047</v>
      </c>
      <c r="W117" s="579"/>
      <c r="X117" s="532" t="s">
        <v>2046</v>
      </c>
      <c r="Y117" s="529">
        <f t="shared" ref="Y117" si="10">BP117/1000000</f>
        <v>0</v>
      </c>
      <c r="Z117" s="89"/>
      <c r="AA117" s="73"/>
      <c r="AB117" s="261"/>
      <c r="AC117" s="80"/>
      <c r="AD117" s="81"/>
      <c r="AE117" s="82" t="s">
        <v>2048</v>
      </c>
      <c r="AF117" s="83"/>
      <c r="AG117" s="77"/>
      <c r="AH117" s="77"/>
      <c r="AI117" s="77"/>
      <c r="AJ117" s="77"/>
      <c r="AK117" s="77"/>
      <c r="AL117" s="77"/>
      <c r="AM117" s="77"/>
      <c r="AN117" s="77"/>
      <c r="AO117" s="77"/>
      <c r="AP117" s="77"/>
      <c r="AQ117" s="77"/>
      <c r="AR117" s="77"/>
      <c r="AS117" s="77"/>
      <c r="AT117" s="77"/>
      <c r="AU117" s="77"/>
      <c r="AV117" s="77"/>
      <c r="AW117" s="77"/>
      <c r="AX117" s="77"/>
      <c r="AY117" s="77"/>
      <c r="AZ117" s="77"/>
      <c r="BA117" s="77"/>
      <c r="BB117" s="77"/>
      <c r="BC117" s="77"/>
    </row>
    <row r="118" spans="1:62" s="78" customFormat="1" ht="22.5" customHeight="1" thickBot="1">
      <c r="A118" s="563" t="s">
        <v>2076</v>
      </c>
      <c r="B118" s="554">
        <v>0</v>
      </c>
      <c r="C118" s="555">
        <f>B118+D118+E118+F118+G118+H118+I118+J118+K118+N118+L118+M118+O118</f>
        <v>0.89999999999999991</v>
      </c>
      <c r="D118" s="525">
        <v>0.03</v>
      </c>
      <c r="E118" s="525">
        <v>0.03</v>
      </c>
      <c r="F118" s="525">
        <v>0.01</v>
      </c>
      <c r="G118" s="525">
        <v>0.05</v>
      </c>
      <c r="H118" s="525">
        <v>0.05</v>
      </c>
      <c r="I118" s="525">
        <v>0.05</v>
      </c>
      <c r="J118" s="525">
        <v>0.05</v>
      </c>
      <c r="K118" s="525">
        <v>0.1</v>
      </c>
      <c r="L118" s="525">
        <v>0.2</v>
      </c>
      <c r="M118" s="525">
        <v>0.2</v>
      </c>
      <c r="N118" s="525">
        <v>0.13</v>
      </c>
      <c r="O118" s="525"/>
      <c r="P118" s="490" t="s">
        <v>2078</v>
      </c>
      <c r="Q118" s="490" t="s">
        <v>2073</v>
      </c>
      <c r="R118" s="533" t="s">
        <v>1283</v>
      </c>
      <c r="S118" s="726">
        <v>338</v>
      </c>
      <c r="T118" s="553" t="s">
        <v>2077</v>
      </c>
      <c r="U118" s="520">
        <v>21.12</v>
      </c>
      <c r="V118" s="410" t="s">
        <v>2045</v>
      </c>
      <c r="W118" s="522">
        <f>BN118/1000000</f>
        <v>0</v>
      </c>
      <c r="X118" s="412" t="s">
        <v>2051</v>
      </c>
      <c r="Y118" s="524" t="e">
        <f>W118-(#REF!+Y119)*1.1</f>
        <v>#REF!</v>
      </c>
      <c r="Z118" s="299" t="s">
        <v>2043</v>
      </c>
      <c r="AA118" s="79" t="s">
        <v>2044</v>
      </c>
      <c r="AB118" s="260"/>
      <c r="AC118" s="80" t="s">
        <v>2045</v>
      </c>
      <c r="AD118" s="81">
        <v>40656353</v>
      </c>
      <c r="AE118" s="82"/>
      <c r="AF118" s="83">
        <f>SUM(AG118:BC118)</f>
        <v>0</v>
      </c>
      <c r="AG118" s="91"/>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row>
    <row r="119" spans="1:62" s="78" customFormat="1" ht="22.5" customHeight="1" thickBot="1">
      <c r="A119" s="564"/>
      <c r="B119" s="558"/>
      <c r="C119" s="559"/>
      <c r="D119" s="780"/>
      <c r="E119" s="780"/>
      <c r="F119" s="780"/>
      <c r="G119" s="780"/>
      <c r="H119" s="780"/>
      <c r="I119" s="780"/>
      <c r="J119" s="780"/>
      <c r="K119" s="780"/>
      <c r="L119" s="780"/>
      <c r="M119" s="780"/>
      <c r="N119" s="780"/>
      <c r="O119" s="780"/>
      <c r="P119" s="502"/>
      <c r="Q119" s="495"/>
      <c r="R119" s="533"/>
      <c r="S119" s="726"/>
      <c r="T119" s="557"/>
      <c r="U119" s="593"/>
      <c r="V119" s="578" t="s">
        <v>2047</v>
      </c>
      <c r="W119" s="579"/>
      <c r="X119" s="532" t="s">
        <v>2046</v>
      </c>
      <c r="Y119" s="529">
        <f t="shared" ref="Y119" si="11">BP119/1000000</f>
        <v>0</v>
      </c>
      <c r="Z119" s="89"/>
      <c r="AA119" s="73"/>
      <c r="AB119" s="261"/>
      <c r="AC119" s="80"/>
      <c r="AD119" s="81"/>
      <c r="AE119" s="82" t="s">
        <v>2048</v>
      </c>
      <c r="AF119" s="83"/>
      <c r="AG119" s="77"/>
      <c r="AH119" s="77"/>
      <c r="AI119" s="77"/>
      <c r="AJ119" s="77"/>
      <c r="AK119" s="77"/>
      <c r="AL119" s="77"/>
      <c r="AM119" s="77"/>
      <c r="AN119" s="77"/>
      <c r="AO119" s="77"/>
      <c r="AP119" s="77"/>
      <c r="AQ119" s="77"/>
      <c r="AR119" s="77"/>
      <c r="AS119" s="77"/>
      <c r="AT119" s="77"/>
      <c r="AU119" s="77"/>
      <c r="AV119" s="77"/>
      <c r="AW119" s="77"/>
      <c r="AX119" s="77"/>
      <c r="AY119" s="77"/>
      <c r="AZ119" s="77"/>
      <c r="BA119" s="77"/>
      <c r="BB119" s="77"/>
      <c r="BC119" s="77"/>
    </row>
    <row r="120" spans="1:62" s="78" customFormat="1" ht="22.5" customHeight="1" thickBot="1">
      <c r="A120" s="490" t="s">
        <v>2351</v>
      </c>
      <c r="B120" s="554">
        <v>0.9</v>
      </c>
      <c r="C120" s="555">
        <f>B120+D120+E120+F120+G120+H120+I120+J120+K120+L120+M120+N120+O120</f>
        <v>0.91</v>
      </c>
      <c r="D120" s="525"/>
      <c r="E120" s="525"/>
      <c r="F120" s="525"/>
      <c r="G120" s="525"/>
      <c r="H120" s="525"/>
      <c r="I120" s="16"/>
      <c r="J120" s="811"/>
      <c r="K120" s="525"/>
      <c r="L120" s="525"/>
      <c r="M120" s="525">
        <v>0.01</v>
      </c>
      <c r="N120" s="525"/>
      <c r="O120" s="525"/>
      <c r="P120" s="610"/>
      <c r="Q120" s="490" t="s">
        <v>2356</v>
      </c>
      <c r="R120" s="725" t="s">
        <v>38</v>
      </c>
      <c r="S120" s="490">
        <v>156</v>
      </c>
      <c r="T120" s="553" t="s">
        <v>2352</v>
      </c>
      <c r="U120" s="556" t="s">
        <v>2353</v>
      </c>
      <c r="V120" s="521" t="s">
        <v>2354</v>
      </c>
      <c r="W120" s="522">
        <f>BN120/1000000</f>
        <v>0</v>
      </c>
      <c r="X120" s="523" t="s">
        <v>2355</v>
      </c>
      <c r="Y120" s="524" t="e">
        <f>W120-#REF!+Y121</f>
        <v>#REF!</v>
      </c>
      <c r="Z120" s="299" t="s">
        <v>2357</v>
      </c>
      <c r="AA120" s="79" t="s">
        <v>2358</v>
      </c>
      <c r="AB120" s="260" t="s">
        <v>2359</v>
      </c>
      <c r="AC120" s="80" t="s">
        <v>2354</v>
      </c>
      <c r="AD120" s="81">
        <v>649000000</v>
      </c>
      <c r="AE120" s="82"/>
      <c r="AF120" s="83">
        <f>SUM(AG120:BC120)</f>
        <v>0</v>
      </c>
      <c r="AG120" s="91"/>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row>
    <row r="121" spans="1:62" s="78" customFormat="1" ht="22.5" customHeight="1" thickBot="1">
      <c r="A121" s="495"/>
      <c r="B121" s="558"/>
      <c r="C121" s="559"/>
      <c r="D121" s="813" t="s">
        <v>2363</v>
      </c>
      <c r="E121" s="560"/>
      <c r="F121" s="560"/>
      <c r="G121" s="560"/>
      <c r="H121" s="560"/>
      <c r="I121" s="246"/>
      <c r="J121" s="821"/>
      <c r="K121" s="560"/>
      <c r="L121" s="560"/>
      <c r="M121" s="560" t="s">
        <v>2364</v>
      </c>
      <c r="N121" s="560" t="s">
        <v>2363</v>
      </c>
      <c r="O121" s="560"/>
      <c r="P121" s="611"/>
      <c r="Q121" s="495"/>
      <c r="R121" s="533"/>
      <c r="S121" s="726"/>
      <c r="T121" s="557"/>
      <c r="U121" s="531" t="s">
        <v>2361</v>
      </c>
      <c r="V121" s="578" t="s">
        <v>2362</v>
      </c>
      <c r="W121" s="579"/>
      <c r="X121" s="532" t="s">
        <v>2360</v>
      </c>
      <c r="Y121" s="529">
        <f>BP121/1000000</f>
        <v>0</v>
      </c>
      <c r="Z121" s="85"/>
      <c r="AA121" s="69"/>
      <c r="AB121" s="261"/>
      <c r="AC121" s="80"/>
      <c r="AD121" s="81"/>
      <c r="AE121" s="82" t="s">
        <v>2365</v>
      </c>
      <c r="AF121" s="83"/>
      <c r="AG121" s="77"/>
      <c r="AH121" s="77"/>
      <c r="AI121" s="77"/>
      <c r="AJ121" s="77"/>
      <c r="AK121" s="77"/>
      <c r="AL121" s="77"/>
      <c r="AM121" s="77"/>
      <c r="AN121" s="77"/>
      <c r="AO121" s="77"/>
      <c r="AP121" s="77"/>
      <c r="AQ121" s="77"/>
      <c r="AR121" s="77"/>
      <c r="AS121" s="77"/>
      <c r="AT121" s="77"/>
      <c r="AU121" s="77"/>
      <c r="AV121" s="77"/>
      <c r="AW121" s="77"/>
      <c r="AX121" s="77"/>
      <c r="AY121" s="77"/>
      <c r="AZ121" s="77"/>
      <c r="BA121" s="77"/>
      <c r="BB121" s="77"/>
      <c r="BC121" s="77"/>
      <c r="BD121" s="68"/>
      <c r="BE121" s="68"/>
      <c r="BF121" s="68"/>
      <c r="BG121" s="68"/>
      <c r="BH121" s="68"/>
      <c r="BI121" s="68"/>
      <c r="BJ121" s="68"/>
    </row>
    <row r="122" spans="1:62" s="78" customFormat="1" ht="22.5" customHeight="1" thickBot="1">
      <c r="A122" s="490" t="s">
        <v>2385</v>
      </c>
      <c r="B122" s="554">
        <v>0.25</v>
      </c>
      <c r="C122" s="555">
        <f>B122+D122+E122+F122+G122+H122+I122+J122+K122+L122+M122+N122+O122</f>
        <v>0.25</v>
      </c>
      <c r="D122" s="525"/>
      <c r="E122" s="525"/>
      <c r="F122" s="525"/>
      <c r="G122" s="525"/>
      <c r="H122" s="525"/>
      <c r="I122" s="525"/>
      <c r="J122" s="525"/>
      <c r="K122" s="525"/>
      <c r="L122" s="525"/>
      <c r="M122" s="525"/>
      <c r="N122" s="525"/>
      <c r="O122" s="525"/>
      <c r="P122" s="490"/>
      <c r="Q122" s="490" t="s">
        <v>2388</v>
      </c>
      <c r="R122" s="725" t="s">
        <v>2496</v>
      </c>
      <c r="S122" s="490">
        <v>270</v>
      </c>
      <c r="T122" s="553" t="s">
        <v>2386</v>
      </c>
      <c r="U122" s="520" t="s">
        <v>2387</v>
      </c>
      <c r="V122" s="521" t="s">
        <v>2354</v>
      </c>
      <c r="W122" s="522">
        <f>BN122/1000000</f>
        <v>0</v>
      </c>
      <c r="X122" s="523" t="s">
        <v>2355</v>
      </c>
      <c r="Y122" s="524" t="e">
        <f>W122-#REF!+Y123</f>
        <v>#REF!</v>
      </c>
      <c r="Z122" s="299" t="s">
        <v>2357</v>
      </c>
      <c r="AA122" s="79" t="s">
        <v>2358</v>
      </c>
      <c r="AB122" s="260"/>
      <c r="AC122" s="80" t="s">
        <v>2354</v>
      </c>
      <c r="AD122" s="81">
        <v>430000000</v>
      </c>
      <c r="AE122" s="82"/>
      <c r="AF122" s="83">
        <f>SUM(AG122:BC122)</f>
        <v>0</v>
      </c>
      <c r="AG122" s="91"/>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row>
    <row r="123" spans="1:62" s="78" customFormat="1" ht="22.5" customHeight="1" thickBot="1">
      <c r="A123" s="495"/>
      <c r="B123" s="558"/>
      <c r="C123" s="559"/>
      <c r="D123" s="813" t="s">
        <v>2383</v>
      </c>
      <c r="E123" s="560"/>
      <c r="F123" s="560"/>
      <c r="G123" s="560"/>
      <c r="H123" s="560"/>
      <c r="I123" s="813"/>
      <c r="J123" s="560"/>
      <c r="K123" s="560"/>
      <c r="L123" s="560"/>
      <c r="M123" s="560"/>
      <c r="N123" s="560"/>
      <c r="O123" s="560"/>
      <c r="P123" s="495"/>
      <c r="Q123" s="495"/>
      <c r="R123" s="936"/>
      <c r="S123" s="502"/>
      <c r="T123" s="557"/>
      <c r="U123" s="531" t="s">
        <v>2375</v>
      </c>
      <c r="V123" s="578" t="s">
        <v>620</v>
      </c>
      <c r="W123" s="579"/>
      <c r="X123" s="532" t="s">
        <v>2374</v>
      </c>
      <c r="Y123" s="529">
        <f>BP123/1000000</f>
        <v>0</v>
      </c>
      <c r="Z123" s="85"/>
      <c r="AA123" s="69"/>
      <c r="AB123" s="261"/>
      <c r="AC123" s="80"/>
      <c r="AD123" s="81"/>
      <c r="AE123" s="82" t="s">
        <v>2384</v>
      </c>
      <c r="AF123" s="83"/>
      <c r="AG123" s="77"/>
      <c r="AH123" s="77"/>
      <c r="AI123" s="77"/>
      <c r="AJ123" s="77"/>
      <c r="AK123" s="77"/>
      <c r="AL123" s="77"/>
      <c r="AM123" s="77"/>
      <c r="AN123" s="77"/>
      <c r="AO123" s="77"/>
      <c r="AP123" s="77"/>
      <c r="AQ123" s="77"/>
      <c r="AR123" s="77"/>
      <c r="AS123" s="77"/>
      <c r="AT123" s="77"/>
      <c r="AU123" s="77"/>
      <c r="AV123" s="77"/>
      <c r="AW123" s="77"/>
      <c r="AX123" s="77"/>
      <c r="AY123" s="77"/>
      <c r="AZ123" s="77"/>
      <c r="BA123" s="77"/>
      <c r="BB123" s="77"/>
      <c r="BC123" s="77"/>
      <c r="BD123" s="68"/>
      <c r="BE123" s="68"/>
      <c r="BF123" s="68"/>
      <c r="BG123" s="68"/>
      <c r="BH123" s="68"/>
      <c r="BI123" s="68"/>
      <c r="BJ123" s="68"/>
    </row>
    <row r="124" spans="1:62" s="78" customFormat="1" ht="22.5" customHeight="1" thickBot="1">
      <c r="A124" s="490" t="s">
        <v>2396</v>
      </c>
      <c r="B124" s="554">
        <v>0.4</v>
      </c>
      <c r="C124" s="555">
        <f>B124+D124+E124+F124+G124+H124+I124+J124+K124+L124+M124+N124+O124</f>
        <v>0.4</v>
      </c>
      <c r="D124" s="525"/>
      <c r="E124" s="525"/>
      <c r="F124" s="525"/>
      <c r="G124" s="525"/>
      <c r="H124" s="525"/>
      <c r="I124" s="525"/>
      <c r="J124" s="525"/>
      <c r="K124" s="525"/>
      <c r="L124" s="525"/>
      <c r="M124" s="525"/>
      <c r="N124" s="525"/>
      <c r="O124" s="525"/>
      <c r="P124" s="490" t="s">
        <v>2400</v>
      </c>
      <c r="Q124" s="490" t="s">
        <v>870</v>
      </c>
      <c r="R124" s="533" t="s">
        <v>2496</v>
      </c>
      <c r="S124" s="726">
        <v>276</v>
      </c>
      <c r="T124" s="553" t="s">
        <v>2397</v>
      </c>
      <c r="U124" s="520" t="s">
        <v>2398</v>
      </c>
      <c r="V124" s="521" t="s">
        <v>2399</v>
      </c>
      <c r="W124" s="522">
        <f>BN124/1000000</f>
        <v>0</v>
      </c>
      <c r="X124" s="523" t="s">
        <v>868</v>
      </c>
      <c r="Y124" s="524" t="e">
        <f>W124-#REF!+Y125</f>
        <v>#REF!</v>
      </c>
      <c r="Z124" s="299" t="s">
        <v>871</v>
      </c>
      <c r="AA124" s="79" t="s">
        <v>872</v>
      </c>
      <c r="AB124" s="260"/>
      <c r="AC124" s="80" t="s">
        <v>2399</v>
      </c>
      <c r="AD124" s="81">
        <v>4000000</v>
      </c>
      <c r="AE124" s="82"/>
      <c r="AF124" s="83">
        <f>SUM(AG124:BC124)</f>
        <v>0</v>
      </c>
      <c r="AG124" s="91"/>
      <c r="AH124" s="92"/>
      <c r="AI124" s="92"/>
      <c r="AJ124" s="92"/>
      <c r="AK124" s="92"/>
      <c r="AL124" s="92"/>
      <c r="AM124" s="92"/>
      <c r="AN124" s="92"/>
      <c r="AO124" s="92"/>
      <c r="AP124" s="92"/>
      <c r="AQ124" s="92"/>
      <c r="AR124" s="92"/>
      <c r="AS124" s="92"/>
      <c r="AT124" s="92"/>
      <c r="AU124" s="92"/>
      <c r="AV124" s="92"/>
      <c r="AW124" s="92"/>
      <c r="AX124" s="92"/>
      <c r="AY124" s="92"/>
      <c r="AZ124" s="92"/>
      <c r="BA124" s="92"/>
      <c r="BB124" s="92"/>
      <c r="BC124" s="92"/>
    </row>
    <row r="125" spans="1:62" s="78" customFormat="1" ht="22.5" customHeight="1" thickBot="1">
      <c r="A125" s="495"/>
      <c r="B125" s="558"/>
      <c r="C125" s="559"/>
      <c r="D125" s="813"/>
      <c r="E125" s="818"/>
      <c r="F125" s="560"/>
      <c r="G125" s="560"/>
      <c r="H125" s="560"/>
      <c r="I125" s="560"/>
      <c r="J125" s="560"/>
      <c r="K125" s="560"/>
      <c r="L125" s="560"/>
      <c r="M125" s="560"/>
      <c r="N125" s="560"/>
      <c r="O125" s="560"/>
      <c r="P125" s="495"/>
      <c r="Q125" s="495"/>
      <c r="R125" s="533"/>
      <c r="S125" s="726"/>
      <c r="T125" s="557"/>
      <c r="U125" s="531" t="s">
        <v>854</v>
      </c>
      <c r="V125" s="578" t="s">
        <v>2402</v>
      </c>
      <c r="W125" s="579"/>
      <c r="X125" s="532" t="s">
        <v>2401</v>
      </c>
      <c r="Y125" s="529">
        <f>BP125/1000000</f>
        <v>0</v>
      </c>
      <c r="Z125" s="85"/>
      <c r="AA125" s="69"/>
      <c r="AB125" s="261"/>
      <c r="AC125" s="80"/>
      <c r="AD125" s="81"/>
      <c r="AE125" s="82" t="s">
        <v>863</v>
      </c>
      <c r="AF125" s="83"/>
      <c r="AG125" s="77"/>
      <c r="AH125" s="77"/>
      <c r="AI125" s="77"/>
      <c r="AJ125" s="77"/>
      <c r="AK125" s="77"/>
      <c r="AL125" s="77"/>
      <c r="AM125" s="77"/>
      <c r="AN125" s="77"/>
      <c r="AO125" s="77"/>
      <c r="AP125" s="77"/>
      <c r="AQ125" s="77"/>
      <c r="AR125" s="77"/>
      <c r="AS125" s="77"/>
      <c r="AT125" s="77"/>
      <c r="AU125" s="77"/>
      <c r="AV125" s="77"/>
      <c r="AW125" s="77"/>
      <c r="AX125" s="77"/>
      <c r="AY125" s="77"/>
      <c r="AZ125" s="77"/>
      <c r="BA125" s="77"/>
      <c r="BB125" s="77"/>
      <c r="BC125" s="77"/>
      <c r="BD125" s="68"/>
      <c r="BE125" s="68"/>
      <c r="BF125" s="68"/>
      <c r="BG125" s="68"/>
      <c r="BH125" s="68"/>
      <c r="BI125" s="68"/>
      <c r="BJ125" s="68"/>
    </row>
    <row r="126" spans="1:62" s="78" customFormat="1" ht="22.5" customHeight="1" thickBot="1">
      <c r="A126" s="490" t="s">
        <v>2403</v>
      </c>
      <c r="B126" s="554">
        <v>0.96</v>
      </c>
      <c r="C126" s="555">
        <f>B126+D126+E126+F126+G126+H126+I126+J126+K126+L126+M126+N126+O126</f>
        <v>0.98</v>
      </c>
      <c r="D126" s="525"/>
      <c r="E126" s="525"/>
      <c r="F126" s="525">
        <v>0.02</v>
      </c>
      <c r="G126" s="525"/>
      <c r="H126" s="525"/>
      <c r="I126" s="525"/>
      <c r="J126" s="525"/>
      <c r="K126" s="525"/>
      <c r="L126" s="525"/>
      <c r="M126" s="525"/>
      <c r="N126" s="525"/>
      <c r="O126" s="525"/>
      <c r="P126" s="490"/>
      <c r="Q126" s="490" t="s">
        <v>2406</v>
      </c>
      <c r="R126" s="725" t="s">
        <v>2496</v>
      </c>
      <c r="S126" s="490">
        <v>286</v>
      </c>
      <c r="T126" s="553" t="s">
        <v>2404</v>
      </c>
      <c r="U126" s="520" t="s">
        <v>2405</v>
      </c>
      <c r="V126" s="521" t="s">
        <v>2399</v>
      </c>
      <c r="W126" s="522">
        <f>BN126/1000000</f>
        <v>0</v>
      </c>
      <c r="X126" s="523" t="s">
        <v>868</v>
      </c>
      <c r="Y126" s="524" t="e">
        <f>W126-#REF!+Y127</f>
        <v>#REF!</v>
      </c>
      <c r="Z126" s="299" t="s">
        <v>871</v>
      </c>
      <c r="AA126" s="79" t="s">
        <v>872</v>
      </c>
      <c r="AB126" s="260"/>
      <c r="AC126" s="80" t="s">
        <v>2399</v>
      </c>
      <c r="AD126" s="81">
        <v>26000000</v>
      </c>
      <c r="AE126" s="82"/>
      <c r="AF126" s="83">
        <f>SUM(AG126:BC126)</f>
        <v>0</v>
      </c>
      <c r="AG126" s="91"/>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row>
    <row r="127" spans="1:62" s="78" customFormat="1" ht="22.5" customHeight="1" thickBot="1">
      <c r="A127" s="495"/>
      <c r="B127" s="558"/>
      <c r="C127" s="559"/>
      <c r="D127" s="560" t="s">
        <v>2407</v>
      </c>
      <c r="E127" s="780" t="s">
        <v>2408</v>
      </c>
      <c r="F127" s="560" t="s">
        <v>2409</v>
      </c>
      <c r="G127" s="560" t="s">
        <v>2407</v>
      </c>
      <c r="H127" s="560" t="s">
        <v>2407</v>
      </c>
      <c r="I127" s="560" t="s">
        <v>2410</v>
      </c>
      <c r="J127" s="780" t="s">
        <v>2407</v>
      </c>
      <c r="K127" s="780" t="s">
        <v>2407</v>
      </c>
      <c r="L127" s="560" t="s">
        <v>2411</v>
      </c>
      <c r="M127" s="560" t="s">
        <v>2412</v>
      </c>
      <c r="N127" s="560" t="s">
        <v>2412</v>
      </c>
      <c r="O127" s="560" t="s">
        <v>2413</v>
      </c>
      <c r="P127" s="495"/>
      <c r="Q127" s="495"/>
      <c r="R127" s="936"/>
      <c r="S127" s="502"/>
      <c r="T127" s="557"/>
      <c r="U127" s="531" t="s">
        <v>854</v>
      </c>
      <c r="V127" s="578" t="s">
        <v>2402</v>
      </c>
      <c r="W127" s="579"/>
      <c r="X127" s="532" t="s">
        <v>2401</v>
      </c>
      <c r="Y127" s="529">
        <f>BP127/1000000</f>
        <v>0</v>
      </c>
      <c r="Z127" s="85"/>
      <c r="AA127" s="69"/>
      <c r="AB127" s="261"/>
      <c r="AC127" s="80"/>
      <c r="AD127" s="81"/>
      <c r="AE127" s="82" t="s">
        <v>863</v>
      </c>
      <c r="AF127" s="83"/>
      <c r="AG127" s="77"/>
      <c r="AH127" s="77"/>
      <c r="AI127" s="77"/>
      <c r="AJ127" s="77"/>
      <c r="AK127" s="77"/>
      <c r="AL127" s="77"/>
      <c r="AM127" s="77"/>
      <c r="AN127" s="77"/>
      <c r="AO127" s="77"/>
      <c r="AP127" s="77"/>
      <c r="AQ127" s="77"/>
      <c r="AR127" s="77"/>
      <c r="AS127" s="77"/>
      <c r="AT127" s="77"/>
      <c r="AU127" s="77"/>
      <c r="AV127" s="77"/>
      <c r="AW127" s="77"/>
      <c r="AX127" s="77"/>
      <c r="AY127" s="77"/>
      <c r="AZ127" s="77"/>
      <c r="BA127" s="77"/>
      <c r="BB127" s="77"/>
      <c r="BC127" s="77"/>
      <c r="BD127" s="68"/>
      <c r="BE127" s="68"/>
      <c r="BF127" s="68"/>
      <c r="BG127" s="68"/>
      <c r="BH127" s="68"/>
      <c r="BI127" s="68"/>
      <c r="BJ127" s="68"/>
    </row>
    <row r="128" spans="1:62" s="78" customFormat="1" ht="22.5" customHeight="1" thickBot="1">
      <c r="A128" s="490" t="s">
        <v>2414</v>
      </c>
      <c r="B128" s="554">
        <v>0.71</v>
      </c>
      <c r="C128" s="555">
        <f>B128+D128+E128+F128+G128+H128+I128+J128+K128+L128+M128+N128+O128</f>
        <v>0.97000000000000008</v>
      </c>
      <c r="D128" s="525"/>
      <c r="E128" s="525"/>
      <c r="F128" s="525"/>
      <c r="G128" s="525">
        <v>0.09</v>
      </c>
      <c r="H128" s="525">
        <v>0.05</v>
      </c>
      <c r="I128" s="525">
        <v>0.02</v>
      </c>
      <c r="J128" s="525">
        <v>0.03</v>
      </c>
      <c r="K128" s="525">
        <v>0.02</v>
      </c>
      <c r="L128" s="525">
        <v>0.03</v>
      </c>
      <c r="M128" s="525">
        <v>0.02</v>
      </c>
      <c r="N128" s="525"/>
      <c r="O128" s="525"/>
      <c r="P128" s="490"/>
      <c r="Q128" s="490" t="s">
        <v>2417</v>
      </c>
      <c r="R128" s="533" t="s">
        <v>2496</v>
      </c>
      <c r="S128" s="726">
        <v>359</v>
      </c>
      <c r="T128" s="553" t="s">
        <v>2415</v>
      </c>
      <c r="U128" s="537" t="s">
        <v>2416</v>
      </c>
      <c r="V128" s="521" t="s">
        <v>2399</v>
      </c>
      <c r="W128" s="522">
        <f>BN128/1000000</f>
        <v>0</v>
      </c>
      <c r="X128" s="523" t="s">
        <v>868</v>
      </c>
      <c r="Y128" s="524" t="e">
        <f>W128-#REF!+Y129</f>
        <v>#REF!</v>
      </c>
      <c r="Z128" s="299" t="s">
        <v>871</v>
      </c>
      <c r="AA128" s="79" t="s">
        <v>872</v>
      </c>
      <c r="AB128" s="260"/>
      <c r="AC128" s="80" t="s">
        <v>2399</v>
      </c>
      <c r="AD128" s="81">
        <v>15000000</v>
      </c>
      <c r="AE128" s="82"/>
      <c r="AF128" s="83">
        <f>SUM(AG128:BC128)</f>
        <v>0</v>
      </c>
      <c r="AG128" s="91"/>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row>
    <row r="129" spans="1:62" s="78" customFormat="1" ht="22.5" customHeight="1" thickBot="1">
      <c r="A129" s="495"/>
      <c r="B129" s="558"/>
      <c r="C129" s="559"/>
      <c r="D129" s="560" t="s">
        <v>2418</v>
      </c>
      <c r="E129" s="560" t="s">
        <v>2407</v>
      </c>
      <c r="F129" s="560"/>
      <c r="G129" s="560" t="s">
        <v>2418</v>
      </c>
      <c r="H129" s="560" t="s">
        <v>2418</v>
      </c>
      <c r="I129" s="560" t="s">
        <v>2418</v>
      </c>
      <c r="J129" s="560" t="s">
        <v>2418</v>
      </c>
      <c r="K129" s="560" t="s">
        <v>2419</v>
      </c>
      <c r="L129" s="813" t="s">
        <v>2420</v>
      </c>
      <c r="M129" s="560" t="s">
        <v>2418</v>
      </c>
      <c r="N129" s="560" t="s">
        <v>2418</v>
      </c>
      <c r="O129" s="560" t="s">
        <v>2418</v>
      </c>
      <c r="P129" s="495"/>
      <c r="Q129" s="495"/>
      <c r="R129" s="533"/>
      <c r="S129" s="726"/>
      <c r="T129" s="557"/>
      <c r="U129" s="531" t="s">
        <v>854</v>
      </c>
      <c r="V129" s="578" t="s">
        <v>2402</v>
      </c>
      <c r="W129" s="579"/>
      <c r="X129" s="532" t="s">
        <v>2401</v>
      </c>
      <c r="Y129" s="529">
        <f>BP129/1000000</f>
        <v>0</v>
      </c>
      <c r="Z129" s="85"/>
      <c r="AA129" s="69"/>
      <c r="AB129" s="261"/>
      <c r="AC129" s="80"/>
      <c r="AD129" s="81"/>
      <c r="AE129" s="82" t="s">
        <v>863</v>
      </c>
      <c r="AF129" s="83"/>
      <c r="AG129" s="77"/>
      <c r="AH129" s="77"/>
      <c r="AI129" s="77"/>
      <c r="AJ129" s="77"/>
      <c r="AK129" s="77"/>
      <c r="AL129" s="77"/>
      <c r="AM129" s="77"/>
      <c r="AN129" s="77"/>
      <c r="AO129" s="77"/>
      <c r="AP129" s="77"/>
      <c r="AQ129" s="77"/>
      <c r="AR129" s="77"/>
      <c r="AS129" s="77"/>
      <c r="AT129" s="77"/>
      <c r="AU129" s="77"/>
      <c r="AV129" s="77"/>
      <c r="AW129" s="77"/>
      <c r="AX129" s="77"/>
      <c r="AY129" s="77"/>
      <c r="AZ129" s="77"/>
      <c r="BA129" s="77"/>
      <c r="BB129" s="77"/>
      <c r="BC129" s="77"/>
      <c r="BD129" s="68"/>
      <c r="BE129" s="68"/>
      <c r="BF129" s="68"/>
      <c r="BG129" s="68"/>
      <c r="BH129" s="68"/>
      <c r="BI129" s="68"/>
      <c r="BJ129" s="68"/>
    </row>
    <row r="130" spans="1:62" s="78" customFormat="1" ht="22.5" customHeight="1" thickBot="1">
      <c r="A130" s="490" t="s">
        <v>2421</v>
      </c>
      <c r="B130" s="554">
        <v>0.96</v>
      </c>
      <c r="C130" s="555">
        <f>B130+D130+E130+F130+G130+H130+I130+J130+K130+L130+M130+N130+O130</f>
        <v>0.98</v>
      </c>
      <c r="D130" s="525"/>
      <c r="E130" s="525"/>
      <c r="F130" s="525"/>
      <c r="G130" s="525"/>
      <c r="H130" s="525"/>
      <c r="I130" s="525">
        <v>0.02</v>
      </c>
      <c r="J130" s="525"/>
      <c r="K130" s="525"/>
      <c r="L130" s="525"/>
      <c r="M130" s="525"/>
      <c r="N130" s="525"/>
      <c r="O130" s="525"/>
      <c r="P130" s="490"/>
      <c r="Q130" s="490" t="s">
        <v>2424</v>
      </c>
      <c r="R130" s="725" t="s">
        <v>2496</v>
      </c>
      <c r="S130" s="490">
        <v>317</v>
      </c>
      <c r="T130" s="553" t="s">
        <v>2422</v>
      </c>
      <c r="U130" s="537" t="s">
        <v>2423</v>
      </c>
      <c r="V130" s="521" t="s">
        <v>2399</v>
      </c>
      <c r="W130" s="522">
        <f>BN130/1000000</f>
        <v>0</v>
      </c>
      <c r="X130" s="523" t="s">
        <v>868</v>
      </c>
      <c r="Y130" s="524" t="e">
        <f>W130-#REF!+Y131</f>
        <v>#REF!</v>
      </c>
      <c r="Z130" s="299" t="s">
        <v>871</v>
      </c>
      <c r="AA130" s="79" t="s">
        <v>872</v>
      </c>
      <c r="AB130" s="260"/>
      <c r="AC130" s="80" t="s">
        <v>2399</v>
      </c>
      <c r="AD130" s="81">
        <v>20000000</v>
      </c>
      <c r="AE130" s="82"/>
      <c r="AF130" s="83">
        <f>SUM(AG130:BC130)</f>
        <v>0</v>
      </c>
      <c r="AG130" s="91"/>
      <c r="AH130" s="92"/>
      <c r="AI130" s="92"/>
      <c r="AJ130" s="92"/>
      <c r="AK130" s="92"/>
      <c r="AL130" s="92"/>
      <c r="AM130" s="92"/>
      <c r="AN130" s="92"/>
      <c r="AO130" s="92"/>
      <c r="AP130" s="92"/>
      <c r="AQ130" s="92"/>
      <c r="AR130" s="92"/>
      <c r="AS130" s="92"/>
      <c r="AT130" s="92"/>
      <c r="AU130" s="92"/>
      <c r="AV130" s="92"/>
      <c r="AW130" s="92"/>
      <c r="AX130" s="92"/>
      <c r="AY130" s="92"/>
      <c r="AZ130" s="92"/>
      <c r="BA130" s="92"/>
      <c r="BB130" s="92"/>
      <c r="BC130" s="92"/>
    </row>
    <row r="131" spans="1:62" s="78" customFormat="1" ht="22.5" customHeight="1" thickBot="1">
      <c r="A131" s="495"/>
      <c r="B131" s="558"/>
      <c r="C131" s="559"/>
      <c r="D131" s="813" t="s">
        <v>2407</v>
      </c>
      <c r="E131" s="813" t="s">
        <v>2407</v>
      </c>
      <c r="F131" s="560"/>
      <c r="G131" s="560"/>
      <c r="H131" s="813" t="s">
        <v>2425</v>
      </c>
      <c r="I131" s="560" t="s">
        <v>2426</v>
      </c>
      <c r="J131" s="560" t="s">
        <v>2407</v>
      </c>
      <c r="K131" s="813" t="s">
        <v>2407</v>
      </c>
      <c r="L131" s="813" t="s">
        <v>2407</v>
      </c>
      <c r="M131" s="560" t="s">
        <v>2427</v>
      </c>
      <c r="N131" s="560" t="s">
        <v>2428</v>
      </c>
      <c r="O131" s="560" t="s">
        <v>2429</v>
      </c>
      <c r="P131" s="495"/>
      <c r="Q131" s="495"/>
      <c r="R131" s="936"/>
      <c r="S131" s="502"/>
      <c r="T131" s="557"/>
      <c r="U131" s="531" t="s">
        <v>854</v>
      </c>
      <c r="V131" s="578" t="s">
        <v>2402</v>
      </c>
      <c r="W131" s="579"/>
      <c r="X131" s="532" t="s">
        <v>2401</v>
      </c>
      <c r="Y131" s="529">
        <f>BP131/1000000</f>
        <v>0</v>
      </c>
      <c r="Z131" s="85"/>
      <c r="AA131" s="69"/>
      <c r="AB131" s="261"/>
      <c r="AC131" s="80"/>
      <c r="AD131" s="81"/>
      <c r="AE131" s="82" t="s">
        <v>863</v>
      </c>
      <c r="AF131" s="83"/>
      <c r="AG131" s="77"/>
      <c r="AH131" s="77"/>
      <c r="AI131" s="77"/>
      <c r="AJ131" s="77"/>
      <c r="AK131" s="77"/>
      <c r="AL131" s="77"/>
      <c r="AM131" s="77"/>
      <c r="AN131" s="77"/>
      <c r="AO131" s="77"/>
      <c r="AP131" s="77"/>
      <c r="AQ131" s="77"/>
      <c r="AR131" s="77"/>
      <c r="AS131" s="77"/>
      <c r="AT131" s="77"/>
      <c r="AU131" s="77"/>
      <c r="AV131" s="77"/>
      <c r="AW131" s="77"/>
      <c r="AX131" s="77"/>
      <c r="AY131" s="77"/>
      <c r="AZ131" s="77"/>
      <c r="BA131" s="77"/>
      <c r="BB131" s="77"/>
      <c r="BC131" s="77"/>
      <c r="BD131" s="68"/>
      <c r="BE131" s="68"/>
      <c r="BF131" s="68"/>
      <c r="BG131" s="68"/>
      <c r="BH131" s="68"/>
      <c r="BI131" s="68"/>
      <c r="BJ131" s="68"/>
    </row>
    <row r="132" spans="1:62" s="78" customFormat="1" ht="22.5" customHeight="1" thickBot="1">
      <c r="A132" s="490" t="s">
        <v>2430</v>
      </c>
      <c r="B132" s="554">
        <v>0</v>
      </c>
      <c r="C132" s="555">
        <f>B132+D132+E132+F132+G132+H132+I132+J132+K132+L132+M132+N132+O132</f>
        <v>0.3</v>
      </c>
      <c r="D132" s="525"/>
      <c r="E132" s="525"/>
      <c r="F132" s="525"/>
      <c r="G132" s="525"/>
      <c r="H132" s="525"/>
      <c r="I132" s="525"/>
      <c r="J132" s="525">
        <v>0.2</v>
      </c>
      <c r="K132" s="525">
        <v>0.05</v>
      </c>
      <c r="L132" s="525"/>
      <c r="M132" s="525">
        <v>0.05</v>
      </c>
      <c r="N132" s="525"/>
      <c r="O132" s="525"/>
      <c r="P132" s="490"/>
      <c r="Q132" s="490" t="s">
        <v>870</v>
      </c>
      <c r="R132" s="533" t="s">
        <v>2496</v>
      </c>
      <c r="S132" s="726">
        <v>327</v>
      </c>
      <c r="T132" s="700" t="s">
        <v>2431</v>
      </c>
      <c r="U132" s="292" t="s">
        <v>2432</v>
      </c>
      <c r="V132" s="521" t="s">
        <v>2399</v>
      </c>
      <c r="W132" s="522">
        <f>BN132/1000000</f>
        <v>0</v>
      </c>
      <c r="X132" s="523" t="s">
        <v>868</v>
      </c>
      <c r="Y132" s="524" t="e">
        <f>W132-#REF!+Y133</f>
        <v>#REF!</v>
      </c>
      <c r="Z132" s="299" t="s">
        <v>871</v>
      </c>
      <c r="AA132" s="79" t="s">
        <v>872</v>
      </c>
      <c r="AB132" s="797"/>
      <c r="AC132" s="80" t="s">
        <v>2399</v>
      </c>
      <c r="AD132" s="81">
        <v>12048969</v>
      </c>
      <c r="AE132" s="82"/>
      <c r="AF132" s="83">
        <f>SUM(AG132:BC132)</f>
        <v>0</v>
      </c>
      <c r="AG132" s="91"/>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row>
    <row r="133" spans="1:62" s="78" customFormat="1" ht="22.5" customHeight="1" thickBot="1">
      <c r="A133" s="495"/>
      <c r="B133" s="558"/>
      <c r="C133" s="559"/>
      <c r="D133" s="813" t="s">
        <v>2407</v>
      </c>
      <c r="E133" s="813" t="s">
        <v>2407</v>
      </c>
      <c r="F133" s="780"/>
      <c r="G133" s="780"/>
      <c r="H133" s="780"/>
      <c r="I133" s="780"/>
      <c r="J133" s="780" t="s">
        <v>2433</v>
      </c>
      <c r="K133" s="780" t="s">
        <v>2433</v>
      </c>
      <c r="L133" s="780" t="s">
        <v>2407</v>
      </c>
      <c r="M133" s="780" t="s">
        <v>2434</v>
      </c>
      <c r="N133" s="780" t="s">
        <v>2407</v>
      </c>
      <c r="O133" s="780" t="s">
        <v>2407</v>
      </c>
      <c r="P133" s="495"/>
      <c r="Q133" s="495"/>
      <c r="R133" s="533"/>
      <c r="S133" s="726"/>
      <c r="T133" s="784"/>
      <c r="U133" s="531" t="s">
        <v>854</v>
      </c>
      <c r="V133" s="578" t="s">
        <v>2402</v>
      </c>
      <c r="W133" s="579"/>
      <c r="X133" s="532" t="s">
        <v>2401</v>
      </c>
      <c r="Y133" s="529">
        <f>BP133/1000000</f>
        <v>0</v>
      </c>
      <c r="Z133" s="85"/>
      <c r="AA133" s="69"/>
      <c r="AB133" s="798"/>
      <c r="AC133" s="80"/>
      <c r="AD133" s="81"/>
      <c r="AE133" s="82" t="s">
        <v>863</v>
      </c>
      <c r="AF133" s="83"/>
      <c r="AG133" s="77"/>
      <c r="AH133" s="77"/>
      <c r="AI133" s="77"/>
      <c r="AJ133" s="77"/>
      <c r="AK133" s="77"/>
      <c r="AL133" s="77"/>
      <c r="AM133" s="77"/>
      <c r="AN133" s="77"/>
      <c r="AO133" s="77"/>
      <c r="AP133" s="77"/>
      <c r="AQ133" s="77"/>
      <c r="AR133" s="77"/>
      <c r="AS133" s="77"/>
      <c r="AT133" s="77"/>
      <c r="AU133" s="77"/>
      <c r="AV133" s="77"/>
      <c r="AW133" s="77"/>
      <c r="AX133" s="77"/>
      <c r="AY133" s="77"/>
      <c r="AZ133" s="77"/>
      <c r="BA133" s="77"/>
      <c r="BB133" s="77"/>
      <c r="BC133" s="77"/>
      <c r="BD133" s="68"/>
      <c r="BE133" s="68"/>
      <c r="BF133" s="68"/>
      <c r="BG133" s="68"/>
      <c r="BH133" s="68"/>
      <c r="BI133" s="68"/>
      <c r="BJ133" s="68"/>
    </row>
    <row r="134" spans="1:62" s="78" customFormat="1" ht="22.5" customHeight="1" thickBot="1">
      <c r="A134" s="490" t="s">
        <v>2435</v>
      </c>
      <c r="B134" s="554">
        <v>0</v>
      </c>
      <c r="C134" s="555">
        <f>B134+D134+E134+F134+G134+H134+I134+J134+K134+L134+M134+N134+O134</f>
        <v>0.34</v>
      </c>
      <c r="D134" s="525"/>
      <c r="E134" s="525">
        <v>0.02</v>
      </c>
      <c r="F134" s="525">
        <v>0.02</v>
      </c>
      <c r="G134" s="525">
        <v>0.06</v>
      </c>
      <c r="H134" s="525">
        <v>0.05</v>
      </c>
      <c r="I134" s="525">
        <v>0.05</v>
      </c>
      <c r="J134" s="525">
        <v>0.03</v>
      </c>
      <c r="K134" s="525">
        <v>0.02</v>
      </c>
      <c r="L134" s="525">
        <v>0.02</v>
      </c>
      <c r="M134" s="525">
        <v>0.02</v>
      </c>
      <c r="N134" s="525">
        <v>0.05</v>
      </c>
      <c r="O134" s="525"/>
      <c r="P134" s="490"/>
      <c r="Q134" s="490" t="s">
        <v>2406</v>
      </c>
      <c r="R134" s="725" t="s">
        <v>2496</v>
      </c>
      <c r="S134" s="490">
        <v>335</v>
      </c>
      <c r="T134" s="700" t="s">
        <v>2436</v>
      </c>
      <c r="U134" s="292" t="s">
        <v>2432</v>
      </c>
      <c r="V134" s="521" t="s">
        <v>2399</v>
      </c>
      <c r="W134" s="522">
        <f>BN134/1000000</f>
        <v>0</v>
      </c>
      <c r="X134" s="523" t="s">
        <v>868</v>
      </c>
      <c r="Y134" s="524" t="e">
        <f>W134-#REF!+Y135</f>
        <v>#REF!</v>
      </c>
      <c r="Z134" s="299" t="s">
        <v>871</v>
      </c>
      <c r="AA134" s="79" t="s">
        <v>872</v>
      </c>
      <c r="AB134" s="797"/>
      <c r="AC134" s="80" t="s">
        <v>2399</v>
      </c>
      <c r="AD134" s="81">
        <v>27412542</v>
      </c>
      <c r="AE134" s="82"/>
      <c r="AF134" s="83">
        <f>SUM(AG134:BC134)</f>
        <v>0</v>
      </c>
      <c r="AG134" s="91"/>
      <c r="AH134" s="92"/>
      <c r="AI134" s="92"/>
      <c r="AJ134" s="92"/>
      <c r="AK134" s="92"/>
      <c r="AL134" s="92"/>
      <c r="AM134" s="92"/>
      <c r="AN134" s="92"/>
      <c r="AO134" s="92"/>
      <c r="AP134" s="92"/>
      <c r="AQ134" s="92"/>
      <c r="AR134" s="92"/>
      <c r="AS134" s="92"/>
      <c r="AT134" s="92"/>
      <c r="AU134" s="92"/>
      <c r="AV134" s="92"/>
      <c r="AW134" s="92"/>
      <c r="AX134" s="92"/>
      <c r="AY134" s="92"/>
      <c r="AZ134" s="92"/>
      <c r="BA134" s="92"/>
      <c r="BB134" s="92"/>
      <c r="BC134" s="92"/>
    </row>
    <row r="135" spans="1:62" s="78" customFormat="1" ht="22.5" customHeight="1" thickBot="1">
      <c r="A135" s="495"/>
      <c r="B135" s="558"/>
      <c r="C135" s="559"/>
      <c r="D135" s="813" t="s">
        <v>2407</v>
      </c>
      <c r="E135" s="818" t="s">
        <v>2437</v>
      </c>
      <c r="F135" s="818" t="s">
        <v>2438</v>
      </c>
      <c r="G135" s="780" t="s">
        <v>2439</v>
      </c>
      <c r="H135" s="818" t="s">
        <v>2440</v>
      </c>
      <c r="I135" s="818" t="s">
        <v>2440</v>
      </c>
      <c r="J135" s="780"/>
      <c r="K135" s="780"/>
      <c r="L135" s="780"/>
      <c r="M135" s="780" t="s">
        <v>2441</v>
      </c>
      <c r="N135" s="780" t="s">
        <v>2441</v>
      </c>
      <c r="O135" s="780" t="s">
        <v>2407</v>
      </c>
      <c r="P135" s="495"/>
      <c r="Q135" s="495"/>
      <c r="R135" s="936"/>
      <c r="S135" s="502"/>
      <c r="T135" s="784"/>
      <c r="U135" s="531" t="s">
        <v>854</v>
      </c>
      <c r="V135" s="578" t="s">
        <v>2402</v>
      </c>
      <c r="W135" s="579"/>
      <c r="X135" s="532" t="s">
        <v>2401</v>
      </c>
      <c r="Y135" s="529">
        <f>BP135/1000000</f>
        <v>0</v>
      </c>
      <c r="Z135" s="85"/>
      <c r="AA135" s="69"/>
      <c r="AB135" s="798"/>
      <c r="AC135" s="80"/>
      <c r="AD135" s="81"/>
      <c r="AE135" s="82" t="s">
        <v>863</v>
      </c>
      <c r="AF135" s="83"/>
      <c r="AG135" s="77"/>
      <c r="AH135" s="77"/>
      <c r="AI135" s="77"/>
      <c r="AJ135" s="77"/>
      <c r="AK135" s="77"/>
      <c r="AL135" s="77"/>
      <c r="AM135" s="77"/>
      <c r="AN135" s="77"/>
      <c r="AO135" s="77"/>
      <c r="AP135" s="77"/>
      <c r="AQ135" s="77"/>
      <c r="AR135" s="77"/>
      <c r="AS135" s="77"/>
      <c r="AT135" s="77"/>
      <c r="AU135" s="77"/>
      <c r="AV135" s="77"/>
      <c r="AW135" s="77"/>
      <c r="AX135" s="77"/>
      <c r="AY135" s="77"/>
      <c r="AZ135" s="77"/>
      <c r="BA135" s="77"/>
      <c r="BB135" s="77"/>
      <c r="BC135" s="77"/>
      <c r="BD135" s="68"/>
      <c r="BE135" s="68"/>
      <c r="BF135" s="68"/>
      <c r="BG135" s="68"/>
      <c r="BH135" s="68"/>
      <c r="BI135" s="68"/>
      <c r="BJ135" s="68"/>
    </row>
    <row r="136" spans="1:62" s="78" customFormat="1" ht="22.5" customHeight="1" thickBot="1">
      <c r="A136" s="490" t="s">
        <v>2446</v>
      </c>
      <c r="B136" s="554">
        <v>0</v>
      </c>
      <c r="C136" s="555">
        <f>B136+D136+E136+F136+G136+H136+I136+J136+K136+L136+M136+N136+O136</f>
        <v>0.67000000000000015</v>
      </c>
      <c r="D136" s="525"/>
      <c r="E136" s="525">
        <v>0.08</v>
      </c>
      <c r="F136" s="525">
        <v>0.12</v>
      </c>
      <c r="G136" s="525">
        <v>0.1</v>
      </c>
      <c r="H136" s="525">
        <v>0.05</v>
      </c>
      <c r="I136" s="525">
        <v>0.05</v>
      </c>
      <c r="J136" s="525">
        <v>0.05</v>
      </c>
      <c r="K136" s="525">
        <v>0.05</v>
      </c>
      <c r="L136" s="525">
        <v>0.05</v>
      </c>
      <c r="M136" s="525">
        <v>0.05</v>
      </c>
      <c r="N136" s="525">
        <v>7.0000000000000007E-2</v>
      </c>
      <c r="O136" s="525"/>
      <c r="P136" s="490"/>
      <c r="Q136" s="490" t="s">
        <v>2406</v>
      </c>
      <c r="R136" s="725" t="s">
        <v>2496</v>
      </c>
      <c r="S136" s="490">
        <v>349</v>
      </c>
      <c r="T136" s="700" t="s">
        <v>2447</v>
      </c>
      <c r="U136" s="292" t="s">
        <v>2448</v>
      </c>
      <c r="V136" s="521" t="s">
        <v>2399</v>
      </c>
      <c r="W136" s="522">
        <f>BN136/1000000</f>
        <v>0</v>
      </c>
      <c r="X136" s="523" t="s">
        <v>868</v>
      </c>
      <c r="Y136" s="524" t="e">
        <f>W136-#REF!+Y137</f>
        <v>#REF!</v>
      </c>
      <c r="Z136" s="299" t="s">
        <v>871</v>
      </c>
      <c r="AA136" s="79" t="s">
        <v>872</v>
      </c>
      <c r="AB136" s="260"/>
      <c r="AC136" s="80" t="s">
        <v>2399</v>
      </c>
      <c r="AD136" s="81">
        <v>194000000</v>
      </c>
      <c r="AE136" s="82"/>
      <c r="AF136" s="83">
        <f>SUM(AG136:BC136)</f>
        <v>0</v>
      </c>
      <c r="AG136" s="91"/>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row>
    <row r="137" spans="1:62" s="78" customFormat="1" ht="22.5" customHeight="1">
      <c r="A137" s="502"/>
      <c r="B137" s="938"/>
      <c r="C137" s="939"/>
      <c r="D137" s="940" t="s">
        <v>2407</v>
      </c>
      <c r="E137" s="937" t="s">
        <v>2449</v>
      </c>
      <c r="F137" s="937" t="s">
        <v>2449</v>
      </c>
      <c r="G137" s="937" t="s">
        <v>2449</v>
      </c>
      <c r="H137" s="937" t="s">
        <v>2449</v>
      </c>
      <c r="I137" s="940" t="s">
        <v>2450</v>
      </c>
      <c r="J137" s="937" t="s">
        <v>2451</v>
      </c>
      <c r="K137" s="937" t="s">
        <v>2451</v>
      </c>
      <c r="L137" s="937"/>
      <c r="M137" s="940" t="s">
        <v>2452</v>
      </c>
      <c r="N137" s="937" t="s">
        <v>2453</v>
      </c>
      <c r="O137" s="937"/>
      <c r="P137" s="502"/>
      <c r="Q137" s="502"/>
      <c r="R137" s="936"/>
      <c r="S137" s="502"/>
      <c r="T137" s="784"/>
      <c r="U137" s="531" t="s">
        <v>854</v>
      </c>
      <c r="V137" s="578" t="s">
        <v>2402</v>
      </c>
      <c r="W137" s="579"/>
      <c r="X137" s="532" t="s">
        <v>2401</v>
      </c>
      <c r="Y137" s="529">
        <f>BP137/1000000</f>
        <v>0</v>
      </c>
      <c r="Z137" s="85"/>
      <c r="AA137" s="69"/>
      <c r="AB137" s="261"/>
      <c r="AC137" s="80"/>
      <c r="AD137" s="81"/>
      <c r="AE137" s="82" t="s">
        <v>863</v>
      </c>
      <c r="AF137" s="83"/>
      <c r="AG137" s="77"/>
      <c r="AH137" s="77"/>
      <c r="AI137" s="77"/>
      <c r="AJ137" s="77"/>
      <c r="AK137" s="77"/>
      <c r="AL137" s="77"/>
      <c r="AM137" s="77"/>
      <c r="AN137" s="77"/>
      <c r="AO137" s="77"/>
      <c r="AP137" s="77"/>
      <c r="AQ137" s="77"/>
      <c r="AR137" s="77"/>
      <c r="AS137" s="77"/>
      <c r="AT137" s="77"/>
      <c r="AU137" s="77"/>
      <c r="AV137" s="77"/>
      <c r="AW137" s="77"/>
      <c r="AX137" s="77"/>
      <c r="AY137" s="77"/>
      <c r="AZ137" s="77"/>
      <c r="BA137" s="77"/>
      <c r="BB137" s="77"/>
      <c r="BC137" s="77"/>
      <c r="BD137" s="68"/>
      <c r="BE137" s="68"/>
      <c r="BF137" s="68"/>
      <c r="BG137" s="68"/>
      <c r="BH137" s="68"/>
      <c r="BI137" s="68"/>
      <c r="BJ137" s="68"/>
    </row>
    <row r="138" spans="1:62" ht="30.75" customHeight="1" thickBot="1">
      <c r="S138" s="1033"/>
    </row>
    <row r="139" spans="1:62" ht="22.5" customHeight="1" thickBot="1">
      <c r="A139" s="176" t="s">
        <v>733</v>
      </c>
      <c r="B139" s="209">
        <v>0.9</v>
      </c>
      <c r="C139" s="211">
        <v>0.9</v>
      </c>
      <c r="D139" s="37">
        <v>0</v>
      </c>
      <c r="E139" s="16">
        <v>0</v>
      </c>
      <c r="F139" s="16">
        <v>0</v>
      </c>
      <c r="G139" s="16">
        <v>0</v>
      </c>
      <c r="H139" s="16">
        <v>0</v>
      </c>
      <c r="I139" s="37">
        <v>0</v>
      </c>
      <c r="J139" s="37">
        <v>0</v>
      </c>
      <c r="K139" s="37">
        <v>0</v>
      </c>
      <c r="L139" s="37">
        <v>0</v>
      </c>
      <c r="M139" s="37">
        <v>0</v>
      </c>
      <c r="N139" s="37">
        <v>0</v>
      </c>
      <c r="O139" s="37"/>
      <c r="P139" s="219" t="s">
        <v>447</v>
      </c>
      <c r="Q139" s="729" t="s">
        <v>448</v>
      </c>
      <c r="R139" s="204"/>
      <c r="S139" s="204"/>
      <c r="T139" s="190" t="s">
        <v>39</v>
      </c>
      <c r="U139" s="11" t="s">
        <v>40</v>
      </c>
      <c r="V139" s="33" t="s">
        <v>11</v>
      </c>
      <c r="W139" s="34">
        <v>189.34700000000001</v>
      </c>
      <c r="X139" s="35" t="s">
        <v>7</v>
      </c>
      <c r="Y139" s="36" t="e">
        <v>#REF!</v>
      </c>
      <c r="Z139" s="50" t="s">
        <v>449</v>
      </c>
      <c r="AA139" s="18" t="s">
        <v>34</v>
      </c>
      <c r="AB139" s="181"/>
      <c r="AC139" s="19" t="s">
        <v>11</v>
      </c>
      <c r="AD139" s="20">
        <v>189347000</v>
      </c>
      <c r="AE139" s="21"/>
      <c r="AF139" s="22"/>
      <c r="AG139" s="23"/>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row>
    <row r="140" spans="1:62" ht="22.5" customHeight="1" thickBot="1">
      <c r="A140" s="177" t="s">
        <v>777</v>
      </c>
      <c r="B140" s="210"/>
      <c r="C140" s="212"/>
      <c r="D140" s="174" t="s">
        <v>451</v>
      </c>
      <c r="E140" s="174" t="s">
        <v>91</v>
      </c>
      <c r="F140" s="174" t="s">
        <v>91</v>
      </c>
      <c r="G140" s="174" t="s">
        <v>91</v>
      </c>
      <c r="H140" s="174" t="s">
        <v>451</v>
      </c>
      <c r="I140" s="225" t="s">
        <v>91</v>
      </c>
      <c r="J140" s="225" t="s">
        <v>91</v>
      </c>
      <c r="K140" s="225" t="s">
        <v>91</v>
      </c>
      <c r="L140" s="225" t="s">
        <v>91</v>
      </c>
      <c r="M140" s="225" t="s">
        <v>91</v>
      </c>
      <c r="N140" s="225" t="s">
        <v>91</v>
      </c>
      <c r="O140" s="203"/>
      <c r="P140" s="220"/>
      <c r="Q140" s="730"/>
      <c r="R140" s="205"/>
      <c r="S140" s="205"/>
      <c r="T140" s="191"/>
      <c r="U140" s="49" t="s">
        <v>450</v>
      </c>
      <c r="V140" s="223" t="s">
        <v>99</v>
      </c>
      <c r="W140" s="224"/>
      <c r="X140" s="47" t="s">
        <v>9</v>
      </c>
      <c r="Y140" s="48">
        <v>0</v>
      </c>
      <c r="Z140" s="32"/>
      <c r="AA140" s="51"/>
      <c r="AB140" s="182"/>
      <c r="AC140" s="19"/>
      <c r="AD140" s="20"/>
      <c r="AE140" s="21" t="s">
        <v>16</v>
      </c>
      <c r="AF140" s="60">
        <v>0</v>
      </c>
      <c r="BD140" s="29"/>
      <c r="BE140" s="29"/>
      <c r="BF140" s="29"/>
      <c r="BG140" s="29"/>
      <c r="BH140" s="29"/>
      <c r="BI140" s="29"/>
      <c r="BJ140" s="29"/>
    </row>
    <row r="141" spans="1:62" s="29" customFormat="1" ht="22.5" customHeight="1" thickBot="1">
      <c r="A141" s="176" t="s">
        <v>737</v>
      </c>
      <c r="B141" s="209">
        <v>0</v>
      </c>
      <c r="C141" s="211">
        <v>0.65000000000000013</v>
      </c>
      <c r="D141" s="37"/>
      <c r="E141" s="37">
        <v>0.1</v>
      </c>
      <c r="F141" s="37">
        <v>0.2</v>
      </c>
      <c r="G141" s="37">
        <v>0.1</v>
      </c>
      <c r="H141" s="16">
        <v>0.2</v>
      </c>
      <c r="I141" s="37">
        <v>0</v>
      </c>
      <c r="J141" s="37">
        <v>0.05</v>
      </c>
      <c r="K141" s="37">
        <v>0</v>
      </c>
      <c r="L141" s="37">
        <v>0</v>
      </c>
      <c r="M141" s="37">
        <v>0</v>
      </c>
      <c r="N141" s="37">
        <v>0</v>
      </c>
      <c r="O141" s="37"/>
      <c r="P141" s="188" t="s">
        <v>476</v>
      </c>
      <c r="Q141" s="729" t="s">
        <v>477</v>
      </c>
      <c r="R141" s="204" t="s">
        <v>776</v>
      </c>
      <c r="S141" s="204">
        <v>348</v>
      </c>
      <c r="T141" s="226" t="s">
        <v>754</v>
      </c>
      <c r="U141" s="11" t="s">
        <v>475</v>
      </c>
      <c r="V141" s="33" t="s">
        <v>11</v>
      </c>
      <c r="W141" s="34">
        <v>40</v>
      </c>
      <c r="X141" s="35" t="s">
        <v>456</v>
      </c>
      <c r="Y141" s="36" t="e">
        <v>#REF!</v>
      </c>
      <c r="Z141" s="56" t="s">
        <v>468</v>
      </c>
      <c r="AA141" s="32" t="s">
        <v>469</v>
      </c>
      <c r="AB141" s="221"/>
      <c r="AC141" s="57" t="s">
        <v>11</v>
      </c>
      <c r="AD141" s="58">
        <v>40000000</v>
      </c>
      <c r="AE141" s="59"/>
      <c r="AF141" s="60"/>
      <c r="AG141" s="61"/>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row>
    <row r="142" spans="1:62" s="29" customFormat="1" ht="22.5" customHeight="1" thickBot="1">
      <c r="A142" s="177" t="s">
        <v>778</v>
      </c>
      <c r="B142" s="210"/>
      <c r="C142" s="212"/>
      <c r="D142" s="203"/>
      <c r="E142" s="203" t="s">
        <v>478</v>
      </c>
      <c r="F142" s="203" t="s">
        <v>479</v>
      </c>
      <c r="G142" s="203" t="s">
        <v>480</v>
      </c>
      <c r="H142" s="174" t="s">
        <v>91</v>
      </c>
      <c r="I142" s="225" t="s">
        <v>91</v>
      </c>
      <c r="J142" s="225" t="s">
        <v>481</v>
      </c>
      <c r="K142" s="225" t="s">
        <v>91</v>
      </c>
      <c r="L142" s="225" t="s">
        <v>91</v>
      </c>
      <c r="M142" s="225" t="s">
        <v>91</v>
      </c>
      <c r="N142" s="225" t="s">
        <v>91</v>
      </c>
      <c r="O142" s="203"/>
      <c r="P142" s="189"/>
      <c r="Q142" s="730"/>
      <c r="R142" s="205"/>
      <c r="S142" s="205"/>
      <c r="T142" s="227"/>
      <c r="U142" s="49" t="s">
        <v>97</v>
      </c>
      <c r="V142" s="223" t="s">
        <v>99</v>
      </c>
      <c r="W142" s="224"/>
      <c r="X142" s="47" t="s">
        <v>9</v>
      </c>
      <c r="Y142" s="48">
        <v>0</v>
      </c>
      <c r="Z142" s="32"/>
      <c r="AA142" s="51"/>
      <c r="AB142" s="222"/>
      <c r="AC142" s="57"/>
      <c r="AD142" s="58"/>
      <c r="AE142" s="59" t="s">
        <v>100</v>
      </c>
      <c r="AF142" s="60">
        <v>0</v>
      </c>
      <c r="AG142" s="62"/>
      <c r="AH142" s="62"/>
      <c r="AI142" s="62"/>
      <c r="AJ142" s="62"/>
      <c r="AK142" s="62"/>
      <c r="AL142" s="62"/>
      <c r="AM142" s="62"/>
      <c r="AN142" s="62"/>
      <c r="AO142" s="62"/>
      <c r="AP142" s="62"/>
      <c r="AQ142" s="62"/>
      <c r="AR142" s="62"/>
      <c r="AS142" s="62"/>
      <c r="AT142" s="62"/>
      <c r="AU142" s="62"/>
      <c r="AV142" s="62"/>
      <c r="AW142" s="62"/>
      <c r="AX142" s="62"/>
      <c r="AY142" s="62"/>
      <c r="AZ142" s="62"/>
      <c r="BA142" s="62"/>
      <c r="BB142" s="62"/>
      <c r="BC142" s="62"/>
    </row>
    <row r="143" spans="1:62" s="29" customFormat="1" ht="22.5" customHeight="1" thickBot="1">
      <c r="A143" s="176" t="s">
        <v>739</v>
      </c>
      <c r="B143" s="209">
        <v>0</v>
      </c>
      <c r="C143" s="211">
        <v>0.2</v>
      </c>
      <c r="D143" s="37"/>
      <c r="E143" s="37"/>
      <c r="F143" s="37"/>
      <c r="G143" s="37"/>
      <c r="H143" s="37"/>
      <c r="I143" s="37"/>
      <c r="J143" s="37"/>
      <c r="K143" s="37"/>
      <c r="L143" s="37"/>
      <c r="M143" s="37">
        <v>0</v>
      </c>
      <c r="N143" s="37">
        <v>0.2</v>
      </c>
      <c r="O143" s="37"/>
      <c r="P143" s="188" t="s">
        <v>489</v>
      </c>
      <c r="Q143" s="729" t="s">
        <v>477</v>
      </c>
      <c r="R143" s="204"/>
      <c r="S143" s="204"/>
      <c r="T143" s="226" t="s">
        <v>755</v>
      </c>
      <c r="U143" s="11" t="s">
        <v>484</v>
      </c>
      <c r="V143" s="33" t="s">
        <v>11</v>
      </c>
      <c r="W143" s="34">
        <v>30</v>
      </c>
      <c r="X143" s="35" t="s">
        <v>7</v>
      </c>
      <c r="Y143" s="36" t="e">
        <v>#REF!</v>
      </c>
      <c r="Z143" s="56" t="s">
        <v>33</v>
      </c>
      <c r="AA143" s="32" t="s">
        <v>34</v>
      </c>
      <c r="AB143" s="221"/>
      <c r="AC143" s="57" t="s">
        <v>11</v>
      </c>
      <c r="AD143" s="58">
        <v>30000000</v>
      </c>
      <c r="AE143" s="59"/>
      <c r="AF143" s="60"/>
      <c r="AG143" s="61"/>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row>
    <row r="144" spans="1:62" s="29" customFormat="1" ht="22.5" customHeight="1" thickBot="1">
      <c r="A144" s="177" t="s">
        <v>777</v>
      </c>
      <c r="B144" s="210"/>
      <c r="C144" s="212"/>
      <c r="D144" s="203"/>
      <c r="E144" s="203"/>
      <c r="F144" s="203"/>
      <c r="G144" s="203"/>
      <c r="H144" s="203"/>
      <c r="I144" s="225"/>
      <c r="J144" s="225"/>
      <c r="K144" s="225"/>
      <c r="L144" s="225"/>
      <c r="M144" s="225" t="s">
        <v>91</v>
      </c>
      <c r="N144" s="225" t="s">
        <v>491</v>
      </c>
      <c r="O144" s="203"/>
      <c r="P144" s="189"/>
      <c r="Q144" s="730"/>
      <c r="R144" s="205"/>
      <c r="S144" s="205"/>
      <c r="T144" s="227"/>
      <c r="U144" s="49" t="s">
        <v>21</v>
      </c>
      <c r="V144" s="223" t="s">
        <v>490</v>
      </c>
      <c r="W144" s="224"/>
      <c r="X144" s="47" t="s">
        <v>9</v>
      </c>
      <c r="Y144" s="48">
        <v>0</v>
      </c>
      <c r="Z144" s="32"/>
      <c r="AA144" s="51"/>
      <c r="AB144" s="222"/>
      <c r="AC144" s="57"/>
      <c r="AD144" s="58"/>
      <c r="AE144" s="59" t="s">
        <v>197</v>
      </c>
      <c r="AF144" s="60">
        <v>0</v>
      </c>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row>
    <row r="145" spans="1:62" ht="22.5" customHeight="1" thickBot="1">
      <c r="A145" s="176" t="s">
        <v>740</v>
      </c>
      <c r="B145" s="209">
        <v>0.9</v>
      </c>
      <c r="C145" s="211">
        <v>0.9</v>
      </c>
      <c r="D145" s="37">
        <v>0</v>
      </c>
      <c r="E145" s="16">
        <v>0</v>
      </c>
      <c r="F145" s="16">
        <v>0</v>
      </c>
      <c r="G145" s="16">
        <v>0</v>
      </c>
      <c r="H145" s="16">
        <v>0</v>
      </c>
      <c r="I145" s="37">
        <v>0</v>
      </c>
      <c r="J145" s="37">
        <v>0</v>
      </c>
      <c r="K145" s="37">
        <v>0</v>
      </c>
      <c r="L145" s="37">
        <v>0</v>
      </c>
      <c r="M145" s="37">
        <v>0</v>
      </c>
      <c r="N145" s="37">
        <v>0</v>
      </c>
      <c r="O145" s="37"/>
      <c r="P145" s="219" t="s">
        <v>495</v>
      </c>
      <c r="Q145" s="729" t="s">
        <v>496</v>
      </c>
      <c r="R145" s="204" t="s">
        <v>776</v>
      </c>
      <c r="S145" s="204">
        <v>33</v>
      </c>
      <c r="T145" s="226" t="s">
        <v>492</v>
      </c>
      <c r="U145" s="11" t="s">
        <v>493</v>
      </c>
      <c r="V145" s="33" t="s">
        <v>11</v>
      </c>
      <c r="W145" s="34">
        <v>9.9550000000000001</v>
      </c>
      <c r="X145" s="35" t="s">
        <v>494</v>
      </c>
      <c r="Y145" s="36" t="e">
        <v>#REF!</v>
      </c>
      <c r="Z145" s="50" t="s">
        <v>497</v>
      </c>
      <c r="AA145" s="18" t="s">
        <v>273</v>
      </c>
      <c r="AB145" s="181"/>
      <c r="AC145" s="19" t="s">
        <v>498</v>
      </c>
      <c r="AD145" s="20">
        <v>9955000</v>
      </c>
      <c r="AE145" s="21"/>
      <c r="AF145" s="22"/>
      <c r="AG145" s="23"/>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row>
    <row r="146" spans="1:62" ht="22.5" customHeight="1" thickBot="1">
      <c r="A146" s="177" t="s">
        <v>779</v>
      </c>
      <c r="B146" s="210"/>
      <c r="C146" s="212"/>
      <c r="D146" s="174" t="s">
        <v>91</v>
      </c>
      <c r="E146" s="174" t="s">
        <v>142</v>
      </c>
      <c r="F146" s="174" t="s">
        <v>91</v>
      </c>
      <c r="G146" s="174" t="s">
        <v>423</v>
      </c>
      <c r="H146" s="174" t="s">
        <v>91</v>
      </c>
      <c r="I146" s="225" t="s">
        <v>91</v>
      </c>
      <c r="J146" s="225" t="s">
        <v>500</v>
      </c>
      <c r="K146" s="225" t="s">
        <v>91</v>
      </c>
      <c r="L146" s="225" t="s">
        <v>91</v>
      </c>
      <c r="M146" s="225" t="s">
        <v>91</v>
      </c>
      <c r="N146" s="225" t="s">
        <v>91</v>
      </c>
      <c r="O146" s="203"/>
      <c r="P146" s="220"/>
      <c r="Q146" s="730"/>
      <c r="R146" s="205"/>
      <c r="S146" s="205"/>
      <c r="T146" s="227"/>
      <c r="U146" s="49" t="s">
        <v>499</v>
      </c>
      <c r="V146" s="223" t="s">
        <v>27</v>
      </c>
      <c r="W146" s="224"/>
      <c r="X146" s="47" t="s">
        <v>9</v>
      </c>
      <c r="Y146" s="48">
        <v>0</v>
      </c>
      <c r="Z146" s="32"/>
      <c r="AA146" s="51"/>
      <c r="AB146" s="182"/>
      <c r="AC146" s="19"/>
      <c r="AD146" s="20"/>
      <c r="AE146" s="21" t="s">
        <v>100</v>
      </c>
      <c r="AF146" s="60">
        <v>0</v>
      </c>
      <c r="BD146" s="29"/>
      <c r="BE146" s="29"/>
      <c r="BF146" s="29"/>
      <c r="BG146" s="29"/>
      <c r="BH146" s="29"/>
      <c r="BI146" s="29"/>
      <c r="BJ146" s="29"/>
    </row>
    <row r="147" spans="1:62" s="29" customFormat="1" ht="22.5" customHeight="1" thickBot="1">
      <c r="A147" s="176" t="s">
        <v>741</v>
      </c>
      <c r="B147" s="209">
        <v>0</v>
      </c>
      <c r="C147" s="211">
        <v>0.8</v>
      </c>
      <c r="D147" s="37"/>
      <c r="E147" s="37"/>
      <c r="F147" s="37"/>
      <c r="G147" s="37"/>
      <c r="H147" s="37"/>
      <c r="I147" s="37"/>
      <c r="J147" s="37"/>
      <c r="K147" s="37"/>
      <c r="L147" s="37"/>
      <c r="M147" s="37">
        <v>0</v>
      </c>
      <c r="N147" s="37">
        <v>0.8</v>
      </c>
      <c r="O147" s="37"/>
      <c r="P147" s="219" t="s">
        <v>503</v>
      </c>
      <c r="Q147" s="729" t="s">
        <v>504</v>
      </c>
      <c r="R147" s="204"/>
      <c r="S147" s="204"/>
      <c r="T147" s="226" t="s">
        <v>501</v>
      </c>
      <c r="U147" s="11" t="s">
        <v>502</v>
      </c>
      <c r="V147" s="33" t="s">
        <v>11</v>
      </c>
      <c r="W147" s="34">
        <v>5</v>
      </c>
      <c r="X147" s="35" t="s">
        <v>7</v>
      </c>
      <c r="Y147" s="36" t="e">
        <v>#REF!</v>
      </c>
      <c r="Z147" s="56" t="s">
        <v>33</v>
      </c>
      <c r="AA147" s="32" t="s">
        <v>273</v>
      </c>
      <c r="AB147" s="221"/>
      <c r="AC147" s="57" t="s">
        <v>11</v>
      </c>
      <c r="AD147" s="58">
        <v>5000000</v>
      </c>
      <c r="AE147" s="59"/>
      <c r="AF147" s="60"/>
      <c r="AG147" s="61"/>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row>
    <row r="148" spans="1:62" s="29" customFormat="1" ht="22.5" customHeight="1" thickBot="1">
      <c r="A148" s="177" t="s">
        <v>777</v>
      </c>
      <c r="B148" s="210"/>
      <c r="C148" s="212"/>
      <c r="D148" s="203"/>
      <c r="E148" s="203"/>
      <c r="F148" s="203"/>
      <c r="G148" s="203"/>
      <c r="H148" s="203"/>
      <c r="I148" s="225"/>
      <c r="J148" s="225"/>
      <c r="K148" s="225"/>
      <c r="L148" s="225"/>
      <c r="M148" s="225" t="s">
        <v>505</v>
      </c>
      <c r="N148" s="225" t="s">
        <v>506</v>
      </c>
      <c r="O148" s="203"/>
      <c r="P148" s="220"/>
      <c r="Q148" s="730"/>
      <c r="R148" s="205"/>
      <c r="S148" s="205"/>
      <c r="T148" s="227"/>
      <c r="U148" s="49" t="s">
        <v>21</v>
      </c>
      <c r="V148" s="223" t="s">
        <v>27</v>
      </c>
      <c r="W148" s="224"/>
      <c r="X148" s="47" t="s">
        <v>9</v>
      </c>
      <c r="Y148" s="48">
        <v>0</v>
      </c>
      <c r="Z148" s="32"/>
      <c r="AA148" s="51"/>
      <c r="AB148" s="222"/>
      <c r="AC148" s="57"/>
      <c r="AD148" s="58"/>
      <c r="AE148" s="59" t="s">
        <v>16</v>
      </c>
      <c r="AF148" s="60">
        <v>0</v>
      </c>
      <c r="AG148" s="62"/>
      <c r="AH148" s="62"/>
      <c r="AI148" s="62"/>
      <c r="AJ148" s="62"/>
      <c r="AK148" s="62"/>
      <c r="AL148" s="62"/>
      <c r="AM148" s="62"/>
      <c r="AN148" s="62"/>
      <c r="AO148" s="62"/>
      <c r="AP148" s="62"/>
      <c r="AQ148" s="62"/>
      <c r="AR148" s="62"/>
      <c r="AS148" s="62"/>
      <c r="AT148" s="62"/>
      <c r="AU148" s="62"/>
      <c r="AV148" s="62"/>
      <c r="AW148" s="62"/>
      <c r="AX148" s="62"/>
      <c r="AY148" s="62"/>
      <c r="AZ148" s="62"/>
      <c r="BA148" s="62"/>
      <c r="BB148" s="62"/>
      <c r="BC148" s="62"/>
    </row>
    <row r="149" spans="1:62" s="29" customFormat="1" ht="22.5" customHeight="1" thickBot="1">
      <c r="A149" s="176" t="s">
        <v>742</v>
      </c>
      <c r="B149" s="209">
        <v>0.17</v>
      </c>
      <c r="C149" s="211">
        <v>0.38000000000000012</v>
      </c>
      <c r="D149" s="37">
        <v>0.01</v>
      </c>
      <c r="E149" s="37">
        <v>0.01</v>
      </c>
      <c r="F149" s="37">
        <v>0.02</v>
      </c>
      <c r="G149" s="37">
        <v>0.02</v>
      </c>
      <c r="H149" s="37">
        <v>0.02</v>
      </c>
      <c r="I149" s="37">
        <v>0.02</v>
      </c>
      <c r="J149" s="37">
        <v>0.02</v>
      </c>
      <c r="K149" s="37">
        <v>0.02</v>
      </c>
      <c r="L149" s="37">
        <v>0.02</v>
      </c>
      <c r="M149" s="37">
        <v>0.02</v>
      </c>
      <c r="N149" s="37">
        <v>0.03</v>
      </c>
      <c r="O149" s="37"/>
      <c r="P149" s="214" t="s">
        <v>335</v>
      </c>
      <c r="Q149" s="729" t="s">
        <v>512</v>
      </c>
      <c r="R149" s="204" t="s">
        <v>780</v>
      </c>
      <c r="S149" s="204">
        <v>249</v>
      </c>
      <c r="T149" s="206" t="s">
        <v>507</v>
      </c>
      <c r="U149" s="11" t="s">
        <v>508</v>
      </c>
      <c r="V149" s="33" t="s">
        <v>509</v>
      </c>
      <c r="W149" s="34">
        <v>56.279708999999997</v>
      </c>
      <c r="X149" s="35" t="s">
        <v>7</v>
      </c>
      <c r="Y149" s="36" t="e">
        <v>#REF!</v>
      </c>
      <c r="Z149" s="56" t="s">
        <v>513</v>
      </c>
      <c r="AA149" s="32" t="s">
        <v>34</v>
      </c>
      <c r="AB149" s="221"/>
      <c r="AC149" s="57" t="s">
        <v>11</v>
      </c>
      <c r="AD149" s="58">
        <v>56279709</v>
      </c>
      <c r="AE149" s="59"/>
      <c r="AF149" s="60"/>
      <c r="AG149" s="61"/>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row>
    <row r="150" spans="1:62" s="29" customFormat="1" ht="22.5" customHeight="1" thickBot="1">
      <c r="A150" s="177" t="s">
        <v>779</v>
      </c>
      <c r="B150" s="210"/>
      <c r="C150" s="212"/>
      <c r="D150" s="225" t="s">
        <v>517</v>
      </c>
      <c r="E150" s="203" t="s">
        <v>143</v>
      </c>
      <c r="F150" s="203" t="s">
        <v>518</v>
      </c>
      <c r="G150" s="203" t="s">
        <v>519</v>
      </c>
      <c r="H150" s="203" t="s">
        <v>520</v>
      </c>
      <c r="I150" s="203" t="s">
        <v>521</v>
      </c>
      <c r="J150" s="203" t="s">
        <v>522</v>
      </c>
      <c r="K150" s="203" t="s">
        <v>523</v>
      </c>
      <c r="L150" s="203" t="s">
        <v>524</v>
      </c>
      <c r="M150" s="203" t="s">
        <v>525</v>
      </c>
      <c r="N150" s="203" t="s">
        <v>526</v>
      </c>
      <c r="O150" s="203"/>
      <c r="P150" s="216"/>
      <c r="Q150" s="730"/>
      <c r="R150" s="205"/>
      <c r="S150" s="205"/>
      <c r="T150" s="207"/>
      <c r="U150" s="49" t="s">
        <v>514</v>
      </c>
      <c r="V150" s="223" t="s">
        <v>99</v>
      </c>
      <c r="W150" s="224"/>
      <c r="X150" s="47" t="s">
        <v>516</v>
      </c>
      <c r="Y150" s="48">
        <v>0</v>
      </c>
      <c r="Z150" s="32"/>
      <c r="AA150" s="51"/>
      <c r="AB150" s="222"/>
      <c r="AC150" s="57"/>
      <c r="AD150" s="58"/>
      <c r="AE150" s="59" t="s">
        <v>100</v>
      </c>
      <c r="AF150" s="60">
        <v>0</v>
      </c>
      <c r="AG150" s="62"/>
      <c r="AH150" s="62"/>
      <c r="AI150" s="62"/>
      <c r="AJ150" s="62"/>
      <c r="AK150" s="62"/>
      <c r="AL150" s="62"/>
      <c r="AM150" s="62"/>
      <c r="AN150" s="62"/>
      <c r="AO150" s="62"/>
      <c r="AP150" s="62"/>
      <c r="AQ150" s="62"/>
      <c r="AR150" s="62"/>
      <c r="AS150" s="62"/>
      <c r="AT150" s="62"/>
      <c r="AU150" s="62"/>
      <c r="AV150" s="62"/>
      <c r="AW150" s="62"/>
      <c r="AX150" s="62"/>
      <c r="AY150" s="62"/>
      <c r="AZ150" s="62"/>
      <c r="BA150" s="62"/>
      <c r="BB150" s="62"/>
      <c r="BC150" s="62"/>
    </row>
    <row r="151" spans="1:62" s="29" customFormat="1" ht="22.5" customHeight="1" thickBot="1">
      <c r="A151" s="176" t="s">
        <v>748</v>
      </c>
      <c r="B151" s="209">
        <v>0.06</v>
      </c>
      <c r="C151" s="211">
        <v>0.53</v>
      </c>
      <c r="D151" s="37">
        <v>0</v>
      </c>
      <c r="E151" s="37">
        <v>0.01</v>
      </c>
      <c r="F151" s="37">
        <v>0.12</v>
      </c>
      <c r="G151" s="37">
        <v>0.1</v>
      </c>
      <c r="H151" s="37">
        <v>0.05</v>
      </c>
      <c r="I151" s="37">
        <v>0.05</v>
      </c>
      <c r="J151" s="37">
        <v>0.02</v>
      </c>
      <c r="K151" s="37">
        <v>0.05</v>
      </c>
      <c r="L151" s="37">
        <v>0.01</v>
      </c>
      <c r="M151" s="37">
        <v>0.03</v>
      </c>
      <c r="N151" s="37">
        <v>0.03</v>
      </c>
      <c r="O151" s="37"/>
      <c r="P151" s="219" t="s">
        <v>208</v>
      </c>
      <c r="Q151" s="729" t="s">
        <v>593</v>
      </c>
      <c r="R151" s="204" t="s">
        <v>776</v>
      </c>
      <c r="S151" s="204">
        <v>330</v>
      </c>
      <c r="T151" s="226" t="s">
        <v>590</v>
      </c>
      <c r="U151" s="11" t="s">
        <v>591</v>
      </c>
      <c r="V151" s="33" t="s">
        <v>11</v>
      </c>
      <c r="W151" s="34">
        <v>87.253390999999993</v>
      </c>
      <c r="X151" s="35" t="s">
        <v>7</v>
      </c>
      <c r="Y151" s="36" t="e">
        <v>#REF!</v>
      </c>
      <c r="Z151" s="56" t="s">
        <v>90</v>
      </c>
      <c r="AA151" s="32" t="s">
        <v>34</v>
      </c>
      <c r="AB151" s="201"/>
      <c r="AC151" s="57" t="s">
        <v>104</v>
      </c>
      <c r="AD151" s="58">
        <v>87253391</v>
      </c>
      <c r="AE151" s="59"/>
      <c r="AF151" s="60"/>
      <c r="AG151" s="61"/>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row>
    <row r="152" spans="1:62" s="29" customFormat="1" ht="22.5" customHeight="1" thickBot="1">
      <c r="A152" s="177" t="s">
        <v>781</v>
      </c>
      <c r="B152" s="210"/>
      <c r="C152" s="212"/>
      <c r="D152" s="203" t="s">
        <v>77</v>
      </c>
      <c r="E152" s="203" t="s">
        <v>145</v>
      </c>
      <c r="F152" s="203" t="s">
        <v>595</v>
      </c>
      <c r="G152" s="203" t="s">
        <v>596</v>
      </c>
      <c r="H152" s="203" t="s">
        <v>216</v>
      </c>
      <c r="I152" s="203" t="s">
        <v>597</v>
      </c>
      <c r="J152" s="203" t="s">
        <v>598</v>
      </c>
      <c r="K152" s="203" t="s">
        <v>599</v>
      </c>
      <c r="L152" s="203" t="s">
        <v>347</v>
      </c>
      <c r="M152" s="208" t="s">
        <v>600</v>
      </c>
      <c r="N152" s="203" t="s">
        <v>601</v>
      </c>
      <c r="O152" s="203"/>
      <c r="P152" s="220"/>
      <c r="Q152" s="730"/>
      <c r="R152" s="205"/>
      <c r="S152" s="205"/>
      <c r="T152" s="227"/>
      <c r="U152" s="49" t="s">
        <v>67</v>
      </c>
      <c r="V152" s="223" t="s">
        <v>27</v>
      </c>
      <c r="W152" s="224"/>
      <c r="X152" s="47" t="s">
        <v>207</v>
      </c>
      <c r="Y152" s="48">
        <v>0</v>
      </c>
      <c r="Z152" s="32"/>
      <c r="AA152" s="51"/>
      <c r="AB152" s="202"/>
      <c r="AC152" s="57"/>
      <c r="AD152" s="58"/>
      <c r="AE152" s="59" t="s">
        <v>16</v>
      </c>
      <c r="AF152" s="60">
        <v>0</v>
      </c>
      <c r="AG152" s="62"/>
      <c r="AH152" s="62"/>
      <c r="AI152" s="62"/>
      <c r="AJ152" s="62"/>
      <c r="AK152" s="62"/>
      <c r="AL152" s="62"/>
      <c r="AM152" s="62"/>
      <c r="AN152" s="62"/>
      <c r="AO152" s="62"/>
      <c r="AP152" s="62"/>
      <c r="AQ152" s="62"/>
      <c r="AR152" s="62"/>
      <c r="AS152" s="62"/>
      <c r="AT152" s="62"/>
      <c r="AU152" s="62"/>
      <c r="AV152" s="62"/>
      <c r="AW152" s="62"/>
      <c r="AX152" s="62"/>
      <c r="AY152" s="62"/>
      <c r="AZ152" s="62"/>
      <c r="BA152" s="62"/>
      <c r="BB152" s="62"/>
      <c r="BC152" s="62"/>
    </row>
    <row r="153" spans="1:62" s="29" customFormat="1" ht="22.5" customHeight="1" thickBot="1">
      <c r="A153" s="176" t="s">
        <v>748</v>
      </c>
      <c r="B153" s="209">
        <v>0.06</v>
      </c>
      <c r="C153" s="211">
        <v>0.53</v>
      </c>
      <c r="D153" s="37">
        <v>0</v>
      </c>
      <c r="E153" s="37">
        <v>0.01</v>
      </c>
      <c r="F153" s="37">
        <v>0.12</v>
      </c>
      <c r="G153" s="37">
        <v>0.1</v>
      </c>
      <c r="H153" s="37">
        <v>0.05</v>
      </c>
      <c r="I153" s="37">
        <v>0.05</v>
      </c>
      <c r="J153" s="37">
        <v>0.02</v>
      </c>
      <c r="K153" s="37">
        <v>0.05</v>
      </c>
      <c r="L153" s="37">
        <v>0.01</v>
      </c>
      <c r="M153" s="37">
        <v>0.03</v>
      </c>
      <c r="N153" s="37">
        <v>0.03</v>
      </c>
      <c r="O153" s="37"/>
      <c r="P153" s="219" t="s">
        <v>208</v>
      </c>
      <c r="Q153" s="729" t="s">
        <v>593</v>
      </c>
      <c r="R153" s="204" t="s">
        <v>780</v>
      </c>
      <c r="S153" s="204">
        <v>332</v>
      </c>
      <c r="T153" s="226" t="s">
        <v>590</v>
      </c>
      <c r="U153" s="11" t="s">
        <v>591</v>
      </c>
      <c r="V153" s="33" t="s">
        <v>11</v>
      </c>
      <c r="W153" s="34">
        <v>87.253390999999993</v>
      </c>
      <c r="X153" s="35" t="s">
        <v>592</v>
      </c>
      <c r="Y153" s="36" t="e">
        <v>#REF!</v>
      </c>
      <c r="Z153" s="56" t="s">
        <v>90</v>
      </c>
      <c r="AA153" s="32" t="s">
        <v>273</v>
      </c>
      <c r="AB153" s="201"/>
      <c r="AC153" s="57" t="s">
        <v>594</v>
      </c>
      <c r="AD153" s="58">
        <v>87253391</v>
      </c>
      <c r="AE153" s="59"/>
      <c r="AF153" s="60"/>
      <c r="AG153" s="61"/>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row>
    <row r="154" spans="1:62" s="29" customFormat="1" ht="22.5" customHeight="1" thickBot="1">
      <c r="A154" s="177" t="s">
        <v>781</v>
      </c>
      <c r="B154" s="210"/>
      <c r="C154" s="212"/>
      <c r="D154" s="203" t="s">
        <v>91</v>
      </c>
      <c r="E154" s="203" t="s">
        <v>145</v>
      </c>
      <c r="F154" s="203" t="s">
        <v>595</v>
      </c>
      <c r="G154" s="203" t="s">
        <v>596</v>
      </c>
      <c r="H154" s="203" t="s">
        <v>216</v>
      </c>
      <c r="I154" s="203" t="s">
        <v>597</v>
      </c>
      <c r="J154" s="203" t="s">
        <v>598</v>
      </c>
      <c r="K154" s="203" t="s">
        <v>599</v>
      </c>
      <c r="L154" s="203" t="s">
        <v>347</v>
      </c>
      <c r="M154" s="208" t="s">
        <v>600</v>
      </c>
      <c r="N154" s="203" t="s">
        <v>601</v>
      </c>
      <c r="O154" s="203"/>
      <c r="P154" s="220"/>
      <c r="Q154" s="730"/>
      <c r="R154" s="205"/>
      <c r="S154" s="205"/>
      <c r="T154" s="227"/>
      <c r="U154" s="49" t="s">
        <v>97</v>
      </c>
      <c r="V154" s="223" t="s">
        <v>99</v>
      </c>
      <c r="W154" s="224"/>
      <c r="X154" s="47" t="s">
        <v>9</v>
      </c>
      <c r="Y154" s="48">
        <v>0</v>
      </c>
      <c r="Z154" s="32"/>
      <c r="AA154" s="51"/>
      <c r="AB154" s="202"/>
      <c r="AC154" s="57"/>
      <c r="AD154" s="58"/>
      <c r="AE154" s="59" t="s">
        <v>16</v>
      </c>
      <c r="AF154" s="60">
        <v>0</v>
      </c>
      <c r="AG154" s="62"/>
      <c r="AH154" s="62"/>
      <c r="AI154" s="62"/>
      <c r="AJ154" s="62"/>
      <c r="AK154" s="62"/>
      <c r="AL154" s="62"/>
      <c r="AM154" s="62"/>
      <c r="AN154" s="62"/>
      <c r="AO154" s="62"/>
      <c r="AP154" s="62"/>
      <c r="AQ154" s="62"/>
      <c r="AR154" s="62"/>
      <c r="AS154" s="62"/>
      <c r="AT154" s="62"/>
      <c r="AU154" s="62"/>
      <c r="AV154" s="62"/>
      <c r="AW154" s="62"/>
      <c r="AX154" s="62"/>
      <c r="AY154" s="62"/>
      <c r="AZ154" s="62"/>
      <c r="BA154" s="62"/>
      <c r="BB154" s="62"/>
      <c r="BC154" s="62"/>
    </row>
    <row r="155" spans="1:62" s="29" customFormat="1" ht="22.5" customHeight="1" thickBot="1">
      <c r="A155" s="252" t="s">
        <v>774</v>
      </c>
      <c r="B155" s="209">
        <v>0</v>
      </c>
      <c r="C155" s="211">
        <v>0</v>
      </c>
      <c r="D155" s="37"/>
      <c r="E155" s="37"/>
      <c r="F155" s="37"/>
      <c r="G155" s="37"/>
      <c r="H155" s="37"/>
      <c r="I155" s="37"/>
      <c r="J155" s="37"/>
      <c r="K155" s="37"/>
      <c r="L155" s="37"/>
      <c r="M155" s="37"/>
      <c r="N155" s="37"/>
      <c r="O155" s="37"/>
      <c r="P155" s="219" t="s">
        <v>300</v>
      </c>
      <c r="Q155" s="729" t="s">
        <v>301</v>
      </c>
      <c r="R155" s="204"/>
      <c r="S155" s="204"/>
      <c r="T155" s="226" t="s">
        <v>302</v>
      </c>
      <c r="U155" s="11" t="s">
        <v>299</v>
      </c>
      <c r="V155" s="33" t="s">
        <v>11</v>
      </c>
      <c r="W155" s="34">
        <v>0</v>
      </c>
      <c r="X155" s="35" t="s">
        <v>7</v>
      </c>
      <c r="Y155" s="36" t="e">
        <v>#REF!</v>
      </c>
      <c r="Z155" s="56" t="s">
        <v>90</v>
      </c>
      <c r="AA155" s="32" t="s">
        <v>92</v>
      </c>
      <c r="AB155" s="201"/>
      <c r="AC155" s="57" t="s">
        <v>11</v>
      </c>
      <c r="AD155" s="58"/>
      <c r="AE155" s="59"/>
      <c r="AF155" s="60"/>
      <c r="AG155" s="61"/>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row>
    <row r="156" spans="1:62" s="29" customFormat="1" ht="22.5" customHeight="1" thickBot="1">
      <c r="A156" s="253" t="s">
        <v>777</v>
      </c>
      <c r="B156" s="210"/>
      <c r="C156" s="212"/>
      <c r="D156" s="203"/>
      <c r="E156" s="203"/>
      <c r="F156" s="203"/>
      <c r="G156" s="203"/>
      <c r="H156" s="203"/>
      <c r="I156" s="203"/>
      <c r="J156" s="203"/>
      <c r="K156" s="203"/>
      <c r="L156" s="203"/>
      <c r="M156" s="225"/>
      <c r="N156" s="225"/>
      <c r="O156" s="203"/>
      <c r="P156" s="220"/>
      <c r="Q156" s="730"/>
      <c r="R156" s="205"/>
      <c r="S156" s="205"/>
      <c r="T156" s="227"/>
      <c r="U156" s="49" t="s">
        <v>67</v>
      </c>
      <c r="V156" s="223" t="s">
        <v>99</v>
      </c>
      <c r="W156" s="224"/>
      <c r="X156" s="47" t="s">
        <v>9</v>
      </c>
      <c r="Y156" s="48">
        <v>0</v>
      </c>
      <c r="Z156" s="32"/>
      <c r="AA156" s="51"/>
      <c r="AB156" s="202"/>
      <c r="AC156" s="57"/>
      <c r="AD156" s="58"/>
      <c r="AE156" s="59" t="s">
        <v>87</v>
      </c>
      <c r="AF156" s="60">
        <v>0</v>
      </c>
      <c r="AG156" s="62"/>
      <c r="AH156" s="62"/>
      <c r="AI156" s="62"/>
      <c r="AJ156" s="62"/>
      <c r="AK156" s="62"/>
      <c r="AL156" s="62"/>
      <c r="AM156" s="62"/>
      <c r="AN156" s="62"/>
      <c r="AO156" s="62"/>
      <c r="AP156" s="62"/>
      <c r="AQ156" s="62"/>
      <c r="AR156" s="62"/>
      <c r="AS156" s="62"/>
      <c r="AT156" s="62"/>
      <c r="AU156" s="62"/>
      <c r="AV156" s="62"/>
      <c r="AW156" s="62"/>
      <c r="AX156" s="62"/>
      <c r="AY156" s="62"/>
      <c r="AZ156" s="62"/>
      <c r="BA156" s="62"/>
      <c r="BB156" s="62"/>
      <c r="BC156" s="62"/>
    </row>
    <row r="157" spans="1:62" s="78" customFormat="1" ht="22.5" customHeight="1" thickBot="1">
      <c r="A157" s="507" t="s">
        <v>1026</v>
      </c>
      <c r="B157" s="492">
        <v>0</v>
      </c>
      <c r="C157" s="493">
        <v>0.3</v>
      </c>
      <c r="D157" s="414"/>
      <c r="E157" s="414">
        <v>0.1</v>
      </c>
      <c r="F157" s="414">
        <v>0.2</v>
      </c>
      <c r="G157" s="414"/>
      <c r="H157" s="414"/>
      <c r="I157" s="414">
        <v>0.3</v>
      </c>
      <c r="J157" s="414">
        <v>0.3</v>
      </c>
      <c r="K157" s="414">
        <v>0.2</v>
      </c>
      <c r="L157" s="414"/>
      <c r="M157" s="414">
        <v>0</v>
      </c>
      <c r="N157" s="414">
        <v>0</v>
      </c>
      <c r="O157" s="414">
        <v>0</v>
      </c>
      <c r="P157" s="415" t="s">
        <v>888</v>
      </c>
      <c r="Q157" s="608" t="s">
        <v>1028</v>
      </c>
      <c r="R157" s="204"/>
      <c r="S157" s="204"/>
      <c r="T157" s="491" t="s">
        <v>1027</v>
      </c>
      <c r="U157" s="409"/>
      <c r="V157" s="410" t="s">
        <v>104</v>
      </c>
      <c r="W157" s="411">
        <v>0</v>
      </c>
      <c r="X157" s="412" t="s">
        <v>7</v>
      </c>
      <c r="Y157" s="413" t="e">
        <v>#REF!</v>
      </c>
      <c r="Z157" s="299" t="s">
        <v>90</v>
      </c>
      <c r="AA157" s="79" t="s">
        <v>34</v>
      </c>
      <c r="AB157" s="260"/>
      <c r="AC157" s="80" t="s">
        <v>104</v>
      </c>
      <c r="AD157" s="81">
        <v>27770000</v>
      </c>
      <c r="AE157" s="82"/>
      <c r="AF157" s="83"/>
      <c r="AG157" s="91"/>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row>
    <row r="158" spans="1:62" s="78" customFormat="1" ht="22.5" customHeight="1" thickBot="1">
      <c r="A158" s="508" t="s">
        <v>777</v>
      </c>
      <c r="B158" s="497"/>
      <c r="C158" s="498"/>
      <c r="D158" s="501"/>
      <c r="E158" s="501" t="s">
        <v>1024</v>
      </c>
      <c r="F158" s="501" t="s">
        <v>896</v>
      </c>
      <c r="G158" s="501"/>
      <c r="H158" s="501"/>
      <c r="I158" s="501" t="s">
        <v>950</v>
      </c>
      <c r="J158" s="501" t="s">
        <v>888</v>
      </c>
      <c r="K158" s="501" t="s">
        <v>888</v>
      </c>
      <c r="L158" s="501"/>
      <c r="M158" s="501"/>
      <c r="N158" s="501"/>
      <c r="O158" s="501"/>
      <c r="P158" s="424"/>
      <c r="Q158" s="609"/>
      <c r="R158" s="205"/>
      <c r="S158" s="205"/>
      <c r="T158" s="496"/>
      <c r="U158" s="422"/>
      <c r="V158" s="440"/>
      <c r="W158" s="500"/>
      <c r="X158" s="423" t="s">
        <v>207</v>
      </c>
      <c r="Y158" s="419">
        <v>0</v>
      </c>
      <c r="Z158" s="85"/>
      <c r="AA158" s="75"/>
      <c r="AB158" s="261"/>
      <c r="AC158" s="80"/>
      <c r="AD158" s="81"/>
      <c r="AE158" s="82"/>
      <c r="AF158" s="83"/>
      <c r="AG158" s="77"/>
      <c r="AH158" s="77"/>
      <c r="AI158" s="77"/>
      <c r="AJ158" s="77"/>
      <c r="AK158" s="77"/>
      <c r="AL158" s="77"/>
      <c r="AM158" s="77"/>
      <c r="AN158" s="77"/>
      <c r="AO158" s="77"/>
      <c r="AP158" s="77"/>
      <c r="AQ158" s="77"/>
      <c r="AR158" s="77"/>
      <c r="AS158" s="77"/>
      <c r="AT158" s="77"/>
      <c r="AU158" s="77"/>
      <c r="AV158" s="77"/>
      <c r="AW158" s="77"/>
      <c r="AX158" s="77"/>
      <c r="AY158" s="77"/>
      <c r="AZ158" s="77"/>
      <c r="BA158" s="77"/>
      <c r="BB158" s="77"/>
      <c r="BC158" s="77"/>
      <c r="BD158" s="68"/>
      <c r="BE158" s="68"/>
      <c r="BF158" s="68"/>
      <c r="BG158" s="68"/>
      <c r="BH158" s="68"/>
      <c r="BI158" s="68"/>
      <c r="BJ158" s="68"/>
    </row>
    <row r="159" spans="1:62" s="78" customFormat="1" ht="22.5" customHeight="1" thickBot="1">
      <c r="A159" s="507" t="s">
        <v>1342</v>
      </c>
      <c r="B159" s="554"/>
      <c r="C159" s="555">
        <v>0</v>
      </c>
      <c r="D159" s="525"/>
      <c r="E159" s="525"/>
      <c r="F159" s="525"/>
      <c r="G159" s="525"/>
      <c r="H159" s="525"/>
      <c r="I159" s="525"/>
      <c r="J159" s="525"/>
      <c r="K159" s="525"/>
      <c r="L159" s="525"/>
      <c r="M159" s="525"/>
      <c r="N159" s="525"/>
      <c r="O159" s="525"/>
      <c r="P159" s="566"/>
      <c r="Q159" s="608" t="s">
        <v>1341</v>
      </c>
      <c r="R159" s="494"/>
      <c r="S159" s="494"/>
      <c r="T159" s="614" t="s">
        <v>1343</v>
      </c>
      <c r="U159" s="520"/>
      <c r="V159" s="521" t="s">
        <v>104</v>
      </c>
      <c r="W159" s="522">
        <v>0</v>
      </c>
      <c r="X159" s="523" t="s">
        <v>7</v>
      </c>
      <c r="Y159" s="524" t="e">
        <v>#REF!</v>
      </c>
      <c r="Z159" s="90" t="s">
        <v>90</v>
      </c>
      <c r="AA159" s="79" t="s">
        <v>34</v>
      </c>
      <c r="AB159" s="260"/>
      <c r="AC159" s="80" t="s">
        <v>104</v>
      </c>
      <c r="AD159" s="81">
        <v>142000000</v>
      </c>
      <c r="AE159" s="82"/>
      <c r="AF159" s="83">
        <v>0</v>
      </c>
      <c r="AG159" s="91"/>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row>
    <row r="160" spans="1:62" s="78" customFormat="1" ht="22.5" customHeight="1" thickBot="1">
      <c r="A160" s="509" t="s">
        <v>777</v>
      </c>
      <c r="B160" s="558"/>
      <c r="C160" s="559"/>
      <c r="D160" s="560"/>
      <c r="E160" s="560"/>
      <c r="F160" s="560"/>
      <c r="G160" s="560"/>
      <c r="H160" s="560"/>
      <c r="I160" s="560"/>
      <c r="J160" s="560"/>
      <c r="K160" s="560"/>
      <c r="L160" s="560"/>
      <c r="M160" s="560"/>
      <c r="N160" s="560"/>
      <c r="O160" s="560"/>
      <c r="P160" s="601"/>
      <c r="Q160" s="609"/>
      <c r="R160" s="499"/>
      <c r="S160" s="499"/>
      <c r="T160" s="615"/>
      <c r="U160" s="531" t="s">
        <v>67</v>
      </c>
      <c r="V160" s="578" t="s">
        <v>27</v>
      </c>
      <c r="W160" s="579"/>
      <c r="X160" s="532" t="s">
        <v>207</v>
      </c>
      <c r="Y160" s="529">
        <v>0</v>
      </c>
      <c r="Z160" s="69"/>
      <c r="AA160" s="75"/>
      <c r="AB160" s="261"/>
      <c r="AC160" s="80"/>
      <c r="AD160" s="81"/>
      <c r="AE160" s="82" t="s">
        <v>100</v>
      </c>
      <c r="AF160" s="83"/>
      <c r="AG160" s="77"/>
      <c r="AH160" s="77"/>
      <c r="AI160" s="77"/>
      <c r="AJ160" s="77"/>
      <c r="AK160" s="77"/>
      <c r="AL160" s="77"/>
      <c r="AM160" s="77"/>
      <c r="AN160" s="77"/>
      <c r="AO160" s="77"/>
      <c r="AP160" s="77"/>
      <c r="AQ160" s="77"/>
      <c r="AR160" s="77"/>
      <c r="AS160" s="77"/>
      <c r="AT160" s="77"/>
      <c r="AU160" s="77"/>
      <c r="AV160" s="77"/>
      <c r="AW160" s="77"/>
      <c r="AX160" s="77"/>
      <c r="AY160" s="77"/>
      <c r="AZ160" s="77"/>
      <c r="BA160" s="77"/>
      <c r="BB160" s="77"/>
      <c r="BC160" s="77"/>
      <c r="BD160" s="68"/>
      <c r="BE160" s="68"/>
      <c r="BF160" s="68"/>
      <c r="BG160" s="68"/>
      <c r="BH160" s="68"/>
      <c r="BI160" s="68"/>
      <c r="BJ160" s="68"/>
    </row>
    <row r="161" spans="1:62" s="78" customFormat="1" ht="22.5" customHeight="1" thickBot="1">
      <c r="A161" s="507" t="s">
        <v>1362</v>
      </c>
      <c r="B161" s="554">
        <v>0.8</v>
      </c>
      <c r="C161" s="555">
        <v>0.8</v>
      </c>
      <c r="D161" s="525"/>
      <c r="E161" s="525"/>
      <c r="F161" s="525"/>
      <c r="G161" s="525"/>
      <c r="H161" s="525"/>
      <c r="I161" s="525"/>
      <c r="J161" s="414"/>
      <c r="K161" s="525"/>
      <c r="L161" s="525"/>
      <c r="M161" s="525"/>
      <c r="N161" s="525"/>
      <c r="O161" s="525"/>
      <c r="P161" s="490"/>
      <c r="Q161" s="608" t="s">
        <v>1361</v>
      </c>
      <c r="R161" s="494"/>
      <c r="S161" s="494"/>
      <c r="T161" s="619" t="s">
        <v>1363</v>
      </c>
      <c r="U161" s="520"/>
      <c r="V161" s="521" t="s">
        <v>104</v>
      </c>
      <c r="W161" s="522">
        <v>0</v>
      </c>
      <c r="X161" s="523" t="s">
        <v>7</v>
      </c>
      <c r="Y161" s="524" t="e">
        <v>#REF!</v>
      </c>
      <c r="Z161" s="90" t="s">
        <v>90</v>
      </c>
      <c r="AA161" s="79" t="s">
        <v>34</v>
      </c>
      <c r="AB161" s="260"/>
      <c r="AC161" s="80" t="s">
        <v>104</v>
      </c>
      <c r="AD161" s="81">
        <v>46200000</v>
      </c>
      <c r="AE161" s="82"/>
      <c r="AF161" s="83">
        <v>0</v>
      </c>
      <c r="AG161" s="91"/>
      <c r="AH161" s="92"/>
      <c r="AI161" s="92"/>
      <c r="AJ161" s="92"/>
      <c r="AK161" s="92"/>
      <c r="AL161" s="92"/>
      <c r="AM161" s="92"/>
      <c r="AN161" s="92"/>
      <c r="AO161" s="92"/>
      <c r="AP161" s="92"/>
      <c r="AQ161" s="92"/>
      <c r="AR161" s="92"/>
      <c r="AS161" s="92"/>
      <c r="AT161" s="92"/>
      <c r="AU161" s="92"/>
      <c r="AV161" s="92"/>
      <c r="AW161" s="92"/>
      <c r="AX161" s="92"/>
      <c r="AY161" s="92"/>
      <c r="AZ161" s="92"/>
      <c r="BA161" s="92"/>
      <c r="BB161" s="92"/>
      <c r="BC161" s="92"/>
    </row>
    <row r="162" spans="1:62" s="78" customFormat="1" ht="22.5" customHeight="1" thickBot="1">
      <c r="A162" s="509" t="s">
        <v>777</v>
      </c>
      <c r="B162" s="558"/>
      <c r="C162" s="559"/>
      <c r="D162" s="560"/>
      <c r="E162" s="560"/>
      <c r="F162" s="560"/>
      <c r="G162" s="560"/>
      <c r="H162" s="560"/>
      <c r="I162" s="560"/>
      <c r="J162" s="560"/>
      <c r="K162" s="560"/>
      <c r="L162" s="560"/>
      <c r="M162" s="560"/>
      <c r="N162" s="560"/>
      <c r="O162" s="560"/>
      <c r="P162" s="495"/>
      <c r="Q162" s="609"/>
      <c r="R162" s="499"/>
      <c r="S162" s="499"/>
      <c r="T162" s="620"/>
      <c r="U162" s="531" t="s">
        <v>97</v>
      </c>
      <c r="V162" s="578" t="s">
        <v>490</v>
      </c>
      <c r="W162" s="579"/>
      <c r="X162" s="532" t="s">
        <v>9</v>
      </c>
      <c r="Y162" s="529">
        <v>0</v>
      </c>
      <c r="Z162" s="69"/>
      <c r="AA162" s="75"/>
      <c r="AB162" s="261"/>
      <c r="AC162" s="80"/>
      <c r="AD162" s="81"/>
      <c r="AE162" s="82" t="s">
        <v>100</v>
      </c>
      <c r="AF162" s="83"/>
      <c r="AG162" s="77"/>
      <c r="AH162" s="77"/>
      <c r="AI162" s="77"/>
      <c r="AJ162" s="77"/>
      <c r="AK162" s="77"/>
      <c r="AL162" s="77"/>
      <c r="AM162" s="77"/>
      <c r="AN162" s="77"/>
      <c r="AO162" s="77"/>
      <c r="AP162" s="77"/>
      <c r="AQ162" s="77"/>
      <c r="AR162" s="77"/>
      <c r="AS162" s="77"/>
      <c r="AT162" s="77"/>
      <c r="AU162" s="77"/>
      <c r="AV162" s="77"/>
      <c r="AW162" s="77"/>
      <c r="AX162" s="77"/>
      <c r="AY162" s="77"/>
      <c r="AZ162" s="77"/>
      <c r="BA162" s="77"/>
      <c r="BB162" s="77"/>
      <c r="BC162" s="77"/>
      <c r="BD162" s="68"/>
      <c r="BE162" s="68"/>
      <c r="BF162" s="68"/>
      <c r="BG162" s="68"/>
      <c r="BH162" s="68"/>
      <c r="BI162" s="68"/>
      <c r="BJ162" s="68"/>
    </row>
    <row r="163" spans="1:62" s="78" customFormat="1" ht="22.5" customHeight="1" thickBot="1">
      <c r="A163" s="507" t="s">
        <v>1364</v>
      </c>
      <c r="B163" s="554"/>
      <c r="C163" s="555">
        <v>0.9</v>
      </c>
      <c r="D163" s="525"/>
      <c r="E163" s="525"/>
      <c r="F163" s="525"/>
      <c r="G163" s="525">
        <v>0.5</v>
      </c>
      <c r="H163" s="525">
        <v>0.3</v>
      </c>
      <c r="I163" s="525">
        <v>0.1</v>
      </c>
      <c r="J163" s="525"/>
      <c r="K163" s="525"/>
      <c r="L163" s="525"/>
      <c r="M163" s="525"/>
      <c r="N163" s="525"/>
      <c r="O163" s="525"/>
      <c r="P163" s="566"/>
      <c r="Q163" s="608" t="s">
        <v>1353</v>
      </c>
      <c r="R163" s="494"/>
      <c r="S163" s="494"/>
      <c r="T163" s="617" t="s">
        <v>1365</v>
      </c>
      <c r="U163" s="520"/>
      <c r="V163" s="521" t="s">
        <v>11</v>
      </c>
      <c r="W163" s="522">
        <v>0</v>
      </c>
      <c r="X163" s="523" t="s">
        <v>7</v>
      </c>
      <c r="Y163" s="524" t="e">
        <v>#REF!</v>
      </c>
      <c r="Z163" s="90" t="s">
        <v>90</v>
      </c>
      <c r="AA163" s="79" t="s">
        <v>813</v>
      </c>
      <c r="AB163" s="260"/>
      <c r="AC163" s="80" t="s">
        <v>11</v>
      </c>
      <c r="AD163" s="81">
        <v>3000000</v>
      </c>
      <c r="AE163" s="82"/>
      <c r="AF163" s="83">
        <v>0</v>
      </c>
      <c r="AG163" s="91"/>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row>
    <row r="164" spans="1:62" s="78" customFormat="1" ht="22.5" customHeight="1" thickBot="1">
      <c r="A164" s="509" t="s">
        <v>777</v>
      </c>
      <c r="B164" s="558"/>
      <c r="C164" s="559"/>
      <c r="D164" s="560"/>
      <c r="E164" s="560"/>
      <c r="F164" s="560"/>
      <c r="G164" s="560"/>
      <c r="H164" s="560"/>
      <c r="I164" s="560"/>
      <c r="J164" s="560"/>
      <c r="K164" s="560"/>
      <c r="L164" s="560"/>
      <c r="M164" s="560"/>
      <c r="N164" s="560"/>
      <c r="O164" s="560"/>
      <c r="P164" s="601"/>
      <c r="Q164" s="609"/>
      <c r="R164" s="499"/>
      <c r="S164" s="499"/>
      <c r="T164" s="618"/>
      <c r="U164" s="531" t="s">
        <v>97</v>
      </c>
      <c r="V164" s="578" t="s">
        <v>490</v>
      </c>
      <c r="W164" s="579"/>
      <c r="X164" s="532" t="s">
        <v>9</v>
      </c>
      <c r="Y164" s="529">
        <v>0</v>
      </c>
      <c r="Z164" s="69"/>
      <c r="AA164" s="75"/>
      <c r="AB164" s="261"/>
      <c r="AC164" s="80"/>
      <c r="AD164" s="81"/>
      <c r="AE164" s="82" t="s">
        <v>100</v>
      </c>
      <c r="AF164" s="83"/>
      <c r="AG164" s="77"/>
      <c r="AH164" s="77"/>
      <c r="AI164" s="77"/>
      <c r="AJ164" s="77"/>
      <c r="AK164" s="77"/>
      <c r="AL164" s="77"/>
      <c r="AM164" s="77"/>
      <c r="AN164" s="77"/>
      <c r="AO164" s="77"/>
      <c r="AP164" s="77"/>
      <c r="AQ164" s="77"/>
      <c r="AR164" s="77"/>
      <c r="AS164" s="77"/>
      <c r="AT164" s="77"/>
      <c r="AU164" s="77"/>
      <c r="AV164" s="77"/>
      <c r="AW164" s="77"/>
      <c r="AX164" s="77"/>
      <c r="AY164" s="77"/>
      <c r="AZ164" s="77"/>
      <c r="BA164" s="77"/>
      <c r="BB164" s="77"/>
      <c r="BC164" s="77"/>
      <c r="BD164" s="68"/>
      <c r="BE164" s="68"/>
      <c r="BF164" s="68"/>
      <c r="BG164" s="68"/>
      <c r="BH164" s="68"/>
      <c r="BI164" s="68"/>
      <c r="BJ164" s="68"/>
    </row>
    <row r="165" spans="1:62" s="78" customFormat="1" ht="22.5" customHeight="1" thickBot="1">
      <c r="A165" s="507"/>
      <c r="B165" s="554"/>
      <c r="C165" s="555">
        <v>0.05</v>
      </c>
      <c r="D165" s="414"/>
      <c r="E165" s="414"/>
      <c r="F165" s="414"/>
      <c r="G165" s="414"/>
      <c r="H165" s="414"/>
      <c r="I165" s="414"/>
      <c r="J165" s="414"/>
      <c r="K165" s="525"/>
      <c r="L165" s="525"/>
      <c r="M165" s="525">
        <v>0.05</v>
      </c>
      <c r="N165" s="525"/>
      <c r="O165" s="525"/>
      <c r="P165" s="566"/>
      <c r="Q165" s="608" t="s">
        <v>1353</v>
      </c>
      <c r="R165" s="494"/>
      <c r="S165" s="494"/>
      <c r="T165" s="619" t="s">
        <v>1367</v>
      </c>
      <c r="U165" s="520"/>
      <c r="V165" s="521" t="s">
        <v>11</v>
      </c>
      <c r="W165" s="522">
        <v>0</v>
      </c>
      <c r="X165" s="523" t="s">
        <v>7</v>
      </c>
      <c r="Y165" s="524" t="e">
        <v>#REF!</v>
      </c>
      <c r="Z165" s="90" t="s">
        <v>90</v>
      </c>
      <c r="AA165" s="79" t="s">
        <v>813</v>
      </c>
      <c r="AB165" s="260"/>
      <c r="AC165" s="80" t="s">
        <v>11</v>
      </c>
      <c r="AD165" s="81">
        <v>15000000</v>
      </c>
      <c r="AE165" s="82"/>
      <c r="AF165" s="83">
        <v>0</v>
      </c>
      <c r="AG165" s="91"/>
      <c r="AH165" s="92"/>
      <c r="AI165" s="92"/>
      <c r="AJ165" s="92"/>
      <c r="AK165" s="92"/>
      <c r="AL165" s="92"/>
      <c r="AM165" s="92"/>
      <c r="AN165" s="92"/>
      <c r="AO165" s="92"/>
      <c r="AP165" s="92"/>
      <c r="AQ165" s="92"/>
      <c r="AR165" s="92"/>
      <c r="AS165" s="92"/>
      <c r="AT165" s="92"/>
      <c r="AU165" s="92"/>
      <c r="AV165" s="92"/>
      <c r="AW165" s="92"/>
      <c r="AX165" s="92"/>
      <c r="AY165" s="92"/>
      <c r="AZ165" s="92"/>
      <c r="BA165" s="92"/>
      <c r="BB165" s="92"/>
      <c r="BC165" s="92"/>
    </row>
    <row r="166" spans="1:62" s="78" customFormat="1" ht="22.5" customHeight="1" thickBot="1">
      <c r="A166" s="509" t="s">
        <v>777</v>
      </c>
      <c r="B166" s="558"/>
      <c r="C166" s="559"/>
      <c r="D166" s="560"/>
      <c r="E166" s="560"/>
      <c r="F166" s="560"/>
      <c r="G166" s="560"/>
      <c r="H166" s="560"/>
      <c r="I166" s="560"/>
      <c r="J166" s="560"/>
      <c r="K166" s="560"/>
      <c r="L166" s="560"/>
      <c r="M166" s="560" t="s">
        <v>1369</v>
      </c>
      <c r="N166" s="560"/>
      <c r="O166" s="560"/>
      <c r="P166" s="601"/>
      <c r="Q166" s="609"/>
      <c r="R166" s="499"/>
      <c r="S166" s="499"/>
      <c r="T166" s="620"/>
      <c r="U166" s="531" t="s">
        <v>97</v>
      </c>
      <c r="V166" s="578" t="s">
        <v>490</v>
      </c>
      <c r="W166" s="579"/>
      <c r="X166" s="532" t="s">
        <v>9</v>
      </c>
      <c r="Y166" s="529">
        <v>0</v>
      </c>
      <c r="Z166" s="69"/>
      <c r="AA166" s="75"/>
      <c r="AB166" s="261"/>
      <c r="AC166" s="80"/>
      <c r="AD166" s="81"/>
      <c r="AE166" s="82" t="s">
        <v>100</v>
      </c>
      <c r="AF166" s="83"/>
      <c r="AG166" s="77"/>
      <c r="AH166" s="77"/>
      <c r="AI166" s="77"/>
      <c r="AJ166" s="77"/>
      <c r="AK166" s="77"/>
      <c r="AL166" s="77"/>
      <c r="AM166" s="77"/>
      <c r="AN166" s="77"/>
      <c r="AO166" s="77"/>
      <c r="AP166" s="77"/>
      <c r="AQ166" s="77"/>
      <c r="AR166" s="77"/>
      <c r="AS166" s="77"/>
      <c r="AT166" s="77"/>
      <c r="AU166" s="77"/>
      <c r="AV166" s="77"/>
      <c r="AW166" s="77"/>
      <c r="AX166" s="77"/>
      <c r="AY166" s="77"/>
      <c r="AZ166" s="77"/>
      <c r="BA166" s="77"/>
      <c r="BB166" s="77"/>
      <c r="BC166" s="77"/>
      <c r="BD166" s="68"/>
      <c r="BE166" s="68"/>
      <c r="BF166" s="68"/>
      <c r="BG166" s="68"/>
      <c r="BH166" s="68"/>
      <c r="BI166" s="68"/>
      <c r="BJ166" s="68"/>
    </row>
    <row r="167" spans="1:62" s="78" customFormat="1" ht="22.5" customHeight="1" thickBot="1">
      <c r="A167" s="507" t="s">
        <v>952</v>
      </c>
      <c r="B167" s="554"/>
      <c r="C167" s="555">
        <v>0.05</v>
      </c>
      <c r="D167" s="525"/>
      <c r="E167" s="525"/>
      <c r="F167" s="525"/>
      <c r="G167" s="525"/>
      <c r="H167" s="525"/>
      <c r="I167" s="525"/>
      <c r="J167" s="525"/>
      <c r="K167" s="525"/>
      <c r="L167" s="525"/>
      <c r="M167" s="525">
        <v>0.05</v>
      </c>
      <c r="N167" s="525"/>
      <c r="O167" s="525"/>
      <c r="P167" s="566"/>
      <c r="Q167" s="608" t="s">
        <v>1353</v>
      </c>
      <c r="R167" s="494"/>
      <c r="S167" s="494"/>
      <c r="T167" s="617" t="s">
        <v>755</v>
      </c>
      <c r="U167" s="520"/>
      <c r="V167" s="521" t="s">
        <v>104</v>
      </c>
      <c r="W167" s="522">
        <v>0</v>
      </c>
      <c r="X167" s="523" t="s">
        <v>7</v>
      </c>
      <c r="Y167" s="524" t="e">
        <v>#REF!</v>
      </c>
      <c r="Z167" s="90" t="s">
        <v>90</v>
      </c>
      <c r="AA167" s="79" t="s">
        <v>34</v>
      </c>
      <c r="AB167" s="260"/>
      <c r="AC167" s="80" t="s">
        <v>104</v>
      </c>
      <c r="AD167" s="81">
        <v>45000000</v>
      </c>
      <c r="AE167" s="82"/>
      <c r="AF167" s="83">
        <v>0</v>
      </c>
      <c r="AG167" s="91"/>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row>
    <row r="168" spans="1:62" s="78" customFormat="1" ht="22.5" customHeight="1" thickBot="1">
      <c r="A168" s="509" t="s">
        <v>777</v>
      </c>
      <c r="B168" s="558"/>
      <c r="C168" s="559"/>
      <c r="D168" s="560"/>
      <c r="E168" s="560"/>
      <c r="F168" s="560"/>
      <c r="G168" s="560"/>
      <c r="H168" s="560"/>
      <c r="I168" s="560"/>
      <c r="J168" s="560"/>
      <c r="K168" s="560"/>
      <c r="L168" s="560"/>
      <c r="M168" s="560" t="s">
        <v>1372</v>
      </c>
      <c r="N168" s="560"/>
      <c r="O168" s="560"/>
      <c r="P168" s="601"/>
      <c r="Q168" s="609"/>
      <c r="R168" s="499"/>
      <c r="S168" s="499"/>
      <c r="T168" s="618"/>
      <c r="U168" s="531" t="s">
        <v>67</v>
      </c>
      <c r="V168" s="578" t="s">
        <v>27</v>
      </c>
      <c r="W168" s="579"/>
      <c r="X168" s="532" t="s">
        <v>207</v>
      </c>
      <c r="Y168" s="529">
        <v>0</v>
      </c>
      <c r="Z168" s="69"/>
      <c r="AA168" s="75"/>
      <c r="AB168" s="261"/>
      <c r="AC168" s="80"/>
      <c r="AD168" s="81"/>
      <c r="AE168" s="82" t="s">
        <v>100</v>
      </c>
      <c r="AF168" s="83"/>
      <c r="AG168" s="77"/>
      <c r="AH168" s="77"/>
      <c r="AI168" s="77"/>
      <c r="AJ168" s="77"/>
      <c r="AK168" s="77"/>
      <c r="AL168" s="77"/>
      <c r="AM168" s="77"/>
      <c r="AN168" s="77"/>
      <c r="AO168" s="77"/>
      <c r="AP168" s="77"/>
      <c r="AQ168" s="77"/>
      <c r="AR168" s="77"/>
      <c r="AS168" s="77"/>
      <c r="AT168" s="77"/>
      <c r="AU168" s="77"/>
      <c r="AV168" s="77"/>
      <c r="AW168" s="77"/>
      <c r="AX168" s="77"/>
      <c r="AY168" s="77"/>
      <c r="AZ168" s="77"/>
      <c r="BA168" s="77"/>
      <c r="BB168" s="77"/>
      <c r="BC168" s="77"/>
      <c r="BD168" s="68"/>
      <c r="BE168" s="68"/>
      <c r="BF168" s="68"/>
      <c r="BG168" s="68"/>
      <c r="BH168" s="68"/>
      <c r="BI168" s="68"/>
      <c r="BJ168" s="68"/>
    </row>
    <row r="169" spans="1:62" s="78" customFormat="1" ht="22.5" customHeight="1" thickBot="1">
      <c r="A169" s="507" t="s">
        <v>738</v>
      </c>
      <c r="B169" s="554"/>
      <c r="C169" s="555">
        <v>0.05</v>
      </c>
      <c r="D169" s="525"/>
      <c r="E169" s="525"/>
      <c r="F169" s="525"/>
      <c r="G169" s="525"/>
      <c r="H169" s="525"/>
      <c r="I169" s="525"/>
      <c r="J169" s="525"/>
      <c r="K169" s="525"/>
      <c r="L169" s="525"/>
      <c r="M169" s="525">
        <v>0.05</v>
      </c>
      <c r="N169" s="525"/>
      <c r="O169" s="525"/>
      <c r="P169" s="566"/>
      <c r="Q169" s="608" t="s">
        <v>1353</v>
      </c>
      <c r="R169" s="494"/>
      <c r="S169" s="494"/>
      <c r="T169" s="616" t="s">
        <v>943</v>
      </c>
      <c r="U169" s="520"/>
      <c r="V169" s="521" t="s">
        <v>104</v>
      </c>
      <c r="W169" s="522">
        <v>0</v>
      </c>
      <c r="X169" s="523" t="s">
        <v>7</v>
      </c>
      <c r="Y169" s="524" t="e">
        <v>#REF!</v>
      </c>
      <c r="Z169" s="90" t="s">
        <v>90</v>
      </c>
      <c r="AA169" s="79" t="s">
        <v>34</v>
      </c>
      <c r="AB169" s="260"/>
      <c r="AC169" s="80" t="s">
        <v>104</v>
      </c>
      <c r="AD169" s="81">
        <v>45000000</v>
      </c>
      <c r="AE169" s="82"/>
      <c r="AF169" s="83">
        <v>0</v>
      </c>
      <c r="AG169" s="91"/>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row>
    <row r="170" spans="1:62" s="78" customFormat="1" ht="22.5" customHeight="1" thickBot="1">
      <c r="A170" s="508" t="s">
        <v>777</v>
      </c>
      <c r="B170" s="558"/>
      <c r="C170" s="559"/>
      <c r="D170" s="560"/>
      <c r="E170" s="560"/>
      <c r="F170" s="560"/>
      <c r="G170" s="560"/>
      <c r="H170" s="560"/>
      <c r="I170" s="560"/>
      <c r="J170" s="560"/>
      <c r="K170" s="560"/>
      <c r="L170" s="560"/>
      <c r="M170" s="560"/>
      <c r="N170" s="560"/>
      <c r="O170" s="560"/>
      <c r="P170" s="601"/>
      <c r="Q170" s="609"/>
      <c r="R170" s="499"/>
      <c r="S170" s="499"/>
      <c r="T170" s="621"/>
      <c r="U170" s="531" t="s">
        <v>67</v>
      </c>
      <c r="V170" s="578" t="s">
        <v>27</v>
      </c>
      <c r="W170" s="579"/>
      <c r="X170" s="532" t="s">
        <v>207</v>
      </c>
      <c r="Y170" s="529">
        <v>0</v>
      </c>
      <c r="Z170" s="69"/>
      <c r="AA170" s="75"/>
      <c r="AB170" s="261"/>
      <c r="AC170" s="80"/>
      <c r="AD170" s="81"/>
      <c r="AE170" s="82" t="s">
        <v>100</v>
      </c>
      <c r="AF170" s="83"/>
      <c r="AG170" s="77"/>
      <c r="AH170" s="77"/>
      <c r="AI170" s="77"/>
      <c r="AJ170" s="77"/>
      <c r="AK170" s="77"/>
      <c r="AL170" s="77"/>
      <c r="AM170" s="77"/>
      <c r="AN170" s="77"/>
      <c r="AO170" s="77"/>
      <c r="AP170" s="77"/>
      <c r="AQ170" s="77"/>
      <c r="AR170" s="77"/>
      <c r="AS170" s="77"/>
      <c r="AT170" s="77"/>
      <c r="AU170" s="77"/>
      <c r="AV170" s="77"/>
      <c r="AW170" s="77"/>
      <c r="AX170" s="77"/>
      <c r="AY170" s="77"/>
      <c r="AZ170" s="77"/>
      <c r="BA170" s="77"/>
      <c r="BB170" s="77"/>
      <c r="BC170" s="77"/>
      <c r="BD170" s="68"/>
      <c r="BE170" s="68"/>
      <c r="BF170" s="68"/>
      <c r="BG170" s="68"/>
      <c r="BH170" s="68"/>
      <c r="BI170" s="68"/>
      <c r="BJ170" s="68"/>
    </row>
    <row r="171" spans="1:62" s="78" customFormat="1" ht="23.1" customHeight="1" thickBot="1">
      <c r="A171" s="507" t="s">
        <v>1565</v>
      </c>
      <c r="B171" s="681">
        <v>0.4</v>
      </c>
      <c r="C171" s="555">
        <v>0.4</v>
      </c>
      <c r="D171" s="651">
        <v>0</v>
      </c>
      <c r="E171" s="651">
        <v>0</v>
      </c>
      <c r="F171" s="651">
        <v>0</v>
      </c>
      <c r="G171" s="651">
        <v>0</v>
      </c>
      <c r="H171" s="636">
        <v>0</v>
      </c>
      <c r="I171" s="636">
        <v>0</v>
      </c>
      <c r="J171" s="636">
        <v>0</v>
      </c>
      <c r="K171" s="636">
        <v>0</v>
      </c>
      <c r="L171" s="636">
        <v>0</v>
      </c>
      <c r="M171" s="651">
        <v>0</v>
      </c>
      <c r="N171" s="651">
        <v>0</v>
      </c>
      <c r="O171" s="651">
        <v>0</v>
      </c>
      <c r="P171" s="701" t="s">
        <v>1568</v>
      </c>
      <c r="Q171" s="727" t="s">
        <v>1569</v>
      </c>
      <c r="R171" s="563"/>
      <c r="S171" s="563"/>
      <c r="T171" s="254" t="s">
        <v>1566</v>
      </c>
      <c r="U171" s="631" t="s">
        <v>1567</v>
      </c>
      <c r="V171" s="660" t="s">
        <v>1354</v>
      </c>
      <c r="W171" s="661">
        <v>0</v>
      </c>
      <c r="X171" s="634" t="s">
        <v>7</v>
      </c>
      <c r="Y171" s="524" t="e">
        <v>#REF!</v>
      </c>
      <c r="Z171" s="299" t="s">
        <v>1356</v>
      </c>
      <c r="AA171" s="79" t="s">
        <v>273</v>
      </c>
      <c r="AB171" s="260"/>
      <c r="AC171" s="80" t="s">
        <v>1354</v>
      </c>
      <c r="AD171" s="81">
        <v>0</v>
      </c>
      <c r="AE171" s="82"/>
      <c r="AF171" s="83">
        <v>0</v>
      </c>
      <c r="AG171" s="91"/>
      <c r="AH171" s="92"/>
      <c r="AI171" s="92"/>
      <c r="AJ171" s="92"/>
      <c r="AK171" s="102"/>
      <c r="AL171" s="102"/>
      <c r="AM171" s="102"/>
      <c r="AN171" s="102"/>
      <c r="AO171" s="102"/>
      <c r="AP171" s="102"/>
      <c r="AQ171" s="102"/>
      <c r="AR171" s="102"/>
      <c r="AS171" s="102"/>
      <c r="AT171" s="102"/>
      <c r="AU171" s="102"/>
      <c r="AV171" s="102"/>
      <c r="AW171" s="102"/>
      <c r="AX171" s="102"/>
      <c r="AY171" s="102"/>
      <c r="AZ171" s="102"/>
      <c r="BA171" s="102"/>
      <c r="BB171" s="102"/>
      <c r="BC171" s="102"/>
    </row>
    <row r="172" spans="1:62" s="78" customFormat="1" ht="23.1" customHeight="1" thickBot="1">
      <c r="A172" s="508" t="s">
        <v>777</v>
      </c>
      <c r="B172" s="685"/>
      <c r="C172" s="559"/>
      <c r="D172" s="704" t="s">
        <v>1573</v>
      </c>
      <c r="E172" s="704" t="s">
        <v>1573</v>
      </c>
      <c r="F172" s="704" t="s">
        <v>1573</v>
      </c>
      <c r="G172" s="704" t="s">
        <v>806</v>
      </c>
      <c r="H172" s="704" t="s">
        <v>806</v>
      </c>
      <c r="I172" s="704" t="s">
        <v>806</v>
      </c>
      <c r="J172" s="704" t="s">
        <v>806</v>
      </c>
      <c r="K172" s="704" t="s">
        <v>806</v>
      </c>
      <c r="L172" s="704" t="s">
        <v>806</v>
      </c>
      <c r="M172" s="704" t="s">
        <v>806</v>
      </c>
      <c r="N172" s="704" t="s">
        <v>806</v>
      </c>
      <c r="O172" s="687"/>
      <c r="P172" s="706"/>
      <c r="Q172" s="732"/>
      <c r="R172" s="565"/>
      <c r="S172" s="565"/>
      <c r="T172" s="255"/>
      <c r="U172" s="640" t="s">
        <v>97</v>
      </c>
      <c r="V172" s="707" t="s">
        <v>1572</v>
      </c>
      <c r="W172" s="708"/>
      <c r="X172" s="641" t="s">
        <v>1570</v>
      </c>
      <c r="Y172" s="529">
        <v>0</v>
      </c>
      <c r="Z172" s="85"/>
      <c r="AA172" s="69"/>
      <c r="AB172" s="261"/>
      <c r="AC172" s="80" t="s">
        <v>196</v>
      </c>
      <c r="AD172" s="81" t="e">
        <v>#REF!</v>
      </c>
      <c r="AE172" s="82" t="s">
        <v>100</v>
      </c>
      <c r="AF172" s="83"/>
      <c r="AG172" s="77"/>
      <c r="AH172" s="77"/>
      <c r="AI172" s="77"/>
      <c r="AJ172" s="77"/>
      <c r="AK172" s="662"/>
      <c r="AL172" s="662"/>
      <c r="AM172" s="662"/>
      <c r="AN172" s="662"/>
      <c r="AO172" s="662"/>
      <c r="AP172" s="662"/>
      <c r="AQ172" s="662"/>
      <c r="AR172" s="662"/>
      <c r="AS172" s="662"/>
      <c r="AT172" s="662"/>
      <c r="AU172" s="662"/>
      <c r="AV172" s="662"/>
      <c r="AW172" s="662"/>
      <c r="AX172" s="662"/>
      <c r="AY172" s="662"/>
      <c r="AZ172" s="662"/>
      <c r="BA172" s="662"/>
      <c r="BB172" s="662"/>
      <c r="BC172" s="662"/>
      <c r="BD172" s="68"/>
      <c r="BE172" s="68"/>
      <c r="BF172" s="68"/>
      <c r="BG172" s="68"/>
      <c r="BH172" s="68"/>
      <c r="BI172" s="68"/>
      <c r="BJ172" s="68"/>
    </row>
    <row r="173" spans="1:62" s="78" customFormat="1" ht="23.1" customHeight="1" thickBot="1">
      <c r="A173" s="507" t="s">
        <v>1635</v>
      </c>
      <c r="B173" s="234">
        <v>0.15</v>
      </c>
      <c r="C173" s="211">
        <v>0.16999999999999998</v>
      </c>
      <c r="D173" s="651">
        <v>0.02</v>
      </c>
      <c r="E173" s="651">
        <v>0</v>
      </c>
      <c r="F173" s="651">
        <v>0</v>
      </c>
      <c r="G173" s="651">
        <v>0</v>
      </c>
      <c r="H173" s="651">
        <v>0</v>
      </c>
      <c r="I173" s="676">
        <v>0</v>
      </c>
      <c r="J173" s="676">
        <v>0</v>
      </c>
      <c r="K173" s="676">
        <v>0</v>
      </c>
      <c r="L173" s="676">
        <v>0</v>
      </c>
      <c r="M173" s="651">
        <v>0</v>
      </c>
      <c r="N173" s="651">
        <v>0</v>
      </c>
      <c r="O173" s="651">
        <v>0</v>
      </c>
      <c r="P173" s="701" t="s">
        <v>1640</v>
      </c>
      <c r="Q173" s="728" t="s">
        <v>1641</v>
      </c>
      <c r="R173" s="237"/>
      <c r="S173" s="237"/>
      <c r="T173" s="226" t="s">
        <v>1636</v>
      </c>
      <c r="U173" s="643" t="s">
        <v>1638</v>
      </c>
      <c r="V173" s="669" t="s">
        <v>11</v>
      </c>
      <c r="W173" s="670">
        <v>0</v>
      </c>
      <c r="X173" s="671" t="s">
        <v>7</v>
      </c>
      <c r="Y173" s="524" t="e">
        <v>#REF!</v>
      </c>
      <c r="Z173" s="299" t="s">
        <v>90</v>
      </c>
      <c r="AA173" s="79" t="s">
        <v>813</v>
      </c>
      <c r="AB173" s="260"/>
      <c r="AC173" s="652" t="s">
        <v>11</v>
      </c>
      <c r="AD173" s="677">
        <v>284000000</v>
      </c>
      <c r="AE173" s="82"/>
      <c r="AF173" s="83">
        <v>0</v>
      </c>
      <c r="AG173" s="91"/>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row>
    <row r="174" spans="1:62" s="78" customFormat="1" ht="23.1" customHeight="1" thickBot="1">
      <c r="A174" s="508" t="s">
        <v>777</v>
      </c>
      <c r="B174" s="235"/>
      <c r="C174" s="212"/>
      <c r="D174" s="560" t="s">
        <v>1643</v>
      </c>
      <c r="E174" s="560" t="s">
        <v>821</v>
      </c>
      <c r="F174" s="560" t="s">
        <v>821</v>
      </c>
      <c r="G174" s="560" t="s">
        <v>821</v>
      </c>
      <c r="H174" s="560" t="s">
        <v>821</v>
      </c>
      <c r="I174" s="560" t="s">
        <v>821</v>
      </c>
      <c r="J174" s="711" t="s">
        <v>821</v>
      </c>
      <c r="K174" s="711" t="s">
        <v>821</v>
      </c>
      <c r="L174" s="711" t="s">
        <v>821</v>
      </c>
      <c r="M174" s="711" t="s">
        <v>821</v>
      </c>
      <c r="N174" s="711" t="s">
        <v>821</v>
      </c>
      <c r="O174" s="687"/>
      <c r="P174" s="702"/>
      <c r="Q174" s="733"/>
      <c r="R174" s="237"/>
      <c r="S174" s="237"/>
      <c r="T174" s="227"/>
      <c r="U174" s="229" t="s">
        <v>97</v>
      </c>
      <c r="V174" s="714" t="s">
        <v>490</v>
      </c>
      <c r="W174" s="715"/>
      <c r="X174" s="674" t="s">
        <v>9</v>
      </c>
      <c r="Y174" s="529">
        <v>0</v>
      </c>
      <c r="Z174" s="85"/>
      <c r="AA174" s="69"/>
      <c r="AB174" s="261"/>
      <c r="AC174" s="656" t="s">
        <v>196</v>
      </c>
      <c r="AD174" s="657" t="e">
        <v>#REF!</v>
      </c>
      <c r="AE174" s="82" t="s">
        <v>100</v>
      </c>
      <c r="AF174" s="83"/>
      <c r="AG174" s="77"/>
      <c r="AH174" s="77"/>
      <c r="AI174" s="77"/>
      <c r="AJ174" s="77"/>
      <c r="AK174" s="77"/>
      <c r="AL174" s="77"/>
      <c r="AM174" s="77"/>
      <c r="AN174" s="77"/>
      <c r="AO174" s="77"/>
      <c r="AP174" s="77"/>
      <c r="AQ174" s="77"/>
      <c r="AR174" s="77"/>
      <c r="AS174" s="77"/>
      <c r="AT174" s="77"/>
      <c r="AU174" s="77"/>
      <c r="AV174" s="77"/>
      <c r="AW174" s="77"/>
      <c r="AX174" s="77"/>
      <c r="AY174" s="77"/>
      <c r="AZ174" s="77"/>
      <c r="BA174" s="77"/>
      <c r="BB174" s="77"/>
      <c r="BC174" s="77"/>
      <c r="BD174" s="68"/>
      <c r="BE174" s="68"/>
      <c r="BF174" s="68"/>
      <c r="BG174" s="68"/>
      <c r="BH174" s="68"/>
      <c r="BI174" s="68"/>
      <c r="BJ174" s="68"/>
    </row>
    <row r="175" spans="1:62" s="78" customFormat="1" ht="22.5" customHeight="1" thickBot="1">
      <c r="A175" s="507" t="s">
        <v>2037</v>
      </c>
      <c r="B175" s="554">
        <v>0.5</v>
      </c>
      <c r="C175" s="555">
        <v>0.5</v>
      </c>
      <c r="D175" s="525"/>
      <c r="E175" s="525"/>
      <c r="F175" s="525"/>
      <c r="G175" s="525"/>
      <c r="H175" s="525"/>
      <c r="I175" s="525"/>
      <c r="J175" s="525"/>
      <c r="K175" s="525"/>
      <c r="L175" s="525"/>
      <c r="M175" s="525"/>
      <c r="N175" s="525"/>
      <c r="O175" s="525"/>
      <c r="P175" s="490" t="s">
        <v>1853</v>
      </c>
      <c r="Q175" s="490" t="s">
        <v>78</v>
      </c>
      <c r="R175" s="725"/>
      <c r="S175" s="490"/>
      <c r="T175" s="553" t="s">
        <v>2038</v>
      </c>
      <c r="U175" s="520" t="s">
        <v>2039</v>
      </c>
      <c r="V175" s="521" t="s">
        <v>11</v>
      </c>
      <c r="W175" s="522">
        <v>0</v>
      </c>
      <c r="X175" s="523" t="s">
        <v>7</v>
      </c>
      <c r="Y175" s="524" t="e">
        <v>#REF!</v>
      </c>
      <c r="Z175" s="299" t="s">
        <v>90</v>
      </c>
      <c r="AA175" s="79" t="s">
        <v>34</v>
      </c>
      <c r="AB175" s="260"/>
      <c r="AC175" s="80" t="s">
        <v>104</v>
      </c>
      <c r="AD175" s="81">
        <v>107800000</v>
      </c>
      <c r="AE175" s="82"/>
      <c r="AF175" s="83">
        <v>0</v>
      </c>
      <c r="AG175" s="91"/>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row>
    <row r="176" spans="1:62" s="78" customFormat="1" ht="22.5" customHeight="1" thickBot="1">
      <c r="A176" s="508" t="s">
        <v>777</v>
      </c>
      <c r="B176" s="558"/>
      <c r="C176" s="559"/>
      <c r="D176" s="780"/>
      <c r="E176" s="780"/>
      <c r="F176" s="780"/>
      <c r="G176" s="780"/>
      <c r="H176" s="780"/>
      <c r="I176" s="780"/>
      <c r="J176" s="780"/>
      <c r="K176" s="780"/>
      <c r="L176" s="780"/>
      <c r="M176" s="780"/>
      <c r="N176" s="780"/>
      <c r="O176" s="780"/>
      <c r="P176" s="502"/>
      <c r="Q176" s="495"/>
      <c r="R176" s="936"/>
      <c r="S176" s="502"/>
      <c r="T176" s="557"/>
      <c r="U176" s="531"/>
      <c r="V176" s="578" t="s">
        <v>27</v>
      </c>
      <c r="W176" s="579"/>
      <c r="X176" s="532" t="s">
        <v>207</v>
      </c>
      <c r="Y176" s="529">
        <v>0</v>
      </c>
      <c r="Z176" s="89"/>
      <c r="AA176" s="73"/>
      <c r="AB176" s="261"/>
      <c r="AC176" s="80"/>
      <c r="AD176" s="81"/>
      <c r="AE176" s="82" t="s">
        <v>100</v>
      </c>
      <c r="AF176" s="83"/>
      <c r="AG176" s="77"/>
      <c r="AH176" s="77"/>
      <c r="AI176" s="77"/>
      <c r="AJ176" s="77"/>
      <c r="AK176" s="77"/>
      <c r="AL176" s="77"/>
      <c r="AM176" s="77"/>
      <c r="AN176" s="77"/>
      <c r="AO176" s="77"/>
      <c r="AP176" s="77"/>
      <c r="AQ176" s="77"/>
      <c r="AR176" s="77"/>
      <c r="AS176" s="77"/>
      <c r="AT176" s="77"/>
      <c r="AU176" s="77"/>
      <c r="AV176" s="77"/>
      <c r="AW176" s="77"/>
      <c r="AX176" s="77"/>
      <c r="AY176" s="77"/>
      <c r="AZ176" s="77"/>
      <c r="BA176" s="77"/>
      <c r="BB176" s="77"/>
      <c r="BC176" s="77"/>
    </row>
    <row r="177" spans="1:62" s="78" customFormat="1" ht="22.5" customHeight="1" thickBot="1">
      <c r="A177" s="507" t="s">
        <v>2049</v>
      </c>
      <c r="B177" s="554">
        <v>1</v>
      </c>
      <c r="C177" s="555">
        <v>1</v>
      </c>
      <c r="D177" s="525"/>
      <c r="E177" s="525"/>
      <c r="F177" s="525"/>
      <c r="G177" s="525"/>
      <c r="H177" s="525"/>
      <c r="I177" s="525"/>
      <c r="J177" s="525"/>
      <c r="K177" s="525"/>
      <c r="L177" s="525"/>
      <c r="M177" s="525"/>
      <c r="N177" s="525"/>
      <c r="O177" s="525"/>
      <c r="P177" s="490" t="s">
        <v>1846</v>
      </c>
      <c r="Q177" s="490" t="s">
        <v>2036</v>
      </c>
      <c r="R177" s="533" t="s">
        <v>36</v>
      </c>
      <c r="S177" s="495">
        <v>275</v>
      </c>
      <c r="T177" s="553" t="s">
        <v>2050</v>
      </c>
      <c r="U177" s="520">
        <v>19.03</v>
      </c>
      <c r="V177" s="521" t="s">
        <v>2045</v>
      </c>
      <c r="W177" s="522">
        <v>0</v>
      </c>
      <c r="X177" s="523" t="s">
        <v>7</v>
      </c>
      <c r="Y177" s="524" t="e">
        <v>#REF!</v>
      </c>
      <c r="Z177" s="299" t="s">
        <v>2043</v>
      </c>
      <c r="AA177" s="79" t="s">
        <v>2044</v>
      </c>
      <c r="AB177" s="260"/>
      <c r="AC177" s="80" t="s">
        <v>2045</v>
      </c>
      <c r="AD177" s="81">
        <v>58000000</v>
      </c>
      <c r="AE177" s="82"/>
      <c r="AF177" s="83">
        <v>0</v>
      </c>
      <c r="AG177" s="91"/>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row>
    <row r="178" spans="1:62" s="78" customFormat="1" ht="22.5" customHeight="1" thickBot="1">
      <c r="A178" s="508" t="s">
        <v>2204</v>
      </c>
      <c r="B178" s="558"/>
      <c r="C178" s="559"/>
      <c r="D178" s="780"/>
      <c r="E178" s="780"/>
      <c r="F178" s="780"/>
      <c r="G178" s="780"/>
      <c r="H178" s="780"/>
      <c r="I178" s="780"/>
      <c r="J178" s="780"/>
      <c r="K178" s="780"/>
      <c r="L178" s="780"/>
      <c r="M178" s="780"/>
      <c r="N178" s="780"/>
      <c r="O178" s="780"/>
      <c r="P178" s="502"/>
      <c r="Q178" s="495"/>
      <c r="R178" s="533"/>
      <c r="S178" s="495"/>
      <c r="T178" s="557"/>
      <c r="U178" s="531"/>
      <c r="V178" s="578" t="s">
        <v>99</v>
      </c>
      <c r="W178" s="579"/>
      <c r="X178" s="532" t="s">
        <v>2046</v>
      </c>
      <c r="Y178" s="529">
        <v>0</v>
      </c>
      <c r="Z178" s="89"/>
      <c r="AA178" s="73"/>
      <c r="AB178" s="261"/>
      <c r="AC178" s="80"/>
      <c r="AD178" s="81"/>
      <c r="AE178" s="82" t="s">
        <v>2048</v>
      </c>
      <c r="AF178" s="83"/>
      <c r="AG178" s="77"/>
      <c r="AH178" s="77"/>
      <c r="AI178" s="77"/>
      <c r="AJ178" s="77"/>
      <c r="AK178" s="77"/>
      <c r="AL178" s="77"/>
      <c r="AM178" s="77"/>
      <c r="AN178" s="77"/>
      <c r="AO178" s="77"/>
      <c r="AP178" s="77"/>
      <c r="AQ178" s="77"/>
      <c r="AR178" s="77"/>
      <c r="AS178" s="77"/>
      <c r="AT178" s="77"/>
      <c r="AU178" s="77"/>
      <c r="AV178" s="77"/>
      <c r="AW178" s="77"/>
      <c r="AX178" s="77"/>
      <c r="AY178" s="77"/>
      <c r="AZ178" s="77"/>
      <c r="BA178" s="77"/>
      <c r="BB178" s="77"/>
      <c r="BC178" s="77"/>
    </row>
    <row r="179" spans="1:62" s="78" customFormat="1" ht="22.5" customHeight="1" thickBot="1">
      <c r="A179" s="507" t="s">
        <v>719</v>
      </c>
      <c r="B179" s="554">
        <v>0</v>
      </c>
      <c r="C179" s="555">
        <v>0.8</v>
      </c>
      <c r="D179" s="525">
        <v>0.03</v>
      </c>
      <c r="E179" s="525"/>
      <c r="F179" s="525">
        <v>0.02</v>
      </c>
      <c r="G179" s="525">
        <v>0.05</v>
      </c>
      <c r="H179" s="525"/>
      <c r="I179" s="525"/>
      <c r="J179" s="525"/>
      <c r="K179" s="525"/>
      <c r="L179" s="525"/>
      <c r="M179" s="525">
        <v>0.2</v>
      </c>
      <c r="N179" s="525">
        <v>0.5</v>
      </c>
      <c r="O179" s="525"/>
      <c r="P179" s="490" t="s">
        <v>2072</v>
      </c>
      <c r="Q179" s="490" t="s">
        <v>2073</v>
      </c>
      <c r="R179" s="725"/>
      <c r="S179" s="490"/>
      <c r="T179" s="553" t="s">
        <v>2071</v>
      </c>
      <c r="U179" s="520">
        <v>21.06</v>
      </c>
      <c r="V179" s="410" t="s">
        <v>2045</v>
      </c>
      <c r="W179" s="522">
        <v>0</v>
      </c>
      <c r="X179" s="412" t="s">
        <v>7</v>
      </c>
      <c r="Y179" s="524" t="e">
        <v>#REF!</v>
      </c>
      <c r="Z179" s="299" t="s">
        <v>2043</v>
      </c>
      <c r="AA179" s="79" t="s">
        <v>2044</v>
      </c>
      <c r="AB179" s="260"/>
      <c r="AC179" s="80" t="s">
        <v>2045</v>
      </c>
      <c r="AD179" s="81">
        <v>32000000</v>
      </c>
      <c r="AE179" s="82"/>
      <c r="AF179" s="83">
        <v>0</v>
      </c>
      <c r="AG179" s="91"/>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row>
    <row r="180" spans="1:62" s="78" customFormat="1" ht="22.5" customHeight="1" thickBot="1">
      <c r="A180" s="508" t="s">
        <v>777</v>
      </c>
      <c r="B180" s="558"/>
      <c r="C180" s="559"/>
      <c r="D180" s="780"/>
      <c r="E180" s="780"/>
      <c r="F180" s="780"/>
      <c r="G180" s="780"/>
      <c r="H180" s="780"/>
      <c r="I180" s="780"/>
      <c r="J180" s="780"/>
      <c r="K180" s="780"/>
      <c r="L180" s="780"/>
      <c r="M180" s="780"/>
      <c r="N180" s="780"/>
      <c r="O180" s="780"/>
      <c r="P180" s="502"/>
      <c r="Q180" s="495"/>
      <c r="R180" s="936"/>
      <c r="S180" s="502"/>
      <c r="T180" s="557"/>
      <c r="U180" s="593"/>
      <c r="V180" s="578" t="s">
        <v>99</v>
      </c>
      <c r="W180" s="579"/>
      <c r="X180" s="532" t="s">
        <v>2046</v>
      </c>
      <c r="Y180" s="529">
        <v>0</v>
      </c>
      <c r="Z180" s="89"/>
      <c r="AA180" s="73"/>
      <c r="AB180" s="261"/>
      <c r="AC180" s="80"/>
      <c r="AD180" s="81"/>
      <c r="AE180" s="82" t="s">
        <v>2048</v>
      </c>
      <c r="AF180" s="83"/>
      <c r="AG180" s="77"/>
      <c r="AH180" s="77"/>
      <c r="AI180" s="77"/>
      <c r="AJ180" s="77"/>
      <c r="AK180" s="77"/>
      <c r="AL180" s="77"/>
      <c r="AM180" s="77"/>
      <c r="AN180" s="77"/>
      <c r="AO180" s="77"/>
      <c r="AP180" s="77"/>
      <c r="AQ180" s="77"/>
      <c r="AR180" s="77"/>
      <c r="AS180" s="77"/>
      <c r="AT180" s="77"/>
      <c r="AU180" s="77"/>
      <c r="AV180" s="77"/>
      <c r="AW180" s="77"/>
      <c r="AX180" s="77"/>
      <c r="AY180" s="77"/>
      <c r="AZ180" s="77"/>
      <c r="BA180" s="77"/>
      <c r="BB180" s="77"/>
      <c r="BC180" s="77"/>
    </row>
    <row r="181" spans="1:62" s="78" customFormat="1" ht="22.5" customHeight="1" thickBot="1">
      <c r="A181" s="507" t="s">
        <v>2079</v>
      </c>
      <c r="B181" s="554">
        <v>0</v>
      </c>
      <c r="C181" s="555">
        <v>0.89999999999999991</v>
      </c>
      <c r="D181" s="525">
        <v>0.05</v>
      </c>
      <c r="E181" s="525">
        <v>0.05</v>
      </c>
      <c r="F181" s="525">
        <v>0.01</v>
      </c>
      <c r="G181" s="525">
        <v>0.05</v>
      </c>
      <c r="H181" s="525"/>
      <c r="I181" s="525">
        <v>0.05</v>
      </c>
      <c r="J181" s="525">
        <v>0.1</v>
      </c>
      <c r="K181" s="525">
        <v>0.1</v>
      </c>
      <c r="L181" s="525">
        <v>0.1</v>
      </c>
      <c r="M181" s="525">
        <v>0.1</v>
      </c>
      <c r="N181" s="525">
        <v>0.28999999999999998</v>
      </c>
      <c r="O181" s="525"/>
      <c r="P181" s="490" t="s">
        <v>2081</v>
      </c>
      <c r="Q181" s="490" t="s">
        <v>2073</v>
      </c>
      <c r="R181" s="533"/>
      <c r="S181" s="495"/>
      <c r="T181" s="553" t="s">
        <v>2080</v>
      </c>
      <c r="U181" s="795">
        <v>21.02</v>
      </c>
      <c r="V181" s="410" t="s">
        <v>2045</v>
      </c>
      <c r="W181" s="522">
        <v>0</v>
      </c>
      <c r="X181" s="412" t="s">
        <v>7</v>
      </c>
      <c r="Y181" s="524" t="e">
        <v>#REF!</v>
      </c>
      <c r="Z181" s="299" t="s">
        <v>2043</v>
      </c>
      <c r="AA181" s="79" t="s">
        <v>2044</v>
      </c>
      <c r="AB181" s="260"/>
      <c r="AC181" s="80" t="s">
        <v>2082</v>
      </c>
      <c r="AD181" s="81">
        <v>13530000</v>
      </c>
      <c r="AE181" s="82" t="s">
        <v>2083</v>
      </c>
      <c r="AF181" s="81">
        <v>0</v>
      </c>
      <c r="AG181" s="91" t="s">
        <v>1078</v>
      </c>
      <c r="AH181" s="92"/>
      <c r="AI181" s="92" t="s">
        <v>2085</v>
      </c>
      <c r="AJ181" s="92"/>
      <c r="AK181" s="92" t="s">
        <v>2046</v>
      </c>
      <c r="AL181" s="92"/>
      <c r="AM181" s="92" t="s">
        <v>2046</v>
      </c>
      <c r="AN181" s="92"/>
      <c r="AO181" s="92" t="s">
        <v>2046</v>
      </c>
      <c r="AP181" s="92"/>
      <c r="AQ181" s="92"/>
      <c r="AR181" s="92"/>
      <c r="AS181" s="92"/>
      <c r="AT181" s="92"/>
      <c r="AU181" s="92"/>
      <c r="AV181" s="92"/>
      <c r="AW181" s="92"/>
      <c r="AX181" s="92"/>
      <c r="AY181" s="92"/>
      <c r="AZ181" s="92"/>
      <c r="BA181" s="92"/>
      <c r="BB181" s="92"/>
      <c r="BC181" s="92"/>
    </row>
    <row r="182" spans="1:62" s="78" customFormat="1" ht="22.5" customHeight="1" thickBot="1">
      <c r="A182" s="508" t="s">
        <v>777</v>
      </c>
      <c r="B182" s="558"/>
      <c r="C182" s="559"/>
      <c r="D182" s="780" t="s">
        <v>2086</v>
      </c>
      <c r="E182" s="780"/>
      <c r="F182" s="780"/>
      <c r="G182" s="780"/>
      <c r="H182" s="780"/>
      <c r="I182" s="780"/>
      <c r="J182" s="780"/>
      <c r="K182" s="780"/>
      <c r="L182" s="780"/>
      <c r="M182" s="780"/>
      <c r="N182" s="780"/>
      <c r="O182" s="780"/>
      <c r="P182" s="502"/>
      <c r="Q182" s="495"/>
      <c r="R182" s="533"/>
      <c r="S182" s="495"/>
      <c r="T182" s="557"/>
      <c r="U182" s="795"/>
      <c r="V182" s="578" t="s">
        <v>99</v>
      </c>
      <c r="W182" s="579"/>
      <c r="X182" s="532" t="s">
        <v>2046</v>
      </c>
      <c r="Y182" s="529">
        <v>0</v>
      </c>
      <c r="Z182" s="89"/>
      <c r="AA182" s="73"/>
      <c r="AB182" s="261"/>
      <c r="AC182" s="80" t="s">
        <v>2087</v>
      </c>
      <c r="AD182" s="81">
        <v>0</v>
      </c>
      <c r="AE182" s="82" t="s">
        <v>2048</v>
      </c>
      <c r="AF182" s="81">
        <v>0</v>
      </c>
      <c r="AG182" s="77"/>
      <c r="AH182" s="77"/>
      <c r="AI182" s="77"/>
      <c r="AJ182" s="77"/>
      <c r="AK182" s="77"/>
      <c r="AL182" s="77"/>
      <c r="AM182" s="77"/>
      <c r="AN182" s="77"/>
      <c r="AO182" s="77"/>
      <c r="AP182" s="77"/>
      <c r="AQ182" s="77"/>
      <c r="AR182" s="77"/>
      <c r="AS182" s="77"/>
      <c r="AT182" s="77"/>
      <c r="AU182" s="77"/>
      <c r="AV182" s="77"/>
      <c r="AW182" s="77"/>
      <c r="AX182" s="77"/>
      <c r="AY182" s="77"/>
      <c r="AZ182" s="77"/>
      <c r="BA182" s="77"/>
      <c r="BB182" s="77"/>
      <c r="BC182" s="77"/>
    </row>
    <row r="183" spans="1:62" s="78" customFormat="1" ht="22.5" customHeight="1" thickBot="1">
      <c r="A183" s="507" t="s">
        <v>2088</v>
      </c>
      <c r="B183" s="554">
        <v>0</v>
      </c>
      <c r="C183" s="555">
        <v>0.6</v>
      </c>
      <c r="D183" s="525"/>
      <c r="E183" s="525"/>
      <c r="F183" s="525"/>
      <c r="G183" s="525"/>
      <c r="H183" s="525"/>
      <c r="I183" s="525"/>
      <c r="J183" s="525">
        <v>0.25</v>
      </c>
      <c r="K183" s="525">
        <v>0.25</v>
      </c>
      <c r="L183" s="525"/>
      <c r="M183" s="525">
        <v>0.1</v>
      </c>
      <c r="N183" s="525"/>
      <c r="O183" s="525"/>
      <c r="P183" s="490" t="s">
        <v>2090</v>
      </c>
      <c r="Q183" s="490" t="s">
        <v>2036</v>
      </c>
      <c r="R183" s="725"/>
      <c r="S183" s="490"/>
      <c r="T183" s="553" t="s">
        <v>2089</v>
      </c>
      <c r="U183" s="795">
        <v>21.02</v>
      </c>
      <c r="V183" s="410" t="s">
        <v>2045</v>
      </c>
      <c r="W183" s="522">
        <v>0</v>
      </c>
      <c r="X183" s="412" t="s">
        <v>7</v>
      </c>
      <c r="Y183" s="524" t="e">
        <v>#REF!</v>
      </c>
      <c r="Z183" s="299" t="s">
        <v>2043</v>
      </c>
      <c r="AA183" s="79" t="s">
        <v>2044</v>
      </c>
      <c r="AB183" s="260"/>
      <c r="AC183" s="80" t="s">
        <v>2082</v>
      </c>
      <c r="AD183" s="81">
        <v>88000000</v>
      </c>
      <c r="AE183" s="82" t="s">
        <v>2083</v>
      </c>
      <c r="AF183" s="81">
        <v>0</v>
      </c>
      <c r="AG183" s="91" t="s">
        <v>1078</v>
      </c>
      <c r="AH183" s="92"/>
      <c r="AI183" s="92" t="s">
        <v>2085</v>
      </c>
      <c r="AJ183" s="92"/>
      <c r="AK183" s="92" t="s">
        <v>2046</v>
      </c>
      <c r="AL183" s="92"/>
      <c r="AM183" s="92" t="s">
        <v>2046</v>
      </c>
      <c r="AN183" s="92"/>
      <c r="AO183" s="92" t="s">
        <v>2046</v>
      </c>
      <c r="AP183" s="92"/>
      <c r="AQ183" s="92"/>
      <c r="AR183" s="92"/>
      <c r="AS183" s="92"/>
      <c r="AT183" s="92"/>
      <c r="AU183" s="92"/>
      <c r="AV183" s="92"/>
      <c r="AW183" s="92"/>
      <c r="AX183" s="92"/>
      <c r="AY183" s="92"/>
      <c r="AZ183" s="92"/>
      <c r="BA183" s="92"/>
      <c r="BB183" s="92"/>
      <c r="BC183" s="92"/>
    </row>
    <row r="184" spans="1:62" s="78" customFormat="1" ht="22.5" customHeight="1" thickBot="1">
      <c r="A184" s="508" t="s">
        <v>777</v>
      </c>
      <c r="B184" s="558"/>
      <c r="C184" s="559"/>
      <c r="D184" s="780" t="s">
        <v>2086</v>
      </c>
      <c r="E184" s="780"/>
      <c r="F184" s="780"/>
      <c r="G184" s="780"/>
      <c r="H184" s="780"/>
      <c r="I184" s="780"/>
      <c r="J184" s="780"/>
      <c r="K184" s="780"/>
      <c r="L184" s="780"/>
      <c r="M184" s="780"/>
      <c r="N184" s="780"/>
      <c r="O184" s="780"/>
      <c r="P184" s="502"/>
      <c r="Q184" s="495"/>
      <c r="R184" s="936"/>
      <c r="S184" s="502"/>
      <c r="T184" s="557"/>
      <c r="U184" s="795"/>
      <c r="V184" s="578" t="s">
        <v>99</v>
      </c>
      <c r="W184" s="579"/>
      <c r="X184" s="532" t="s">
        <v>2046</v>
      </c>
      <c r="Y184" s="529">
        <v>0</v>
      </c>
      <c r="Z184" s="89"/>
      <c r="AA184" s="73"/>
      <c r="AB184" s="261"/>
      <c r="AC184" s="80" t="s">
        <v>2087</v>
      </c>
      <c r="AD184" s="81">
        <v>0</v>
      </c>
      <c r="AE184" s="82" t="s">
        <v>2048</v>
      </c>
      <c r="AF184" s="81">
        <v>0</v>
      </c>
      <c r="AG184" s="77"/>
      <c r="AH184" s="77"/>
      <c r="AI184" s="77"/>
      <c r="AJ184" s="77"/>
      <c r="AK184" s="77"/>
      <c r="AL184" s="77"/>
      <c r="AM184" s="77"/>
      <c r="AN184" s="77"/>
      <c r="AO184" s="77"/>
      <c r="AP184" s="77"/>
      <c r="AQ184" s="77"/>
      <c r="AR184" s="77"/>
      <c r="AS184" s="77"/>
      <c r="AT184" s="77"/>
      <c r="AU184" s="77"/>
      <c r="AV184" s="77"/>
      <c r="AW184" s="77"/>
      <c r="AX184" s="77"/>
      <c r="AY184" s="77"/>
      <c r="AZ184" s="77"/>
      <c r="BA184" s="77"/>
      <c r="BB184" s="77"/>
      <c r="BC184" s="77"/>
    </row>
    <row r="185" spans="1:62" s="78" customFormat="1" ht="22.5" customHeight="1" thickBot="1">
      <c r="A185" s="507" t="s">
        <v>2091</v>
      </c>
      <c r="B185" s="554">
        <v>0</v>
      </c>
      <c r="C185" s="555">
        <f>B185+D185+E185+F185+G185+H185+I185+J185+K185+N185+L185+M185+O185</f>
        <v>0.5</v>
      </c>
      <c r="D185" s="525"/>
      <c r="E185" s="525"/>
      <c r="F185" s="525"/>
      <c r="G185" s="525"/>
      <c r="H185" s="525"/>
      <c r="I185" s="525"/>
      <c r="J185" s="525"/>
      <c r="K185" s="525"/>
      <c r="L185" s="525">
        <v>0.2</v>
      </c>
      <c r="M185" s="525">
        <v>0.1</v>
      </c>
      <c r="N185" s="525">
        <v>0.2</v>
      </c>
      <c r="O185" s="525"/>
      <c r="P185" s="490" t="s">
        <v>2093</v>
      </c>
      <c r="Q185" s="490" t="s">
        <v>2042</v>
      </c>
      <c r="R185" s="725"/>
      <c r="S185" s="490"/>
      <c r="T185" s="553" t="s">
        <v>2092</v>
      </c>
      <c r="U185" s="795">
        <v>21.07</v>
      </c>
      <c r="V185" s="410" t="s">
        <v>11</v>
      </c>
      <c r="W185" s="522">
        <f>BN185/1000000</f>
        <v>0</v>
      </c>
      <c r="X185" s="412" t="s">
        <v>7</v>
      </c>
      <c r="Y185" s="524" t="e">
        <f>W185-(#REF!+Y186)*1.1</f>
        <v>#REF!</v>
      </c>
      <c r="Z185" s="299" t="s">
        <v>434</v>
      </c>
      <c r="AA185" s="79" t="s">
        <v>2044</v>
      </c>
      <c r="AB185" s="260"/>
      <c r="AC185" s="80" t="s">
        <v>2082</v>
      </c>
      <c r="AD185" s="81">
        <v>88000000</v>
      </c>
      <c r="AE185" s="82" t="s">
        <v>35</v>
      </c>
      <c r="AF185" s="81" t="e">
        <f>#REF!+AF167+#REF!+AF169+AF171+AF173+AF175+AF177+AF179+#REF!+AF181</f>
        <v>#REF!</v>
      </c>
      <c r="AG185" s="91" t="s">
        <v>2084</v>
      </c>
      <c r="AH185" s="92"/>
      <c r="AI185" s="92" t="s">
        <v>1079</v>
      </c>
      <c r="AJ185" s="92"/>
      <c r="AK185" s="92" t="s">
        <v>2046</v>
      </c>
      <c r="AL185" s="92"/>
      <c r="AM185" s="92" t="s">
        <v>2046</v>
      </c>
      <c r="AN185" s="92"/>
      <c r="AO185" s="92" t="s">
        <v>2046</v>
      </c>
      <c r="AP185" s="92"/>
      <c r="AQ185" s="92"/>
      <c r="AR185" s="92"/>
      <c r="AS185" s="92"/>
      <c r="AT185" s="92"/>
      <c r="AU185" s="92"/>
      <c r="AV185" s="92"/>
      <c r="AW185" s="92"/>
      <c r="AX185" s="92"/>
      <c r="AY185" s="92"/>
      <c r="AZ185" s="92"/>
      <c r="BA185" s="92"/>
      <c r="BB185" s="92"/>
      <c r="BC185" s="92"/>
    </row>
    <row r="186" spans="1:62" s="78" customFormat="1" ht="22.5" customHeight="1" thickBot="1">
      <c r="A186" s="508" t="s">
        <v>3057</v>
      </c>
      <c r="B186" s="558"/>
      <c r="C186" s="559"/>
      <c r="D186" s="780" t="s">
        <v>2086</v>
      </c>
      <c r="E186" s="780"/>
      <c r="F186" s="780"/>
      <c r="G186" s="780"/>
      <c r="H186" s="780"/>
      <c r="I186" s="780"/>
      <c r="J186" s="780"/>
      <c r="K186" s="780"/>
      <c r="L186" s="780"/>
      <c r="M186" s="780"/>
      <c r="N186" s="780"/>
      <c r="O186" s="780"/>
      <c r="P186" s="502"/>
      <c r="Q186" s="495"/>
      <c r="R186" s="936"/>
      <c r="S186" s="502"/>
      <c r="T186" s="557"/>
      <c r="U186" s="795"/>
      <c r="V186" s="578" t="s">
        <v>239</v>
      </c>
      <c r="W186" s="579"/>
      <c r="X186" s="532" t="s">
        <v>2046</v>
      </c>
      <c r="Y186" s="529">
        <f t="shared" ref="Y186" si="12">BP186/1000000</f>
        <v>0</v>
      </c>
      <c r="Z186" s="89"/>
      <c r="AA186" s="73"/>
      <c r="AB186" s="261"/>
      <c r="AC186" s="80" t="s">
        <v>2087</v>
      </c>
      <c r="AD186" s="81" t="e">
        <f>#REF!+AD168+#REF!+AD170+AD172+AD174+AD176+AD178+AD180+#REF!+AD182</f>
        <v>#REF!</v>
      </c>
      <c r="AE186" s="82" t="s">
        <v>100</v>
      </c>
      <c r="AF186" s="81" t="e">
        <f>#REF!+AF168+#REF!+AF170+AF172+AF174+AF176+AF178+AF180+#REF!+AF182+AF184+#REF!+#REF!</f>
        <v>#REF!</v>
      </c>
      <c r="AG186" s="77"/>
      <c r="AH186" s="77"/>
      <c r="AI186" s="77"/>
      <c r="AJ186" s="77"/>
      <c r="AK186" s="77"/>
      <c r="AL186" s="77"/>
      <c r="AM186" s="77"/>
      <c r="AN186" s="77"/>
      <c r="AO186" s="77"/>
      <c r="AP186" s="77"/>
      <c r="AQ186" s="77"/>
      <c r="AR186" s="77"/>
      <c r="AS186" s="77"/>
      <c r="AT186" s="77"/>
      <c r="AU186" s="77"/>
      <c r="AV186" s="77"/>
      <c r="AW186" s="77"/>
      <c r="AX186" s="77"/>
      <c r="AY186" s="77"/>
      <c r="AZ186" s="77"/>
      <c r="BA186" s="77"/>
      <c r="BB186" s="77"/>
      <c r="BC186" s="77"/>
    </row>
    <row r="187" spans="1:62" s="78" customFormat="1" ht="22.5" customHeight="1" thickBot="1">
      <c r="A187" s="507" t="s">
        <v>2052</v>
      </c>
      <c r="B187" s="554">
        <v>0.99</v>
      </c>
      <c r="C187" s="555">
        <v>0.99</v>
      </c>
      <c r="D187" s="525"/>
      <c r="E187" s="525"/>
      <c r="F187" s="525"/>
      <c r="G187" s="525"/>
      <c r="H187" s="525"/>
      <c r="I187" s="525"/>
      <c r="J187" s="525"/>
      <c r="K187" s="525"/>
      <c r="L187" s="525"/>
      <c r="M187" s="525"/>
      <c r="N187" s="525"/>
      <c r="O187" s="525"/>
      <c r="P187" s="490"/>
      <c r="Q187" s="490" t="s">
        <v>1271</v>
      </c>
      <c r="R187" s="533" t="s">
        <v>2496</v>
      </c>
      <c r="S187" s="495">
        <v>236</v>
      </c>
      <c r="T187" s="553" t="s">
        <v>2367</v>
      </c>
      <c r="U187" s="520" t="s">
        <v>2368</v>
      </c>
      <c r="V187" s="521" t="s">
        <v>11</v>
      </c>
      <c r="W187" s="522">
        <v>0</v>
      </c>
      <c r="X187" s="523" t="s">
        <v>2370</v>
      </c>
      <c r="Y187" s="524" t="e">
        <v>#REF!</v>
      </c>
      <c r="Z187" s="299" t="s">
        <v>2372</v>
      </c>
      <c r="AA187" s="79" t="s">
        <v>2373</v>
      </c>
      <c r="AB187" s="260"/>
      <c r="AC187" s="80" t="s">
        <v>11</v>
      </c>
      <c r="AD187" s="81">
        <v>98550000</v>
      </c>
      <c r="AE187" s="82"/>
      <c r="AF187" s="83">
        <v>0</v>
      </c>
      <c r="AG187" s="91"/>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row>
    <row r="188" spans="1:62" s="78" customFormat="1" ht="22.5" customHeight="1" thickBot="1">
      <c r="A188" s="508" t="s">
        <v>2497</v>
      </c>
      <c r="B188" s="558"/>
      <c r="C188" s="559"/>
      <c r="D188" s="560" t="s">
        <v>2376</v>
      </c>
      <c r="E188" s="560" t="s">
        <v>2377</v>
      </c>
      <c r="F188" s="560" t="s">
        <v>2378</v>
      </c>
      <c r="G188" s="560" t="s">
        <v>2379</v>
      </c>
      <c r="H188" s="560" t="s">
        <v>2380</v>
      </c>
      <c r="I188" s="560" t="s">
        <v>2380</v>
      </c>
      <c r="J188" s="560" t="s">
        <v>2380</v>
      </c>
      <c r="K188" s="560" t="s">
        <v>2381</v>
      </c>
      <c r="L188" s="560" t="s">
        <v>2381</v>
      </c>
      <c r="M188" s="560" t="s">
        <v>2382</v>
      </c>
      <c r="N188" s="560" t="s">
        <v>2383</v>
      </c>
      <c r="O188" s="560" t="s">
        <v>2376</v>
      </c>
      <c r="P188" s="495"/>
      <c r="Q188" s="495"/>
      <c r="R188" s="533"/>
      <c r="S188" s="495"/>
      <c r="T188" s="557"/>
      <c r="U188" s="531" t="s">
        <v>97</v>
      </c>
      <c r="V188" s="578" t="s">
        <v>99</v>
      </c>
      <c r="W188" s="579"/>
      <c r="X188" s="532" t="s">
        <v>9</v>
      </c>
      <c r="Y188" s="529">
        <v>0</v>
      </c>
      <c r="Z188" s="85"/>
      <c r="AA188" s="69"/>
      <c r="AB188" s="261"/>
      <c r="AC188" s="80"/>
      <c r="AD188" s="81"/>
      <c r="AE188" s="82" t="s">
        <v>2384</v>
      </c>
      <c r="AF188" s="83"/>
      <c r="AG188" s="77"/>
      <c r="AH188" s="77"/>
      <c r="AI188" s="77"/>
      <c r="AJ188" s="77"/>
      <c r="AK188" s="77"/>
      <c r="AL188" s="77"/>
      <c r="AM188" s="77"/>
      <c r="AN188" s="77"/>
      <c r="AO188" s="77"/>
      <c r="AP188" s="77"/>
      <c r="AQ188" s="77"/>
      <c r="AR188" s="77"/>
      <c r="AS188" s="77"/>
      <c r="AT188" s="77"/>
      <c r="AU188" s="77"/>
      <c r="AV188" s="77"/>
      <c r="AW188" s="77"/>
      <c r="AX188" s="77"/>
      <c r="AY188" s="77"/>
      <c r="AZ188" s="77"/>
      <c r="BA188" s="77"/>
      <c r="BB188" s="77"/>
      <c r="BC188" s="77"/>
      <c r="BD188" s="68"/>
      <c r="BE188" s="68"/>
      <c r="BF188" s="68"/>
      <c r="BG188" s="68"/>
      <c r="BH188" s="68"/>
      <c r="BI188" s="68"/>
      <c r="BJ188" s="68"/>
    </row>
    <row r="189" spans="1:62" s="78" customFormat="1" ht="22.5" customHeight="1" thickBot="1">
      <c r="A189" s="507" t="s">
        <v>2389</v>
      </c>
      <c r="B189" s="554">
        <v>0.93</v>
      </c>
      <c r="C189" s="555">
        <v>0.95000000000000007</v>
      </c>
      <c r="D189" s="525">
        <v>0.02</v>
      </c>
      <c r="E189" s="525"/>
      <c r="F189" s="525"/>
      <c r="G189" s="525"/>
      <c r="H189" s="525"/>
      <c r="I189" s="525"/>
      <c r="J189" s="525"/>
      <c r="K189" s="525"/>
      <c r="L189" s="525"/>
      <c r="M189" s="525"/>
      <c r="N189" s="525"/>
      <c r="O189" s="525"/>
      <c r="P189" s="490" t="s">
        <v>2392</v>
      </c>
      <c r="Q189" s="490" t="s">
        <v>2356</v>
      </c>
      <c r="R189" s="725" t="s">
        <v>2496</v>
      </c>
      <c r="S189" s="490">
        <v>1</v>
      </c>
      <c r="T189" s="553" t="s">
        <v>2390</v>
      </c>
      <c r="U189" s="520" t="s">
        <v>2391</v>
      </c>
      <c r="V189" s="521" t="s">
        <v>11</v>
      </c>
      <c r="W189" s="522">
        <v>0</v>
      </c>
      <c r="X189" s="523" t="s">
        <v>7</v>
      </c>
      <c r="Y189" s="524" t="e">
        <v>#REF!</v>
      </c>
      <c r="Z189" s="299" t="s">
        <v>2357</v>
      </c>
      <c r="AA189" s="79" t="s">
        <v>2358</v>
      </c>
      <c r="AB189" s="260"/>
      <c r="AC189" s="80" t="s">
        <v>11</v>
      </c>
      <c r="AD189" s="81">
        <v>106896000</v>
      </c>
      <c r="AE189" s="82"/>
      <c r="AF189" s="83">
        <v>0</v>
      </c>
      <c r="AG189" s="91"/>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row>
    <row r="190" spans="1:62" s="78" customFormat="1" ht="22.5" customHeight="1" thickBot="1">
      <c r="A190" s="508" t="s">
        <v>2497</v>
      </c>
      <c r="B190" s="558"/>
      <c r="C190" s="559"/>
      <c r="D190" s="813" t="s">
        <v>2393</v>
      </c>
      <c r="E190" s="818" t="s">
        <v>2394</v>
      </c>
      <c r="F190" s="818" t="s">
        <v>2383</v>
      </c>
      <c r="G190" s="560" t="s">
        <v>2383</v>
      </c>
      <c r="H190" s="560" t="s">
        <v>2393</v>
      </c>
      <c r="I190" s="560" t="s">
        <v>2393</v>
      </c>
      <c r="J190" s="560" t="s">
        <v>2393</v>
      </c>
      <c r="K190" s="560" t="s">
        <v>2393</v>
      </c>
      <c r="L190" s="560" t="s">
        <v>2395</v>
      </c>
      <c r="M190" s="560" t="s">
        <v>2395</v>
      </c>
      <c r="N190" s="560" t="s">
        <v>2395</v>
      </c>
      <c r="O190" s="560" t="s">
        <v>2395</v>
      </c>
      <c r="P190" s="495"/>
      <c r="Q190" s="495"/>
      <c r="R190" s="936"/>
      <c r="S190" s="502"/>
      <c r="T190" s="557"/>
      <c r="U190" s="531" t="s">
        <v>97</v>
      </c>
      <c r="V190" s="578" t="s">
        <v>99</v>
      </c>
      <c r="W190" s="579"/>
      <c r="X190" s="532" t="s">
        <v>9</v>
      </c>
      <c r="Y190" s="529">
        <v>0</v>
      </c>
      <c r="Z190" s="85"/>
      <c r="AA190" s="69"/>
      <c r="AB190" s="261"/>
      <c r="AC190" s="80"/>
      <c r="AD190" s="81"/>
      <c r="AE190" s="82" t="s">
        <v>2384</v>
      </c>
      <c r="AF190" s="83"/>
      <c r="AG190" s="77"/>
      <c r="AH190" s="77"/>
      <c r="AI190" s="77"/>
      <c r="AJ190" s="77"/>
      <c r="AK190" s="77"/>
      <c r="AL190" s="77"/>
      <c r="AM190" s="77"/>
      <c r="AN190" s="77"/>
      <c r="AO190" s="77"/>
      <c r="AP190" s="77"/>
      <c r="AQ190" s="77"/>
      <c r="AR190" s="77"/>
      <c r="AS190" s="77"/>
      <c r="AT190" s="77"/>
      <c r="AU190" s="77"/>
      <c r="AV190" s="77"/>
      <c r="AW190" s="77"/>
      <c r="AX190" s="77"/>
      <c r="AY190" s="77"/>
      <c r="AZ190" s="77"/>
      <c r="BA190" s="77"/>
      <c r="BB190" s="77"/>
      <c r="BC190" s="77"/>
      <c r="BD190" s="68"/>
      <c r="BE190" s="68"/>
      <c r="BF190" s="68"/>
      <c r="BG190" s="68"/>
      <c r="BH190" s="68"/>
      <c r="BI190" s="68"/>
      <c r="BJ190" s="68"/>
    </row>
    <row r="191" spans="1:62" s="78" customFormat="1" ht="22.5" customHeight="1" thickBot="1">
      <c r="A191" s="507" t="s">
        <v>2442</v>
      </c>
      <c r="B191" s="554">
        <v>0</v>
      </c>
      <c r="C191" s="555">
        <f>B191+D191+E191+F191+G191+H191+I191+J191+K191+L191+M191+N191+O191</f>
        <v>0</v>
      </c>
      <c r="D191" s="525"/>
      <c r="E191" s="525"/>
      <c r="F191" s="525"/>
      <c r="G191" s="525"/>
      <c r="H191" s="525"/>
      <c r="I191" s="525"/>
      <c r="J191" s="525"/>
      <c r="K191" s="525"/>
      <c r="L191" s="525"/>
      <c r="M191" s="525"/>
      <c r="N191" s="525"/>
      <c r="O191" s="525"/>
      <c r="P191" s="490"/>
      <c r="Q191" s="490" t="s">
        <v>2445</v>
      </c>
      <c r="R191" s="533"/>
      <c r="S191" s="726"/>
      <c r="T191" s="700" t="s">
        <v>2443</v>
      </c>
      <c r="U191" s="292" t="s">
        <v>2444</v>
      </c>
      <c r="V191" s="521" t="s">
        <v>2399</v>
      </c>
      <c r="W191" s="522">
        <f>BN191/1000000</f>
        <v>0</v>
      </c>
      <c r="X191" s="523" t="s">
        <v>7</v>
      </c>
      <c r="Y191" s="524" t="e">
        <f>W191-#REF!+Y192</f>
        <v>#REF!</v>
      </c>
      <c r="Z191" s="299" t="s">
        <v>90</v>
      </c>
      <c r="AA191" s="79" t="s">
        <v>872</v>
      </c>
      <c r="AB191" s="797"/>
      <c r="AC191" s="80" t="s">
        <v>2399</v>
      </c>
      <c r="AD191" s="81">
        <v>237140000</v>
      </c>
      <c r="AE191" s="82"/>
      <c r="AF191" s="83">
        <f>SUM(AG191:BC191)</f>
        <v>0</v>
      </c>
      <c r="AG191" s="91"/>
      <c r="AH191" s="92"/>
      <c r="AI191" s="92"/>
      <c r="AJ191" s="92"/>
      <c r="AK191" s="92"/>
      <c r="AL191" s="92"/>
      <c r="AM191" s="92"/>
      <c r="AN191" s="92"/>
      <c r="AO191" s="92"/>
      <c r="AP191" s="92"/>
      <c r="AQ191" s="92"/>
      <c r="AR191" s="92"/>
      <c r="AS191" s="92"/>
      <c r="AT191" s="92"/>
      <c r="AU191" s="92"/>
      <c r="AV191" s="92"/>
      <c r="AW191" s="92"/>
      <c r="AX191" s="92"/>
      <c r="AY191" s="92"/>
      <c r="AZ191" s="92"/>
      <c r="BA191" s="92"/>
      <c r="BB191" s="92"/>
      <c r="BC191" s="92"/>
    </row>
    <row r="192" spans="1:62" s="78" customFormat="1" ht="22.5" customHeight="1" thickBot="1">
      <c r="A192" s="508" t="s">
        <v>3057</v>
      </c>
      <c r="B192" s="558"/>
      <c r="C192" s="559"/>
      <c r="D192" s="813" t="s">
        <v>2242</v>
      </c>
      <c r="E192" s="818" t="s">
        <v>2242</v>
      </c>
      <c r="F192" s="780" t="s">
        <v>2242</v>
      </c>
      <c r="G192" s="780"/>
      <c r="H192" s="780"/>
      <c r="I192" s="780"/>
      <c r="J192" s="780"/>
      <c r="K192" s="780"/>
      <c r="L192" s="780" t="s">
        <v>2242</v>
      </c>
      <c r="M192" s="780" t="s">
        <v>2242</v>
      </c>
      <c r="N192" s="780" t="s">
        <v>2242</v>
      </c>
      <c r="O192" s="780" t="s">
        <v>2242</v>
      </c>
      <c r="P192" s="495"/>
      <c r="Q192" s="495"/>
      <c r="R192" s="533"/>
      <c r="S192" s="726"/>
      <c r="T192" s="784"/>
      <c r="U192" s="531" t="s">
        <v>854</v>
      </c>
      <c r="V192" s="578" t="s">
        <v>239</v>
      </c>
      <c r="W192" s="579"/>
      <c r="X192" s="532" t="s">
        <v>2401</v>
      </c>
      <c r="Y192" s="529">
        <f>BP192/1000000</f>
        <v>0</v>
      </c>
      <c r="Z192" s="85"/>
      <c r="AA192" s="69"/>
      <c r="AB192" s="798"/>
      <c r="AC192" s="80"/>
      <c r="AD192" s="81"/>
      <c r="AE192" s="82" t="s">
        <v>100</v>
      </c>
      <c r="AF192" s="83"/>
      <c r="AG192" s="77"/>
      <c r="AH192" s="77"/>
      <c r="AI192" s="77"/>
      <c r="AJ192" s="77"/>
      <c r="AK192" s="77"/>
      <c r="AL192" s="77"/>
      <c r="AM192" s="77"/>
      <c r="AN192" s="77"/>
      <c r="AO192" s="77"/>
      <c r="AP192" s="77"/>
      <c r="AQ192" s="77"/>
      <c r="AR192" s="77"/>
      <c r="AS192" s="77"/>
      <c r="AT192" s="77"/>
      <c r="AU192" s="77"/>
      <c r="AV192" s="77"/>
      <c r="AW192" s="77"/>
      <c r="AX192" s="77"/>
      <c r="AY192" s="77"/>
      <c r="AZ192" s="77"/>
      <c r="BA192" s="77"/>
      <c r="BB192" s="77"/>
      <c r="BC192" s="77"/>
      <c r="BD192" s="68"/>
      <c r="BE192" s="68"/>
      <c r="BF192" s="68"/>
      <c r="BG192" s="68"/>
      <c r="BH192" s="68"/>
      <c r="BI192" s="68"/>
      <c r="BJ192" s="68"/>
    </row>
    <row r="193" spans="1:62" s="78" customFormat="1" ht="22.5" customHeight="1" thickBot="1">
      <c r="A193" s="507" t="s">
        <v>1635</v>
      </c>
      <c r="B193" s="554">
        <v>0</v>
      </c>
      <c r="C193" s="555">
        <v>0</v>
      </c>
      <c r="D193" s="525"/>
      <c r="E193" s="525"/>
      <c r="F193" s="525"/>
      <c r="G193" s="525"/>
      <c r="H193" s="525"/>
      <c r="I193" s="525"/>
      <c r="J193" s="525"/>
      <c r="K193" s="525"/>
      <c r="L193" s="525"/>
      <c r="M193" s="525"/>
      <c r="N193" s="525"/>
      <c r="O193" s="525"/>
      <c r="P193" s="490"/>
      <c r="Q193" s="490" t="s">
        <v>2445</v>
      </c>
      <c r="R193" s="533"/>
      <c r="S193" s="495"/>
      <c r="T193" s="700" t="s">
        <v>2498</v>
      </c>
      <c r="U193" s="292" t="s">
        <v>2444</v>
      </c>
      <c r="V193" s="521" t="s">
        <v>11</v>
      </c>
      <c r="W193" s="522">
        <v>0</v>
      </c>
      <c r="X193" s="523" t="s">
        <v>868</v>
      </c>
      <c r="Y193" s="524" t="e">
        <v>#REF!</v>
      </c>
      <c r="Z193" s="299" t="s">
        <v>90</v>
      </c>
      <c r="AA193" s="79" t="s">
        <v>872</v>
      </c>
      <c r="AB193" s="797"/>
      <c r="AC193" s="80" t="s">
        <v>11</v>
      </c>
      <c r="AD193" s="81">
        <v>519010000</v>
      </c>
      <c r="AE193" s="82"/>
      <c r="AF193" s="83">
        <v>0</v>
      </c>
      <c r="AG193" s="91"/>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row>
    <row r="194" spans="1:62" s="78" customFormat="1" ht="22.5" customHeight="1" thickBot="1">
      <c r="A194" s="508" t="s">
        <v>777</v>
      </c>
      <c r="B194" s="558"/>
      <c r="C194" s="559"/>
      <c r="D194" s="813" t="s">
        <v>2407</v>
      </c>
      <c r="E194" s="818" t="s">
        <v>2407</v>
      </c>
      <c r="F194" s="780" t="s">
        <v>2407</v>
      </c>
      <c r="G194" s="780"/>
      <c r="H194" s="780"/>
      <c r="I194" s="780"/>
      <c r="J194" s="780"/>
      <c r="K194" s="780"/>
      <c r="L194" s="780" t="s">
        <v>2407</v>
      </c>
      <c r="M194" s="780" t="s">
        <v>2407</v>
      </c>
      <c r="N194" s="780" t="s">
        <v>2407</v>
      </c>
      <c r="O194" s="780" t="s">
        <v>2407</v>
      </c>
      <c r="P194" s="495"/>
      <c r="Q194" s="495"/>
      <c r="R194" s="533"/>
      <c r="S194" s="495"/>
      <c r="T194" s="784"/>
      <c r="U194" s="531" t="s">
        <v>97</v>
      </c>
      <c r="V194" s="578" t="s">
        <v>2402</v>
      </c>
      <c r="W194" s="579"/>
      <c r="X194" s="532" t="s">
        <v>9</v>
      </c>
      <c r="Y194" s="529">
        <v>0</v>
      </c>
      <c r="Z194" s="85"/>
      <c r="AA194" s="69"/>
      <c r="AB194" s="798"/>
      <c r="AC194" s="80"/>
      <c r="AD194" s="81"/>
      <c r="AE194" s="82" t="s">
        <v>197</v>
      </c>
      <c r="AF194" s="83"/>
      <c r="AG194" s="77"/>
      <c r="AH194" s="77"/>
      <c r="AI194" s="77"/>
      <c r="AJ194" s="77"/>
      <c r="AK194" s="77"/>
      <c r="AL194" s="77"/>
      <c r="AM194" s="77"/>
      <c r="AN194" s="77"/>
      <c r="AO194" s="77"/>
      <c r="AP194" s="77"/>
      <c r="AQ194" s="77"/>
      <c r="AR194" s="77"/>
      <c r="AS194" s="77"/>
      <c r="AT194" s="77"/>
      <c r="AU194" s="77"/>
      <c r="AV194" s="77"/>
      <c r="AW194" s="77"/>
      <c r="AX194" s="77"/>
      <c r="AY194" s="77"/>
      <c r="AZ194" s="77"/>
      <c r="BA194" s="77"/>
      <c r="BB194" s="77"/>
      <c r="BC194" s="77"/>
      <c r="BD194" s="68"/>
      <c r="BE194" s="68"/>
      <c r="BF194" s="68"/>
      <c r="BG194" s="68"/>
      <c r="BH194" s="68"/>
      <c r="BI194" s="68"/>
      <c r="BJ194" s="68"/>
    </row>
    <row r="195" spans="1:62" s="78" customFormat="1" ht="22.5" customHeight="1" thickBot="1">
      <c r="A195" s="507" t="s">
        <v>738</v>
      </c>
      <c r="B195" s="554">
        <v>0</v>
      </c>
      <c r="C195" s="555">
        <v>0.1</v>
      </c>
      <c r="D195" s="525"/>
      <c r="E195" s="525">
        <v>0.02</v>
      </c>
      <c r="F195" s="525">
        <v>0.02</v>
      </c>
      <c r="G195" s="525">
        <v>0.02</v>
      </c>
      <c r="H195" s="525">
        <v>0.02</v>
      </c>
      <c r="I195" s="525"/>
      <c r="J195" s="525"/>
      <c r="K195" s="525"/>
      <c r="L195" s="525"/>
      <c r="M195" s="525"/>
      <c r="N195" s="525">
        <v>0.02</v>
      </c>
      <c r="O195" s="525"/>
      <c r="P195" s="490"/>
      <c r="Q195" s="490" t="s">
        <v>2406</v>
      </c>
      <c r="R195" s="725"/>
      <c r="S195" s="490"/>
      <c r="T195" s="700" t="s">
        <v>2455</v>
      </c>
      <c r="U195" s="292" t="s">
        <v>2456</v>
      </c>
      <c r="V195" s="521" t="s">
        <v>11</v>
      </c>
      <c r="W195" s="522">
        <v>0</v>
      </c>
      <c r="X195" s="523" t="s">
        <v>868</v>
      </c>
      <c r="Y195" s="524" t="e">
        <v>#REF!</v>
      </c>
      <c r="Z195" s="299" t="s">
        <v>90</v>
      </c>
      <c r="AA195" s="79" t="s">
        <v>872</v>
      </c>
      <c r="AB195" s="260"/>
      <c r="AC195" s="80" t="s">
        <v>11</v>
      </c>
      <c r="AD195" s="81">
        <v>110000000</v>
      </c>
      <c r="AE195" s="82"/>
      <c r="AF195" s="83">
        <v>0</v>
      </c>
      <c r="AG195" s="91"/>
      <c r="AH195" s="92"/>
      <c r="AI195" s="92"/>
      <c r="AJ195" s="92"/>
      <c r="AK195" s="92"/>
      <c r="AL195" s="92"/>
      <c r="AM195" s="92"/>
      <c r="AN195" s="92"/>
      <c r="AO195" s="92"/>
      <c r="AP195" s="92"/>
      <c r="AQ195" s="92"/>
      <c r="AR195" s="92"/>
      <c r="AS195" s="92"/>
      <c r="AT195" s="92"/>
      <c r="AU195" s="92"/>
      <c r="AV195" s="92"/>
      <c r="AW195" s="92"/>
      <c r="AX195" s="92"/>
      <c r="AY195" s="92"/>
      <c r="AZ195" s="92"/>
      <c r="BA195" s="92"/>
      <c r="BB195" s="92"/>
      <c r="BC195" s="92"/>
    </row>
    <row r="196" spans="1:62" s="78" customFormat="1" ht="22.5" customHeight="1">
      <c r="A196" s="508" t="s">
        <v>777</v>
      </c>
      <c r="B196" s="558"/>
      <c r="C196" s="559"/>
      <c r="D196" s="813" t="s">
        <v>2407</v>
      </c>
      <c r="E196" s="560" t="s">
        <v>2457</v>
      </c>
      <c r="F196" s="560" t="s">
        <v>2458</v>
      </c>
      <c r="G196" s="560" t="s">
        <v>2459</v>
      </c>
      <c r="H196" s="560" t="s">
        <v>2459</v>
      </c>
      <c r="I196" s="560"/>
      <c r="J196" s="560"/>
      <c r="K196" s="560"/>
      <c r="L196" s="560"/>
      <c r="M196" s="560"/>
      <c r="N196" s="560" t="s">
        <v>2460</v>
      </c>
      <c r="O196" s="560"/>
      <c r="P196" s="495"/>
      <c r="Q196" s="495"/>
      <c r="R196" s="936"/>
      <c r="S196" s="502"/>
      <c r="T196" s="784"/>
      <c r="U196" s="531" t="s">
        <v>97</v>
      </c>
      <c r="V196" s="578" t="s">
        <v>2402</v>
      </c>
      <c r="W196" s="579"/>
      <c r="X196" s="532" t="s">
        <v>9</v>
      </c>
      <c r="Y196" s="529">
        <v>0</v>
      </c>
      <c r="Z196" s="85"/>
      <c r="AA196" s="69"/>
      <c r="AB196" s="261"/>
      <c r="AC196" s="80"/>
      <c r="AD196" s="81"/>
      <c r="AE196" s="82" t="s">
        <v>197</v>
      </c>
      <c r="AF196" s="83"/>
      <c r="AG196" s="77"/>
      <c r="AH196" s="77"/>
      <c r="AI196" s="77"/>
      <c r="AJ196" s="77"/>
      <c r="AK196" s="77"/>
      <c r="AL196" s="77"/>
      <c r="AM196" s="77"/>
      <c r="AN196" s="77"/>
      <c r="AO196" s="77"/>
      <c r="AP196" s="77"/>
      <c r="AQ196" s="77"/>
      <c r="AR196" s="77"/>
      <c r="AS196" s="77"/>
      <c r="AT196" s="77"/>
      <c r="AU196" s="77"/>
      <c r="AV196" s="77"/>
      <c r="AW196" s="77"/>
      <c r="AX196" s="77"/>
      <c r="AY196" s="77"/>
      <c r="AZ196" s="77"/>
      <c r="BA196" s="77"/>
      <c r="BB196" s="77"/>
      <c r="BC196" s="77"/>
      <c r="BD196" s="68"/>
      <c r="BE196" s="68"/>
      <c r="BF196" s="68"/>
      <c r="BG196" s="68"/>
      <c r="BH196" s="68"/>
      <c r="BI196" s="68"/>
      <c r="BJ196" s="68"/>
    </row>
  </sheetData>
  <phoneticPr fontId="2" type="noConversion"/>
  <printOptions horizontalCentered="1"/>
  <pageMargins left="0.15748031496062992" right="0.15748031496062992" top="0.47244094488188981" bottom="0.39370078740157483" header="0.31496062992125984" footer="0.31496062992125984"/>
  <pageSetup paperSize="9" scale="101" orientation="landscape" r:id="rId1"/>
  <rowBreaks count="3" manualBreakCount="3">
    <brk id="11" max="16" man="1"/>
    <brk id="23" max="16" man="1"/>
    <brk id="31" max="1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59"/>
  <sheetViews>
    <sheetView tabSelected="1" view="pageBreakPreview" zoomScale="85" zoomScaleNormal="115" zoomScaleSheetLayoutView="85" workbookViewId="0">
      <pane xSplit="1" ySplit="1" topLeftCell="B2" activePane="bottomRight" state="frozen"/>
      <selection activeCell="AI80" sqref="AI80:AI83"/>
      <selection pane="topRight" activeCell="AI80" sqref="AI80:AI83"/>
      <selection pane="bottomLeft" activeCell="AI80" sqref="AI80:AI83"/>
      <selection pane="bottomRight" activeCell="G9" sqref="G9"/>
    </sheetView>
  </sheetViews>
  <sheetFormatPr defaultColWidth="9" defaultRowHeight="30.75" customHeight="1"/>
  <cols>
    <col min="1" max="1" width="12.625" style="63" customWidth="1"/>
    <col min="2" max="2" width="5.25" style="64" customWidth="1"/>
    <col min="3" max="3" width="6.125" style="64" customWidth="1"/>
    <col min="4" max="15" width="8.875" style="63" customWidth="1"/>
    <col min="16" max="16" width="18.875" style="63" customWidth="1"/>
    <col min="17" max="17" width="11" style="63" customWidth="1"/>
    <col min="18" max="18" width="19.375" style="29" customWidth="1"/>
    <col min="19" max="19" width="9.875" style="63" customWidth="1"/>
    <col min="20" max="20" width="5.125" style="63" customWidth="1"/>
    <col min="21" max="21" width="8.75" style="63" customWidth="1"/>
    <col min="22" max="22" width="5.125" style="63" customWidth="1"/>
    <col min="23" max="23" width="8.625" style="63" customWidth="1"/>
    <col min="24" max="24" width="4.5" style="63" customWidth="1"/>
    <col min="25" max="26" width="5.125" style="63" customWidth="1"/>
    <col min="27" max="27" width="5.125" style="65" customWidth="1"/>
    <col min="28" max="30" width="5.125" style="62" customWidth="1"/>
    <col min="31" max="31" width="19.375" style="29" customWidth="1"/>
    <col min="32" max="32" width="9.875" style="63" customWidth="1"/>
    <col min="33" max="33" width="5.125" style="63" customWidth="1"/>
    <col min="34" max="34" width="8.75" style="63" customWidth="1"/>
    <col min="35" max="35" width="5.125" style="63" customWidth="1"/>
    <col min="36" max="36" width="8.625" style="63" customWidth="1"/>
    <col min="37" max="51" width="16" style="62" customWidth="1"/>
    <col min="52" max="16384" width="9" style="29"/>
  </cols>
  <sheetData>
    <row r="1" spans="1:58" ht="28.5" customHeight="1">
      <c r="A1" s="184" t="s">
        <v>0</v>
      </c>
      <c r="B1" s="6" t="s">
        <v>22</v>
      </c>
      <c r="C1" s="6" t="s">
        <v>23</v>
      </c>
      <c r="D1" s="115" t="s">
        <v>1062</v>
      </c>
      <c r="E1" s="115" t="s">
        <v>1063</v>
      </c>
      <c r="F1" s="217" t="s">
        <v>758</v>
      </c>
      <c r="G1" s="217" t="s">
        <v>759</v>
      </c>
      <c r="H1" s="217" t="s">
        <v>760</v>
      </c>
      <c r="I1" s="217" t="s">
        <v>761</v>
      </c>
      <c r="J1" s="217" t="s">
        <v>762</v>
      </c>
      <c r="K1" s="217" t="s">
        <v>763</v>
      </c>
      <c r="L1" s="217" t="s">
        <v>764</v>
      </c>
      <c r="M1" s="217" t="s">
        <v>765</v>
      </c>
      <c r="N1" s="217" t="s">
        <v>766</v>
      </c>
      <c r="O1" s="217" t="s">
        <v>767</v>
      </c>
      <c r="P1" s="184" t="s">
        <v>30</v>
      </c>
      <c r="Q1" s="8" t="s">
        <v>5</v>
      </c>
      <c r="R1" s="228" t="s">
        <v>24</v>
      </c>
      <c r="S1" s="228" t="s">
        <v>3</v>
      </c>
      <c r="T1" s="228" t="s">
        <v>28</v>
      </c>
      <c r="U1" s="228"/>
      <c r="V1" s="218" t="s">
        <v>29</v>
      </c>
      <c r="W1" s="217"/>
      <c r="X1" s="66" t="s">
        <v>1</v>
      </c>
      <c r="AE1" s="582"/>
      <c r="AF1" s="582"/>
      <c r="AG1" s="582"/>
      <c r="AH1" s="582"/>
      <c r="AI1" s="583"/>
      <c r="AJ1" s="582"/>
      <c r="AK1" s="54"/>
      <c r="AL1" s="54"/>
      <c r="AM1" s="54"/>
      <c r="AN1" s="54"/>
      <c r="AO1" s="54"/>
      <c r="AP1" s="54"/>
      <c r="AQ1" s="54"/>
      <c r="AR1" s="54"/>
      <c r="AS1" s="54"/>
      <c r="AT1" s="54"/>
      <c r="AU1" s="54"/>
      <c r="AV1" s="54"/>
      <c r="AW1" s="54"/>
      <c r="AX1" s="54"/>
      <c r="AY1" s="54"/>
    </row>
    <row r="2" spans="1:58" s="78" customFormat="1" ht="22.5" customHeight="1">
      <c r="A2" s="247" t="s">
        <v>1041</v>
      </c>
      <c r="B2" s="445">
        <v>0.56999999999999995</v>
      </c>
      <c r="C2" s="493">
        <f>B2+D2+E2+F2+G2+H2+I2+J2</f>
        <v>0.75500000000000012</v>
      </c>
      <c r="D2" s="297">
        <v>0.05</v>
      </c>
      <c r="E2" s="297">
        <v>0.05</v>
      </c>
      <c r="F2" s="297">
        <v>0.05</v>
      </c>
      <c r="G2" s="297">
        <v>0.02</v>
      </c>
      <c r="H2" s="297">
        <v>5.0000000000000001E-3</v>
      </c>
      <c r="I2" s="297">
        <v>5.0000000000000001E-3</v>
      </c>
      <c r="J2" s="297">
        <v>5.0000000000000001E-3</v>
      </c>
      <c r="K2" s="297">
        <v>5.0000000000000001E-3</v>
      </c>
      <c r="L2" s="297">
        <v>5.0000000000000001E-3</v>
      </c>
      <c r="M2" s="297">
        <v>0</v>
      </c>
      <c r="N2" s="297">
        <v>0.1</v>
      </c>
      <c r="O2" s="297"/>
      <c r="P2" s="415"/>
      <c r="Q2" s="415" t="s">
        <v>1044</v>
      </c>
      <c r="R2" s="444" t="s">
        <v>1042</v>
      </c>
      <c r="S2" s="431" t="s">
        <v>917</v>
      </c>
      <c r="T2" s="293" t="s">
        <v>814</v>
      </c>
      <c r="U2" s="294">
        <f>BK2/1100000</f>
        <v>0</v>
      </c>
      <c r="V2" s="412" t="s">
        <v>1043</v>
      </c>
      <c r="W2" s="432">
        <f>BM2/1100000</f>
        <v>0</v>
      </c>
      <c r="X2" s="80"/>
      <c r="Y2" s="80" t="s">
        <v>814</v>
      </c>
      <c r="Z2" s="81">
        <v>201672000</v>
      </c>
      <c r="AA2" s="82" t="s">
        <v>801</v>
      </c>
      <c r="AB2" s="326">
        <v>150511200</v>
      </c>
      <c r="AC2" s="541"/>
      <c r="AD2" s="541"/>
      <c r="AE2" s="541"/>
      <c r="AF2" s="541"/>
      <c r="AG2" s="541"/>
      <c r="AH2" s="538" t="s">
        <v>1291</v>
      </c>
      <c r="AI2" s="541"/>
      <c r="AJ2" s="541"/>
      <c r="AK2" s="541"/>
      <c r="AL2" s="541"/>
      <c r="AM2" s="541"/>
      <c r="AN2" s="541"/>
      <c r="AO2" s="541"/>
      <c r="AP2" s="802"/>
      <c r="AQ2" s="585"/>
      <c r="AR2" s="585"/>
      <c r="AS2" s="585"/>
      <c r="AT2" s="585"/>
      <c r="AU2" s="585"/>
      <c r="AV2" s="585"/>
      <c r="AW2" s="585"/>
      <c r="AX2" s="585"/>
      <c r="AY2" s="585"/>
    </row>
    <row r="3" spans="1:58" s="78" customFormat="1" ht="22.5" customHeight="1">
      <c r="A3" s="248"/>
      <c r="B3" s="448"/>
      <c r="C3" s="498"/>
      <c r="D3" s="451"/>
      <c r="E3" s="451"/>
      <c r="F3" s="451" t="s">
        <v>989</v>
      </c>
      <c r="G3" s="451"/>
      <c r="H3" s="451" t="s">
        <v>881</v>
      </c>
      <c r="I3" s="451" t="s">
        <v>881</v>
      </c>
      <c r="J3" s="451" t="s">
        <v>996</v>
      </c>
      <c r="K3" s="451" t="s">
        <v>996</v>
      </c>
      <c r="L3" s="451" t="s">
        <v>996</v>
      </c>
      <c r="M3" s="451" t="s">
        <v>996</v>
      </c>
      <c r="N3" s="451" t="s">
        <v>881</v>
      </c>
      <c r="O3" s="451"/>
      <c r="P3" s="424"/>
      <c r="Q3" s="421"/>
      <c r="R3" s="433"/>
      <c r="S3" s="435" t="s">
        <v>816</v>
      </c>
      <c r="T3" s="303" t="s">
        <v>817</v>
      </c>
      <c r="U3" s="304" t="e">
        <f>U2-#REF!</f>
        <v>#REF!</v>
      </c>
      <c r="V3" s="423" t="s">
        <v>817</v>
      </c>
      <c r="W3" s="419" t="e">
        <f>W2-#REF!</f>
        <v>#REF!</v>
      </c>
      <c r="X3" s="80"/>
      <c r="Y3" s="80" t="s">
        <v>817</v>
      </c>
      <c r="Z3" s="81">
        <v>141170000</v>
      </c>
      <c r="AA3" s="82" t="s">
        <v>817</v>
      </c>
      <c r="AB3" s="83" t="e">
        <f>AB2-#REF!</f>
        <v>#REF!</v>
      </c>
      <c r="AC3" s="541"/>
      <c r="AD3" s="541"/>
      <c r="AE3" s="541"/>
      <c r="AF3" s="541"/>
      <c r="AG3" s="541"/>
      <c r="AH3" s="538"/>
      <c r="AI3" s="541"/>
      <c r="AJ3" s="541"/>
      <c r="AK3" s="541"/>
      <c r="AL3" s="541"/>
      <c r="AM3" s="541"/>
      <c r="AN3" s="541"/>
      <c r="AO3" s="541"/>
      <c r="AP3" s="802"/>
      <c r="AQ3" s="585"/>
      <c r="AR3" s="585"/>
      <c r="AS3" s="585"/>
      <c r="AT3" s="585"/>
      <c r="AU3" s="585"/>
      <c r="AV3" s="585"/>
      <c r="AW3" s="585"/>
      <c r="AX3" s="585"/>
      <c r="AY3" s="585"/>
    </row>
    <row r="4" spans="1:58" s="350" customFormat="1" ht="22.5" customHeight="1">
      <c r="A4" s="458" t="s">
        <v>1046</v>
      </c>
      <c r="B4" s="460"/>
      <c r="C4" s="493">
        <f>B4+D4+E4+F4+G4+H4+I4+J4</f>
        <v>1</v>
      </c>
      <c r="D4" s="338"/>
      <c r="E4" s="338"/>
      <c r="F4" s="338"/>
      <c r="G4" s="338">
        <v>0.1</v>
      </c>
      <c r="H4" s="338">
        <v>0.8</v>
      </c>
      <c r="I4" s="338">
        <v>0.1</v>
      </c>
      <c r="J4" s="338"/>
      <c r="K4" s="338"/>
      <c r="L4" s="338"/>
      <c r="M4" s="338"/>
      <c r="N4" s="338"/>
      <c r="O4" s="338"/>
      <c r="P4" s="403"/>
      <c r="Q4" s="403" t="s">
        <v>1049</v>
      </c>
      <c r="R4" s="459" t="s">
        <v>1047</v>
      </c>
      <c r="S4" s="436" t="s">
        <v>1048</v>
      </c>
      <c r="T4" s="334" t="s">
        <v>814</v>
      </c>
      <c r="U4" s="335">
        <f>BK4/1100000</f>
        <v>0</v>
      </c>
      <c r="V4" s="400" t="s">
        <v>1043</v>
      </c>
      <c r="W4" s="437">
        <f>BM4/1100000</f>
        <v>0</v>
      </c>
      <c r="X4" s="343"/>
      <c r="Y4" s="343" t="s">
        <v>814</v>
      </c>
      <c r="Z4" s="344">
        <v>30300000</v>
      </c>
      <c r="AA4" s="359" t="s">
        <v>801</v>
      </c>
      <c r="AB4" s="346">
        <f>Z4*0.7</f>
        <v>21210000</v>
      </c>
      <c r="AC4" s="803"/>
      <c r="AD4" s="803"/>
      <c r="AE4" s="803"/>
      <c r="AF4" s="803"/>
      <c r="AG4" s="803"/>
      <c r="AH4" s="343"/>
      <c r="AI4" s="803"/>
      <c r="AJ4" s="803"/>
      <c r="AK4" s="803"/>
      <c r="AL4" s="803"/>
      <c r="AM4" s="803"/>
      <c r="AN4" s="803"/>
      <c r="AO4" s="803"/>
      <c r="AP4" s="804"/>
      <c r="AQ4" s="586"/>
      <c r="AR4" s="586"/>
      <c r="AS4" s="586"/>
      <c r="AT4" s="586"/>
      <c r="AU4" s="586"/>
      <c r="AV4" s="586"/>
      <c r="AW4" s="586"/>
      <c r="AX4" s="586"/>
      <c r="AY4" s="586"/>
    </row>
    <row r="5" spans="1:58" s="350" customFormat="1" ht="22.5" customHeight="1">
      <c r="A5" s="463"/>
      <c r="B5" s="464"/>
      <c r="C5" s="498"/>
      <c r="D5" s="467"/>
      <c r="E5" s="467"/>
      <c r="F5" s="467" t="s">
        <v>989</v>
      </c>
      <c r="G5" s="467"/>
      <c r="H5" s="467" t="s">
        <v>920</v>
      </c>
      <c r="I5" s="467" t="s">
        <v>1050</v>
      </c>
      <c r="J5" s="467" t="s">
        <v>1050</v>
      </c>
      <c r="K5" s="467" t="s">
        <v>996</v>
      </c>
      <c r="L5" s="467" t="s">
        <v>996</v>
      </c>
      <c r="M5" s="467" t="s">
        <v>996</v>
      </c>
      <c r="N5" s="467"/>
      <c r="O5" s="467"/>
      <c r="P5" s="408"/>
      <c r="Q5" s="405"/>
      <c r="R5" s="438"/>
      <c r="S5" s="439" t="s">
        <v>816</v>
      </c>
      <c r="T5" s="351" t="s">
        <v>817</v>
      </c>
      <c r="U5" s="352" t="e">
        <f>U4-#REF!</f>
        <v>#REF!</v>
      </c>
      <c r="V5" s="407" t="s">
        <v>817</v>
      </c>
      <c r="W5" s="404" t="e">
        <f>W4-#REF!</f>
        <v>#REF!</v>
      </c>
      <c r="X5" s="343"/>
      <c r="Y5" s="343" t="s">
        <v>817</v>
      </c>
      <c r="Z5" s="344">
        <v>0</v>
      </c>
      <c r="AA5" s="359" t="s">
        <v>817</v>
      </c>
      <c r="AB5" s="360" t="e">
        <f>AB4-#REF!</f>
        <v>#REF!</v>
      </c>
      <c r="AC5" s="803"/>
      <c r="AD5" s="803"/>
      <c r="AE5" s="803"/>
      <c r="AF5" s="803"/>
      <c r="AG5" s="803"/>
      <c r="AH5" s="343"/>
      <c r="AI5" s="803"/>
      <c r="AJ5" s="803"/>
      <c r="AK5" s="803"/>
      <c r="AL5" s="803"/>
      <c r="AM5" s="803"/>
      <c r="AN5" s="803"/>
      <c r="AO5" s="803"/>
      <c r="AP5" s="804"/>
      <c r="AQ5" s="586"/>
      <c r="AR5" s="586"/>
      <c r="AS5" s="586"/>
      <c r="AT5" s="586"/>
      <c r="AU5" s="586"/>
      <c r="AV5" s="586"/>
      <c r="AW5" s="586"/>
      <c r="AX5" s="586"/>
      <c r="AY5" s="586"/>
    </row>
    <row r="6" spans="1:58" s="78" customFormat="1" ht="22.5" customHeight="1">
      <c r="A6" s="490" t="s">
        <v>1378</v>
      </c>
      <c r="B6" s="622"/>
      <c r="C6" s="555">
        <f>B6+D6+E6+F6+G6+H6+I6+J6+K6+L6+M6+N6+O6</f>
        <v>0</v>
      </c>
      <c r="D6" s="525"/>
      <c r="E6" s="525"/>
      <c r="F6" s="525"/>
      <c r="G6" s="525"/>
      <c r="H6" s="525"/>
      <c r="I6" s="525"/>
      <c r="J6" s="525"/>
      <c r="K6" s="525"/>
      <c r="L6" s="525"/>
      <c r="M6" s="525"/>
      <c r="N6" s="525"/>
      <c r="O6" s="525"/>
      <c r="P6" s="494"/>
      <c r="Q6" s="494"/>
      <c r="R6" s="603" t="s">
        <v>1379</v>
      </c>
      <c r="S6" s="520" t="s">
        <v>1380</v>
      </c>
      <c r="T6" s="521" t="s">
        <v>89</v>
      </c>
      <c r="U6" s="522">
        <f>BH6/1100000</f>
        <v>0</v>
      </c>
      <c r="V6" s="523" t="s">
        <v>41</v>
      </c>
      <c r="W6" s="524" t="e">
        <f>#REF!/1100000</f>
        <v>#REF!</v>
      </c>
      <c r="X6" s="260" t="s">
        <v>1381</v>
      </c>
      <c r="Y6" s="80" t="s">
        <v>89</v>
      </c>
      <c r="Z6" s="81">
        <f>135062100*1.1</f>
        <v>148568310</v>
      </c>
      <c r="AA6" s="82"/>
      <c r="AB6" s="83">
        <f>SUM(AC6:AY6)</f>
        <v>0</v>
      </c>
      <c r="AC6" s="92"/>
      <c r="AD6" s="92"/>
      <c r="AE6" s="92"/>
      <c r="AF6" s="92"/>
      <c r="AG6" s="92"/>
      <c r="AH6" s="384" t="s">
        <v>1391</v>
      </c>
      <c r="AI6" s="92"/>
      <c r="AJ6" s="92"/>
      <c r="AK6" s="92"/>
      <c r="AL6" s="92"/>
      <c r="AM6" s="92"/>
      <c r="AN6" s="92"/>
      <c r="AO6" s="92"/>
      <c r="AP6" s="624"/>
      <c r="AQ6" s="625"/>
      <c r="AR6" s="625"/>
      <c r="AS6" s="625"/>
      <c r="AT6" s="625"/>
      <c r="AU6" s="625"/>
      <c r="AV6" s="625"/>
      <c r="AW6" s="625"/>
      <c r="AX6" s="625"/>
      <c r="AY6" s="625"/>
    </row>
    <row r="7" spans="1:58" s="78" customFormat="1" ht="22.5" customHeight="1">
      <c r="A7" s="495"/>
      <c r="B7" s="623"/>
      <c r="C7" s="559"/>
      <c r="D7" s="560"/>
      <c r="E7" s="560"/>
      <c r="F7" s="560"/>
      <c r="G7" s="560"/>
      <c r="H7" s="560"/>
      <c r="I7" s="560"/>
      <c r="J7" s="560"/>
      <c r="K7" s="560"/>
      <c r="L7" s="560"/>
      <c r="M7" s="560"/>
      <c r="N7" s="560"/>
      <c r="O7" s="560"/>
      <c r="P7" s="506"/>
      <c r="Q7" s="499"/>
      <c r="R7" s="604"/>
      <c r="S7" s="531" t="s">
        <v>1382</v>
      </c>
      <c r="T7" s="526" t="s">
        <v>817</v>
      </c>
      <c r="U7" s="527" t="e">
        <f>U6-#REF!</f>
        <v>#REF!</v>
      </c>
      <c r="V7" s="532" t="s">
        <v>817</v>
      </c>
      <c r="W7" s="529" t="e">
        <f>W6-#REF!</f>
        <v>#REF!</v>
      </c>
      <c r="X7" s="261"/>
      <c r="Y7" s="80" t="s">
        <v>817</v>
      </c>
      <c r="Z7" s="81" t="e">
        <f>Z6-#REF!</f>
        <v>#REF!</v>
      </c>
      <c r="AA7" s="82" t="s">
        <v>1045</v>
      </c>
      <c r="AB7" s="83">
        <f>SUM(AC7:AY7)</f>
        <v>0</v>
      </c>
      <c r="AC7" s="539"/>
      <c r="AD7" s="539"/>
      <c r="AE7" s="539"/>
      <c r="AF7" s="539"/>
      <c r="AG7" s="539"/>
      <c r="AH7" s="434"/>
      <c r="AI7" s="539"/>
      <c r="AJ7" s="539"/>
      <c r="AK7" s="539"/>
      <c r="AL7" s="539"/>
      <c r="AM7" s="539"/>
      <c r="AN7" s="539"/>
      <c r="AO7" s="539"/>
      <c r="AP7" s="805"/>
      <c r="AQ7" s="626"/>
      <c r="AR7" s="626"/>
      <c r="AS7" s="626"/>
      <c r="AT7" s="626"/>
      <c r="AU7" s="626"/>
      <c r="AV7" s="626"/>
      <c r="AW7" s="626"/>
      <c r="AX7" s="626"/>
      <c r="AY7" s="626"/>
      <c r="AZ7" s="68"/>
      <c r="BA7" s="68"/>
      <c r="BB7" s="68"/>
      <c r="BC7" s="68"/>
      <c r="BD7" s="68"/>
      <c r="BE7" s="68"/>
      <c r="BF7" s="68"/>
    </row>
    <row r="8" spans="1:58" s="78" customFormat="1" ht="22.5" customHeight="1">
      <c r="A8" s="490" t="s">
        <v>1383</v>
      </c>
      <c r="B8" s="622"/>
      <c r="C8" s="555">
        <f>B8+D8+E8+F8+G8+H8+I8+J8+K8+L8+M8+N8+O8</f>
        <v>0</v>
      </c>
      <c r="D8" s="525"/>
      <c r="E8" s="525"/>
      <c r="F8" s="525"/>
      <c r="G8" s="525"/>
      <c r="H8" s="525"/>
      <c r="I8" s="525"/>
      <c r="J8" s="525"/>
      <c r="K8" s="525"/>
      <c r="L8" s="525"/>
      <c r="M8" s="525"/>
      <c r="N8" s="525"/>
      <c r="O8" s="525"/>
      <c r="P8" s="494" t="s">
        <v>1386</v>
      </c>
      <c r="Q8" s="494"/>
      <c r="R8" s="491" t="s">
        <v>1384</v>
      </c>
      <c r="S8" s="594" t="s">
        <v>1385</v>
      </c>
      <c r="T8" s="521" t="s">
        <v>814</v>
      </c>
      <c r="U8" s="522">
        <f>BH8/1100000</f>
        <v>0</v>
      </c>
      <c r="V8" s="523" t="s">
        <v>1043</v>
      </c>
      <c r="W8" s="524" t="e">
        <f>#REF!/1100000</f>
        <v>#REF!</v>
      </c>
      <c r="X8" s="260" t="s">
        <v>1387</v>
      </c>
      <c r="Y8" s="80" t="s">
        <v>814</v>
      </c>
      <c r="Z8" s="81">
        <v>188109000</v>
      </c>
      <c r="AA8" s="82"/>
      <c r="AB8" s="83">
        <f>SUM(AC8:AY8)</f>
        <v>0</v>
      </c>
      <c r="AC8" s="92"/>
      <c r="AD8" s="92"/>
      <c r="AE8" s="92"/>
      <c r="AF8" s="92"/>
      <c r="AG8" s="92"/>
      <c r="AH8" s="384"/>
      <c r="AI8" s="92"/>
      <c r="AJ8" s="92"/>
      <c r="AK8" s="92"/>
      <c r="AL8" s="92"/>
      <c r="AM8" s="92"/>
      <c r="AN8" s="92"/>
      <c r="AO8" s="92"/>
      <c r="AP8" s="624"/>
      <c r="AQ8" s="625"/>
      <c r="AR8" s="625"/>
      <c r="AS8" s="625"/>
      <c r="AT8" s="625"/>
      <c r="AU8" s="625"/>
      <c r="AV8" s="625"/>
      <c r="AW8" s="625"/>
      <c r="AX8" s="625"/>
      <c r="AY8" s="625"/>
    </row>
    <row r="9" spans="1:58" s="78" customFormat="1" ht="22.5" customHeight="1">
      <c r="A9" s="495"/>
      <c r="B9" s="623"/>
      <c r="C9" s="559"/>
      <c r="D9" s="560"/>
      <c r="E9" s="560"/>
      <c r="F9" s="560"/>
      <c r="G9" s="560"/>
      <c r="H9" s="560"/>
      <c r="I9" s="560"/>
      <c r="J9" s="560"/>
      <c r="K9" s="560"/>
      <c r="L9" s="560"/>
      <c r="M9" s="560"/>
      <c r="N9" s="560"/>
      <c r="O9" s="560"/>
      <c r="P9" s="506"/>
      <c r="Q9" s="499"/>
      <c r="R9" s="496"/>
      <c r="S9" s="531" t="s">
        <v>1388</v>
      </c>
      <c r="T9" s="526" t="s">
        <v>817</v>
      </c>
      <c r="U9" s="527" t="e">
        <f>U8-#REF!</f>
        <v>#REF!</v>
      </c>
      <c r="V9" s="532" t="s">
        <v>817</v>
      </c>
      <c r="W9" s="529" t="e">
        <f>W8-#REF!</f>
        <v>#REF!</v>
      </c>
      <c r="X9" s="261"/>
      <c r="Y9" s="80" t="s">
        <v>817</v>
      </c>
      <c r="Z9" s="81" t="e">
        <f>Z8-#REF!</f>
        <v>#REF!</v>
      </c>
      <c r="AA9" s="82" t="s">
        <v>1045</v>
      </c>
      <c r="AB9" s="83">
        <f>SUM(AC9:AY9)</f>
        <v>60500000</v>
      </c>
      <c r="AC9" s="539">
        <v>20000000</v>
      </c>
      <c r="AD9" s="539">
        <v>20500000</v>
      </c>
      <c r="AE9" s="539">
        <v>20000000</v>
      </c>
      <c r="AF9" s="539"/>
      <c r="AG9" s="539"/>
      <c r="AH9" s="434"/>
      <c r="AI9" s="539"/>
      <c r="AJ9" s="539"/>
      <c r="AK9" s="539"/>
      <c r="AL9" s="539"/>
      <c r="AM9" s="539"/>
      <c r="AN9" s="539"/>
      <c r="AO9" s="539"/>
      <c r="AP9" s="805"/>
      <c r="AQ9" s="626"/>
      <c r="AR9" s="626"/>
      <c r="AS9" s="626"/>
      <c r="AT9" s="626"/>
      <c r="AU9" s="626"/>
      <c r="AV9" s="626"/>
      <c r="AW9" s="626"/>
      <c r="AX9" s="626"/>
      <c r="AY9" s="626"/>
      <c r="AZ9" s="68"/>
      <c r="BA9" s="68"/>
      <c r="BB9" s="68"/>
      <c r="BC9" s="68"/>
      <c r="BD9" s="68"/>
      <c r="BE9" s="68"/>
      <c r="BF9" s="68"/>
    </row>
    <row r="10" spans="1:58" s="741" customFormat="1" ht="22.5" customHeight="1">
      <c r="A10" s="490" t="s">
        <v>1802</v>
      </c>
      <c r="B10" s="554">
        <v>0.21</v>
      </c>
      <c r="C10" s="555">
        <f>B10+D10+E10+F10+G10+H10+I10+J10+K10+L10+M10+N10+O10</f>
        <v>1</v>
      </c>
      <c r="D10" s="525">
        <v>0.28999999999999998</v>
      </c>
      <c r="E10" s="525"/>
      <c r="F10" s="525"/>
      <c r="G10" s="525"/>
      <c r="H10" s="525"/>
      <c r="I10" s="525">
        <v>0.4</v>
      </c>
      <c r="J10" s="525"/>
      <c r="K10" s="525"/>
      <c r="L10" s="525"/>
      <c r="M10" s="525"/>
      <c r="N10" s="525">
        <v>0.1</v>
      </c>
      <c r="O10" s="525"/>
      <c r="P10" s="247" t="s">
        <v>1805</v>
      </c>
      <c r="Q10" s="490" t="s">
        <v>1806</v>
      </c>
      <c r="R10" s="700" t="s">
        <v>1803</v>
      </c>
      <c r="S10" s="67" t="s">
        <v>1804</v>
      </c>
      <c r="T10" s="521" t="s">
        <v>89</v>
      </c>
      <c r="U10" s="753">
        <f>BH10/1100000</f>
        <v>0</v>
      </c>
      <c r="V10" s="523" t="s">
        <v>41</v>
      </c>
      <c r="W10" s="767" t="e">
        <f>#REF!/1100000</f>
        <v>#REF!</v>
      </c>
      <c r="X10" s="782"/>
      <c r="Y10" s="735" t="s">
        <v>1679</v>
      </c>
      <c r="Z10" s="744">
        <f>AP11*0.1</f>
        <v>138550000</v>
      </c>
      <c r="AA10" s="749" t="s">
        <v>1681</v>
      </c>
      <c r="AB10" s="738">
        <f t="shared" ref="AB10:AB15" si="0">SUM(AC10:AN10)</f>
        <v>0</v>
      </c>
      <c r="AC10" s="740"/>
      <c r="AD10" s="740"/>
      <c r="AE10" s="740"/>
      <c r="AF10" s="740"/>
      <c r="AG10" s="740"/>
      <c r="AH10" s="832" t="s">
        <v>1825</v>
      </c>
      <c r="AI10" s="740"/>
      <c r="AJ10" s="740"/>
      <c r="AK10" s="740"/>
      <c r="AL10" s="740"/>
      <c r="AM10" s="740"/>
      <c r="AN10" s="740"/>
      <c r="AO10" s="806"/>
      <c r="AP10" s="807" t="s">
        <v>1807</v>
      </c>
    </row>
    <row r="11" spans="1:58" s="741" customFormat="1" ht="22.5" customHeight="1">
      <c r="A11" s="495"/>
      <c r="B11" s="558"/>
      <c r="C11" s="559"/>
      <c r="D11" s="780"/>
      <c r="E11" s="780"/>
      <c r="F11" s="780"/>
      <c r="G11" s="780"/>
      <c r="H11" s="780"/>
      <c r="I11" s="780"/>
      <c r="J11" s="780"/>
      <c r="K11" s="785"/>
      <c r="L11" s="780"/>
      <c r="M11" s="780"/>
      <c r="N11" s="780" t="s">
        <v>1050</v>
      </c>
      <c r="O11" s="780"/>
      <c r="P11" s="248"/>
      <c r="Q11" s="495"/>
      <c r="R11" s="784"/>
      <c r="S11" s="74" t="s">
        <v>1808</v>
      </c>
      <c r="T11" s="526" t="s">
        <v>196</v>
      </c>
      <c r="U11" s="527" t="e">
        <f>U10-#REF!</f>
        <v>#REF!</v>
      </c>
      <c r="V11" s="532" t="s">
        <v>817</v>
      </c>
      <c r="W11" s="529" t="e">
        <f>W10-#REF!</f>
        <v>#REF!</v>
      </c>
      <c r="X11" s="783"/>
      <c r="Y11" s="735" t="s">
        <v>1688</v>
      </c>
      <c r="Z11" s="744" t="e">
        <f>Z10-#REF!</f>
        <v>#REF!</v>
      </c>
      <c r="AA11" s="749" t="s">
        <v>1809</v>
      </c>
      <c r="AB11" s="738">
        <f t="shared" si="0"/>
        <v>0</v>
      </c>
      <c r="AC11" s="740"/>
      <c r="AD11" s="740"/>
      <c r="AE11" s="740"/>
      <c r="AF11" s="740"/>
      <c r="AG11" s="740"/>
      <c r="AH11" s="832"/>
      <c r="AI11" s="740"/>
      <c r="AJ11" s="740"/>
      <c r="AK11" s="740"/>
      <c r="AL11" s="740"/>
      <c r="AM11" s="740"/>
      <c r="AN11" s="740"/>
      <c r="AO11" s="808" t="s">
        <v>1810</v>
      </c>
      <c r="AP11" s="809">
        <v>1385500000</v>
      </c>
      <c r="AQ11" s="745"/>
      <c r="AR11" s="745"/>
      <c r="AS11" s="745"/>
      <c r="AT11" s="745"/>
      <c r="AU11" s="745"/>
    </row>
    <row r="12" spans="1:58" s="741" customFormat="1" ht="22.5" customHeight="1">
      <c r="A12" s="490" t="s">
        <v>1811</v>
      </c>
      <c r="B12" s="554">
        <v>0.04</v>
      </c>
      <c r="C12" s="555">
        <f>B12+D12+E12+F12+G12+H12+I12+J12+K12+L12+M12+N12+O12</f>
        <v>0.8</v>
      </c>
      <c r="D12" s="525">
        <v>0.26</v>
      </c>
      <c r="E12" s="525"/>
      <c r="F12" s="525"/>
      <c r="G12" s="525"/>
      <c r="H12" s="525"/>
      <c r="I12" s="525">
        <v>0.5</v>
      </c>
      <c r="J12" s="525"/>
      <c r="K12" s="525"/>
      <c r="L12" s="525"/>
      <c r="M12" s="525"/>
      <c r="N12" s="525"/>
      <c r="O12" s="525"/>
      <c r="P12" s="247" t="s">
        <v>1814</v>
      </c>
      <c r="Q12" s="490" t="s">
        <v>1815</v>
      </c>
      <c r="R12" s="254" t="s">
        <v>1812</v>
      </c>
      <c r="S12" s="67" t="s">
        <v>1813</v>
      </c>
      <c r="T12" s="521" t="s">
        <v>814</v>
      </c>
      <c r="U12" s="753">
        <f>BH12/1100000</f>
        <v>0</v>
      </c>
      <c r="V12" s="523" t="s">
        <v>1043</v>
      </c>
      <c r="W12" s="767" t="e">
        <f>#REF!/1100000</f>
        <v>#REF!</v>
      </c>
      <c r="X12" s="774"/>
      <c r="Y12" s="735" t="s">
        <v>1680</v>
      </c>
      <c r="Z12" s="744">
        <f>AP13*AP12%</f>
        <v>125430000</v>
      </c>
      <c r="AA12" s="749" t="s">
        <v>1682</v>
      </c>
      <c r="AB12" s="738">
        <f t="shared" si="0"/>
        <v>0</v>
      </c>
      <c r="AC12" s="740"/>
      <c r="AD12" s="740"/>
      <c r="AE12" s="740"/>
      <c r="AF12" s="740"/>
      <c r="AG12" s="740"/>
      <c r="AH12" s="832"/>
      <c r="AI12" s="740"/>
      <c r="AJ12" s="740"/>
      <c r="AK12" s="740"/>
      <c r="AL12" s="740"/>
      <c r="AM12" s="740"/>
      <c r="AN12" s="740"/>
      <c r="AO12" s="806"/>
      <c r="AP12" s="810" t="s">
        <v>1816</v>
      </c>
    </row>
    <row r="13" spans="1:58" s="741" customFormat="1" ht="22.5" customHeight="1">
      <c r="A13" s="495"/>
      <c r="B13" s="558"/>
      <c r="C13" s="559"/>
      <c r="D13" s="560"/>
      <c r="E13" s="560"/>
      <c r="F13" s="560"/>
      <c r="G13" s="560"/>
      <c r="H13" s="560"/>
      <c r="I13" s="560"/>
      <c r="J13" s="560"/>
      <c r="K13" s="501"/>
      <c r="L13" s="560"/>
      <c r="M13" s="560"/>
      <c r="N13" s="560"/>
      <c r="O13" s="560"/>
      <c r="P13" s="248"/>
      <c r="Q13" s="495"/>
      <c r="R13" s="255"/>
      <c r="S13" s="74" t="s">
        <v>1817</v>
      </c>
      <c r="T13" s="526" t="s">
        <v>196</v>
      </c>
      <c r="U13" s="527" t="e">
        <f>U12-#REF!</f>
        <v>#REF!</v>
      </c>
      <c r="V13" s="532" t="s">
        <v>196</v>
      </c>
      <c r="W13" s="529" t="e">
        <f>W12-#REF!</f>
        <v>#REF!</v>
      </c>
      <c r="X13" s="775"/>
      <c r="Y13" s="735" t="s">
        <v>1687</v>
      </c>
      <c r="Z13" s="744" t="e">
        <f>Z12-#REF!</f>
        <v>#REF!</v>
      </c>
      <c r="AA13" s="749" t="s">
        <v>1818</v>
      </c>
      <c r="AB13" s="738">
        <f t="shared" si="0"/>
        <v>0</v>
      </c>
      <c r="AC13" s="740"/>
      <c r="AD13" s="740"/>
      <c r="AE13" s="740"/>
      <c r="AF13" s="740"/>
      <c r="AG13" s="740"/>
      <c r="AH13" s="832"/>
      <c r="AI13" s="740"/>
      <c r="AJ13" s="740"/>
      <c r="AK13" s="740"/>
      <c r="AL13" s="740"/>
      <c r="AM13" s="740"/>
      <c r="AN13" s="740"/>
      <c r="AO13" s="808" t="s">
        <v>1819</v>
      </c>
      <c r="AP13" s="809">
        <v>1254300000</v>
      </c>
      <c r="AQ13" s="745"/>
      <c r="AR13" s="745"/>
      <c r="AS13" s="745"/>
      <c r="AT13" s="745"/>
      <c r="AU13" s="745"/>
    </row>
    <row r="14" spans="1:58" s="741" customFormat="1" ht="22.5" customHeight="1">
      <c r="A14" s="490" t="s">
        <v>1820</v>
      </c>
      <c r="B14" s="554">
        <v>0</v>
      </c>
      <c r="C14" s="555">
        <f>B14+D14+E14+F14+G14+H14+I14+J14+K14+L14+M14+N14+O14</f>
        <v>0.3</v>
      </c>
      <c r="D14" s="525"/>
      <c r="E14" s="525"/>
      <c r="F14" s="525"/>
      <c r="G14" s="525"/>
      <c r="H14" s="525"/>
      <c r="I14" s="525"/>
      <c r="J14" s="525"/>
      <c r="K14" s="525"/>
      <c r="L14" s="525">
        <v>0.3</v>
      </c>
      <c r="M14" s="525"/>
      <c r="N14" s="525"/>
      <c r="O14" s="525"/>
      <c r="P14" s="247" t="s">
        <v>1823</v>
      </c>
      <c r="Q14" s="490" t="s">
        <v>1824</v>
      </c>
      <c r="R14" s="254" t="s">
        <v>1821</v>
      </c>
      <c r="S14" s="67" t="s">
        <v>1822</v>
      </c>
      <c r="T14" s="521" t="s">
        <v>89</v>
      </c>
      <c r="U14" s="522">
        <f>BH14/1100000</f>
        <v>0</v>
      </c>
      <c r="V14" s="523" t="s">
        <v>41</v>
      </c>
      <c r="W14" s="767" t="e">
        <f>#REF!/1100000</f>
        <v>#REF!</v>
      </c>
      <c r="X14" s="774"/>
      <c r="Y14" s="735" t="s">
        <v>1679</v>
      </c>
      <c r="Z14" s="744">
        <v>702998100</v>
      </c>
      <c r="AA14" s="749" t="s">
        <v>1681</v>
      </c>
      <c r="AB14" s="738">
        <f t="shared" si="0"/>
        <v>0</v>
      </c>
      <c r="AC14" s="740"/>
      <c r="AD14" s="740"/>
      <c r="AE14" s="740"/>
      <c r="AF14" s="740"/>
      <c r="AG14" s="740"/>
      <c r="AH14" s="832"/>
      <c r="AI14" s="740"/>
      <c r="AJ14" s="740"/>
      <c r="AK14" s="740"/>
      <c r="AL14" s="740"/>
      <c r="AM14" s="740"/>
      <c r="AN14" s="740"/>
      <c r="AO14" s="806"/>
      <c r="AP14" s="810" t="s">
        <v>1816</v>
      </c>
    </row>
    <row r="15" spans="1:58" s="741" customFormat="1" ht="22.5" customHeight="1">
      <c r="A15" s="495"/>
      <c r="B15" s="558"/>
      <c r="C15" s="559"/>
      <c r="D15" s="560"/>
      <c r="E15" s="560"/>
      <c r="F15" s="560"/>
      <c r="G15" s="560"/>
      <c r="H15" s="560"/>
      <c r="I15" s="560"/>
      <c r="J15" s="560"/>
      <c r="K15" s="501"/>
      <c r="L15" s="560"/>
      <c r="M15" s="560"/>
      <c r="N15" s="560"/>
      <c r="O15" s="560"/>
      <c r="P15" s="248"/>
      <c r="Q15" s="495"/>
      <c r="R15" s="255"/>
      <c r="S15" s="746" t="s">
        <v>1698</v>
      </c>
      <c r="T15" s="526" t="s">
        <v>817</v>
      </c>
      <c r="U15" s="527" t="e">
        <f>U14-#REF!</f>
        <v>#REF!</v>
      </c>
      <c r="V15" s="532" t="s">
        <v>817</v>
      </c>
      <c r="W15" s="529" t="e">
        <f>W14-#REF!</f>
        <v>#REF!</v>
      </c>
      <c r="X15" s="775"/>
      <c r="Y15" s="735" t="s">
        <v>1688</v>
      </c>
      <c r="Z15" s="744" t="e">
        <f>Z14-#REF!</f>
        <v>#REF!</v>
      </c>
      <c r="AA15" s="749" t="s">
        <v>1809</v>
      </c>
      <c r="AB15" s="738">
        <f t="shared" si="0"/>
        <v>0</v>
      </c>
      <c r="AC15" s="740"/>
      <c r="AD15" s="740"/>
      <c r="AE15" s="740"/>
      <c r="AF15" s="740"/>
      <c r="AG15" s="740"/>
      <c r="AH15" s="832"/>
      <c r="AI15" s="740"/>
      <c r="AJ15" s="740"/>
      <c r="AK15" s="740"/>
      <c r="AL15" s="740"/>
      <c r="AM15" s="740"/>
      <c r="AN15" s="740"/>
      <c r="AO15" s="808" t="s">
        <v>1810</v>
      </c>
      <c r="AP15" s="809">
        <v>1254300000</v>
      </c>
      <c r="AQ15" s="745"/>
      <c r="AR15" s="745"/>
      <c r="AS15" s="745"/>
      <c r="AT15" s="745"/>
      <c r="AU15" s="745"/>
    </row>
    <row r="16" spans="1:58" s="78" customFormat="1" ht="22.5" customHeight="1">
      <c r="A16" s="257" t="s">
        <v>2094</v>
      </c>
      <c r="B16" s="554">
        <v>1</v>
      </c>
      <c r="C16" s="555">
        <f>B16+D16+E16+F16+G16+H16+I16+J16+K16+L16+M16+N16+O16</f>
        <v>1</v>
      </c>
      <c r="D16" s="525"/>
      <c r="E16" s="525"/>
      <c r="F16" s="525"/>
      <c r="G16" s="525"/>
      <c r="H16" s="525"/>
      <c r="I16" s="525"/>
      <c r="J16" s="525"/>
      <c r="K16" s="525"/>
      <c r="L16" s="525"/>
      <c r="M16" s="525"/>
      <c r="N16" s="525"/>
      <c r="O16" s="525"/>
      <c r="P16" s="566" t="s">
        <v>1121</v>
      </c>
      <c r="Q16" s="490" t="s">
        <v>2097</v>
      </c>
      <c r="R16" s="553" t="s">
        <v>2095</v>
      </c>
      <c r="S16" s="520" t="s">
        <v>2096</v>
      </c>
      <c r="T16" s="521" t="s">
        <v>89</v>
      </c>
      <c r="U16" s="522">
        <f>BH16/1100000</f>
        <v>0</v>
      </c>
      <c r="V16" s="523" t="s">
        <v>41</v>
      </c>
      <c r="W16" s="524" t="e">
        <f>#REF!/1100000</f>
        <v>#REF!</v>
      </c>
      <c r="X16" s="260"/>
      <c r="Y16" s="80" t="s">
        <v>89</v>
      </c>
      <c r="Z16" s="20">
        <v>200079000</v>
      </c>
      <c r="AA16" s="82"/>
      <c r="AB16" s="83">
        <f>SUM(AC16:AY16)</f>
        <v>0</v>
      </c>
      <c r="AC16" s="91"/>
      <c r="AD16" s="92"/>
      <c r="AE16" s="92"/>
      <c r="AF16" s="92"/>
      <c r="AG16" s="92"/>
      <c r="AH16" s="384" t="s">
        <v>2206</v>
      </c>
      <c r="AI16" s="92"/>
      <c r="AJ16" s="92"/>
      <c r="AK16" s="92"/>
      <c r="AL16" s="92"/>
      <c r="AM16" s="92"/>
      <c r="AN16" s="92"/>
      <c r="AO16" s="92"/>
      <c r="AP16" s="92"/>
      <c r="AQ16" s="92"/>
      <c r="AR16" s="92"/>
      <c r="AS16" s="92"/>
      <c r="AT16" s="92"/>
      <c r="AU16" s="92"/>
      <c r="AV16" s="92"/>
      <c r="AW16" s="92"/>
      <c r="AX16" s="92"/>
      <c r="AY16" s="92"/>
    </row>
    <row r="17" spans="1:51" s="78" customFormat="1" ht="22.5" customHeight="1">
      <c r="A17" s="258"/>
      <c r="B17" s="558"/>
      <c r="C17" s="559"/>
      <c r="D17" s="560"/>
      <c r="E17" s="560"/>
      <c r="F17" s="560"/>
      <c r="G17" s="560"/>
      <c r="H17" s="560"/>
      <c r="I17" s="560"/>
      <c r="J17" s="560"/>
      <c r="K17" s="560"/>
      <c r="L17" s="560"/>
      <c r="M17" s="560"/>
      <c r="N17" s="560"/>
      <c r="O17" s="560"/>
      <c r="P17" s="601"/>
      <c r="Q17" s="495"/>
      <c r="R17" s="557"/>
      <c r="S17" s="531" t="s">
        <v>2099</v>
      </c>
      <c r="T17" s="526" t="s">
        <v>2100</v>
      </c>
      <c r="U17" s="527" t="e">
        <f>U16-#REF!</f>
        <v>#REF!</v>
      </c>
      <c r="V17" s="532" t="s">
        <v>2100</v>
      </c>
      <c r="W17" s="529" t="e">
        <f>W16-#REF!</f>
        <v>#REF!</v>
      </c>
      <c r="X17" s="261"/>
      <c r="Y17" s="80" t="s">
        <v>2100</v>
      </c>
      <c r="Z17" s="20" t="e">
        <f>Z16-#REF!</f>
        <v>#REF!</v>
      </c>
      <c r="AA17" s="82" t="s">
        <v>2098</v>
      </c>
      <c r="AB17" s="83" t="e">
        <f>#REF!-#REF!</f>
        <v>#REF!</v>
      </c>
      <c r="AC17" s="77"/>
      <c r="AD17" s="77"/>
      <c r="AE17" s="77"/>
      <c r="AF17" s="77"/>
      <c r="AG17" s="77"/>
      <c r="AH17" s="277"/>
      <c r="AI17" s="77"/>
      <c r="AJ17" s="77"/>
      <c r="AK17" s="77"/>
      <c r="AL17" s="77"/>
      <c r="AM17" s="77"/>
      <c r="AN17" s="77"/>
      <c r="AO17" s="77"/>
      <c r="AP17" s="77"/>
      <c r="AQ17" s="77"/>
      <c r="AR17" s="77"/>
      <c r="AS17" s="77"/>
      <c r="AT17" s="77"/>
      <c r="AU17" s="77"/>
      <c r="AV17" s="77"/>
      <c r="AW17" s="77"/>
      <c r="AX17" s="77"/>
      <c r="AY17" s="77"/>
    </row>
    <row r="18" spans="1:51" s="78" customFormat="1" ht="22.5" customHeight="1">
      <c r="A18" s="257" t="s">
        <v>2102</v>
      </c>
      <c r="B18" s="554">
        <v>1</v>
      </c>
      <c r="C18" s="555">
        <f>B18+D18+E18+F18+G18+H18+I18+J18+K18+L18+M18+N18+O18</f>
        <v>1</v>
      </c>
      <c r="D18" s="525"/>
      <c r="E18" s="525"/>
      <c r="F18" s="525"/>
      <c r="G18" s="525"/>
      <c r="H18" s="525"/>
      <c r="I18" s="525"/>
      <c r="J18" s="525"/>
      <c r="K18" s="525"/>
      <c r="L18" s="525"/>
      <c r="M18" s="525"/>
      <c r="N18" s="525"/>
      <c r="O18" s="525"/>
      <c r="P18" s="490" t="s">
        <v>2107</v>
      </c>
      <c r="Q18" s="490" t="s">
        <v>2108</v>
      </c>
      <c r="R18" s="553" t="s">
        <v>2103</v>
      </c>
      <c r="S18" s="520" t="s">
        <v>2104</v>
      </c>
      <c r="T18" s="521" t="s">
        <v>2105</v>
      </c>
      <c r="U18" s="522">
        <f>BH18/1100000</f>
        <v>0</v>
      </c>
      <c r="V18" s="523" t="s">
        <v>2106</v>
      </c>
      <c r="W18" s="524" t="e">
        <f>#REF!/1100000</f>
        <v>#REF!</v>
      </c>
      <c r="X18" s="260"/>
      <c r="Y18" s="80" t="s">
        <v>2105</v>
      </c>
      <c r="Z18" s="20">
        <v>117661000</v>
      </c>
      <c r="AA18" s="82"/>
      <c r="AB18" s="83">
        <f>SUM(AC18:AY18)</f>
        <v>0</v>
      </c>
      <c r="AC18" s="91"/>
      <c r="AD18" s="92"/>
      <c r="AE18" s="92"/>
      <c r="AF18" s="92"/>
      <c r="AG18" s="92"/>
      <c r="AH18" s="384"/>
      <c r="AI18" s="92"/>
      <c r="AJ18" s="92"/>
      <c r="AK18" s="92"/>
      <c r="AL18" s="92"/>
      <c r="AM18" s="92"/>
      <c r="AN18" s="92"/>
      <c r="AO18" s="92"/>
      <c r="AP18" s="92"/>
      <c r="AQ18" s="92"/>
      <c r="AR18" s="92"/>
      <c r="AS18" s="92"/>
      <c r="AT18" s="92"/>
      <c r="AU18" s="92"/>
      <c r="AV18" s="92"/>
      <c r="AW18" s="92"/>
      <c r="AX18" s="92"/>
      <c r="AY18" s="92"/>
    </row>
    <row r="19" spans="1:51" s="78" customFormat="1" ht="22.5" customHeight="1">
      <c r="A19" s="258"/>
      <c r="B19" s="558"/>
      <c r="C19" s="559"/>
      <c r="D19" s="560"/>
      <c r="E19" s="560"/>
      <c r="F19" s="560"/>
      <c r="G19" s="560"/>
      <c r="H19" s="560"/>
      <c r="I19" s="560"/>
      <c r="J19" s="560"/>
      <c r="K19" s="560"/>
      <c r="L19" s="560"/>
      <c r="M19" s="560"/>
      <c r="N19" s="560"/>
      <c r="O19" s="560"/>
      <c r="P19" s="495"/>
      <c r="Q19" s="495"/>
      <c r="R19" s="557"/>
      <c r="S19" s="531" t="s">
        <v>2110</v>
      </c>
      <c r="T19" s="526" t="s">
        <v>2101</v>
      </c>
      <c r="U19" s="527" t="e">
        <f>U18-#REF!</f>
        <v>#REF!</v>
      </c>
      <c r="V19" s="532" t="s">
        <v>2101</v>
      </c>
      <c r="W19" s="529" t="e">
        <f>W18-#REF!</f>
        <v>#REF!</v>
      </c>
      <c r="X19" s="261"/>
      <c r="Y19" s="80" t="s">
        <v>2101</v>
      </c>
      <c r="Z19" s="20" t="e">
        <f>Z18-#REF!</f>
        <v>#REF!</v>
      </c>
      <c r="AA19" s="82" t="s">
        <v>2109</v>
      </c>
      <c r="AB19" s="83" t="e">
        <f>#REF!-#REF!</f>
        <v>#REF!</v>
      </c>
      <c r="AC19" s="77"/>
      <c r="AD19" s="77"/>
      <c r="AE19" s="77"/>
      <c r="AF19" s="77"/>
      <c r="AG19" s="77"/>
      <c r="AH19" s="277"/>
      <c r="AI19" s="77"/>
      <c r="AJ19" s="77"/>
      <c r="AK19" s="77"/>
      <c r="AL19" s="77"/>
      <c r="AM19" s="77"/>
      <c r="AN19" s="77"/>
      <c r="AO19" s="77"/>
      <c r="AP19" s="77"/>
      <c r="AQ19" s="77"/>
      <c r="AR19" s="77"/>
      <c r="AS19" s="77"/>
      <c r="AT19" s="77"/>
      <c r="AU19" s="77"/>
      <c r="AV19" s="77"/>
      <c r="AW19" s="77"/>
      <c r="AX19" s="77"/>
      <c r="AY19" s="77"/>
    </row>
    <row r="20" spans="1:51" s="78" customFormat="1" ht="22.5" customHeight="1">
      <c r="A20" s="257" t="s">
        <v>2111</v>
      </c>
      <c r="B20" s="554">
        <v>0.9</v>
      </c>
      <c r="C20" s="555">
        <f>B20+D20+E20+F20+G20+H20+I20+J20+K20+L20+M20+N20+O20</f>
        <v>0.92</v>
      </c>
      <c r="D20" s="525">
        <v>0.01</v>
      </c>
      <c r="E20" s="525">
        <v>0.01</v>
      </c>
      <c r="F20" s="525"/>
      <c r="G20" s="525"/>
      <c r="H20" s="525"/>
      <c r="I20" s="525"/>
      <c r="J20" s="525"/>
      <c r="K20" s="525"/>
      <c r="L20" s="525"/>
      <c r="M20" s="525"/>
      <c r="N20" s="525"/>
      <c r="O20" s="525"/>
      <c r="P20" s="566" t="s">
        <v>2114</v>
      </c>
      <c r="Q20" s="490" t="s">
        <v>2115</v>
      </c>
      <c r="R20" s="553" t="s">
        <v>2112</v>
      </c>
      <c r="S20" s="520" t="s">
        <v>2113</v>
      </c>
      <c r="T20" s="521" t="s">
        <v>2105</v>
      </c>
      <c r="U20" s="522">
        <f>BH20/1100000</f>
        <v>0</v>
      </c>
      <c r="V20" s="523" t="s">
        <v>2106</v>
      </c>
      <c r="W20" s="524" t="e">
        <f>#REF!/1100000</f>
        <v>#REF!</v>
      </c>
      <c r="X20" s="260"/>
      <c r="Y20" s="80" t="s">
        <v>2105</v>
      </c>
      <c r="Z20" s="20">
        <v>106035000</v>
      </c>
      <c r="AA20" s="82"/>
      <c r="AB20" s="83">
        <f>SUM(AC20:AY20)</f>
        <v>0</v>
      </c>
      <c r="AC20" s="91"/>
      <c r="AD20" s="92"/>
      <c r="AE20" s="92"/>
      <c r="AF20" s="92"/>
      <c r="AG20" s="92"/>
      <c r="AH20" s="384"/>
      <c r="AI20" s="92"/>
      <c r="AJ20" s="92"/>
      <c r="AK20" s="92"/>
      <c r="AL20" s="92"/>
      <c r="AM20" s="92"/>
      <c r="AN20" s="92"/>
      <c r="AO20" s="92"/>
      <c r="AP20" s="92"/>
      <c r="AQ20" s="92"/>
      <c r="AR20" s="92"/>
      <c r="AS20" s="92"/>
      <c r="AT20" s="92"/>
      <c r="AU20" s="92"/>
      <c r="AV20" s="92"/>
      <c r="AW20" s="92"/>
      <c r="AX20" s="92"/>
      <c r="AY20" s="92"/>
    </row>
    <row r="21" spans="1:51" s="78" customFormat="1" ht="22.5" customHeight="1">
      <c r="A21" s="258"/>
      <c r="B21" s="558"/>
      <c r="C21" s="559"/>
      <c r="D21" s="560"/>
      <c r="E21" s="560"/>
      <c r="F21" s="560"/>
      <c r="G21" s="560"/>
      <c r="H21" s="560"/>
      <c r="I21" s="560"/>
      <c r="J21" s="560"/>
      <c r="K21" s="560"/>
      <c r="L21" s="560"/>
      <c r="M21" s="560"/>
      <c r="N21" s="560"/>
      <c r="O21" s="560"/>
      <c r="P21" s="601"/>
      <c r="Q21" s="495"/>
      <c r="R21" s="557"/>
      <c r="S21" s="531" t="s">
        <v>2117</v>
      </c>
      <c r="T21" s="526" t="s">
        <v>2101</v>
      </c>
      <c r="U21" s="527" t="e">
        <f>U20-#REF!</f>
        <v>#REF!</v>
      </c>
      <c r="V21" s="532" t="s">
        <v>2101</v>
      </c>
      <c r="W21" s="529" t="e">
        <f>W20-#REF!</f>
        <v>#REF!</v>
      </c>
      <c r="X21" s="261"/>
      <c r="Y21" s="80" t="s">
        <v>2101</v>
      </c>
      <c r="Z21" s="20" t="e">
        <f>Z20-#REF!</f>
        <v>#REF!</v>
      </c>
      <c r="AA21" s="82" t="s">
        <v>2109</v>
      </c>
      <c r="AB21" s="83" t="e">
        <f>#REF!-#REF!</f>
        <v>#REF!</v>
      </c>
      <c r="AC21" s="77"/>
      <c r="AD21" s="77"/>
      <c r="AE21" s="77"/>
      <c r="AF21" s="77"/>
      <c r="AG21" s="77"/>
      <c r="AH21" s="277"/>
      <c r="AI21" s="77"/>
      <c r="AJ21" s="77"/>
      <c r="AK21" s="77"/>
      <c r="AL21" s="77"/>
      <c r="AM21" s="77"/>
      <c r="AN21" s="77"/>
      <c r="AO21" s="77"/>
      <c r="AP21" s="77"/>
      <c r="AQ21" s="77"/>
      <c r="AR21" s="77"/>
      <c r="AS21" s="77"/>
      <c r="AT21" s="77"/>
      <c r="AU21" s="77"/>
      <c r="AV21" s="77"/>
      <c r="AW21" s="77"/>
      <c r="AX21" s="77"/>
      <c r="AY21" s="77"/>
    </row>
    <row r="22" spans="1:51" s="78" customFormat="1" ht="22.5" customHeight="1">
      <c r="A22" s="257" t="s">
        <v>2118</v>
      </c>
      <c r="B22" s="554">
        <v>0.9</v>
      </c>
      <c r="C22" s="555">
        <f>B22+D22+E22+F22+G22+H22+I22+J22+K22+L22+M22+N22+O22</f>
        <v>0.93</v>
      </c>
      <c r="D22" s="525">
        <v>0.01</v>
      </c>
      <c r="E22" s="525">
        <v>0.01</v>
      </c>
      <c r="F22" s="525">
        <v>0.01</v>
      </c>
      <c r="G22" s="525"/>
      <c r="H22" s="525"/>
      <c r="I22" s="525"/>
      <c r="J22" s="525"/>
      <c r="K22" s="525"/>
      <c r="L22" s="525"/>
      <c r="M22" s="525"/>
      <c r="N22" s="525"/>
      <c r="O22" s="525"/>
      <c r="P22" s="566" t="s">
        <v>2121</v>
      </c>
      <c r="Q22" s="490" t="s">
        <v>2122</v>
      </c>
      <c r="R22" s="553" t="s">
        <v>2119</v>
      </c>
      <c r="S22" s="537" t="s">
        <v>2120</v>
      </c>
      <c r="T22" s="521" t="s">
        <v>2105</v>
      </c>
      <c r="U22" s="522">
        <f>BH22/1100000</f>
        <v>0</v>
      </c>
      <c r="V22" s="523" t="s">
        <v>2106</v>
      </c>
      <c r="W22" s="524" t="e">
        <f>#REF!/1100000</f>
        <v>#REF!</v>
      </c>
      <c r="X22" s="260"/>
      <c r="Y22" s="80" t="s">
        <v>2105</v>
      </c>
      <c r="Z22" s="20">
        <v>133199000</v>
      </c>
      <c r="AA22" s="82"/>
      <c r="AB22" s="83">
        <f>SUM(AC22:AY22)</f>
        <v>0</v>
      </c>
      <c r="AC22" s="91"/>
      <c r="AD22" s="92"/>
      <c r="AE22" s="92"/>
      <c r="AF22" s="92"/>
      <c r="AG22" s="92"/>
      <c r="AH22" s="384"/>
      <c r="AI22" s="92"/>
      <c r="AJ22" s="92"/>
      <c r="AK22" s="92"/>
      <c r="AL22" s="92"/>
      <c r="AM22" s="92"/>
      <c r="AN22" s="92"/>
      <c r="AO22" s="92"/>
      <c r="AP22" s="92"/>
      <c r="AQ22" s="92"/>
      <c r="AR22" s="92"/>
      <c r="AS22" s="92"/>
      <c r="AT22" s="92"/>
      <c r="AU22" s="92"/>
      <c r="AV22" s="92"/>
      <c r="AW22" s="92"/>
      <c r="AX22" s="92"/>
      <c r="AY22" s="92"/>
    </row>
    <row r="23" spans="1:51" s="78" customFormat="1" ht="22.5" customHeight="1">
      <c r="A23" s="258"/>
      <c r="B23" s="558"/>
      <c r="C23" s="559"/>
      <c r="D23" s="560"/>
      <c r="E23" s="560"/>
      <c r="F23" s="560"/>
      <c r="G23" s="560"/>
      <c r="H23" s="560"/>
      <c r="I23" s="560"/>
      <c r="J23" s="560"/>
      <c r="K23" s="560"/>
      <c r="L23" s="560"/>
      <c r="M23" s="560"/>
      <c r="N23" s="560"/>
      <c r="O23" s="560"/>
      <c r="P23" s="601"/>
      <c r="Q23" s="495"/>
      <c r="R23" s="557"/>
      <c r="S23" s="531" t="s">
        <v>2123</v>
      </c>
      <c r="T23" s="526" t="s">
        <v>2101</v>
      </c>
      <c r="U23" s="527" t="e">
        <f>U22-#REF!</f>
        <v>#REF!</v>
      </c>
      <c r="V23" s="532" t="s">
        <v>2101</v>
      </c>
      <c r="W23" s="529" t="e">
        <f>W22-#REF!</f>
        <v>#REF!</v>
      </c>
      <c r="X23" s="261"/>
      <c r="Y23" s="80" t="s">
        <v>2101</v>
      </c>
      <c r="Z23" s="20" t="e">
        <f>Z22-#REF!</f>
        <v>#REF!</v>
      </c>
      <c r="AA23" s="82" t="s">
        <v>2109</v>
      </c>
      <c r="AB23" s="83" t="e">
        <f>#REF!-#REF!</f>
        <v>#REF!</v>
      </c>
      <c r="AC23" s="77"/>
      <c r="AD23" s="77">
        <v>0</v>
      </c>
      <c r="AE23" s="77"/>
      <c r="AF23" s="77"/>
      <c r="AG23" s="77"/>
      <c r="AH23" s="277"/>
      <c r="AI23" s="77"/>
      <c r="AJ23" s="77"/>
      <c r="AK23" s="77"/>
      <c r="AL23" s="77"/>
      <c r="AM23" s="77"/>
      <c r="AN23" s="77"/>
      <c r="AO23" s="77"/>
      <c r="AP23" s="77"/>
      <c r="AQ23" s="77"/>
      <c r="AR23" s="77"/>
      <c r="AS23" s="77"/>
      <c r="AT23" s="77"/>
      <c r="AU23" s="77"/>
      <c r="AV23" s="77"/>
      <c r="AW23" s="77"/>
      <c r="AX23" s="77"/>
      <c r="AY23" s="77"/>
    </row>
    <row r="24" spans="1:51" s="78" customFormat="1" ht="22.5" customHeight="1">
      <c r="A24" s="257" t="s">
        <v>2124</v>
      </c>
      <c r="B24" s="554">
        <v>0.9</v>
      </c>
      <c r="C24" s="555">
        <f>B24+D24+E24+F24+G24+H24+I24+J24+K24+L24+M24+N24+O24</f>
        <v>1</v>
      </c>
      <c r="D24" s="525">
        <v>0.01</v>
      </c>
      <c r="E24" s="525">
        <v>0.01</v>
      </c>
      <c r="F24" s="525">
        <v>0.01</v>
      </c>
      <c r="G24" s="525"/>
      <c r="H24" s="525"/>
      <c r="I24" s="525"/>
      <c r="J24" s="525"/>
      <c r="K24" s="525">
        <v>7.0000000000000007E-2</v>
      </c>
      <c r="L24" s="525"/>
      <c r="M24" s="525"/>
      <c r="N24" s="525"/>
      <c r="O24" s="525"/>
      <c r="P24" s="566" t="s">
        <v>1193</v>
      </c>
      <c r="Q24" s="490" t="s">
        <v>2127</v>
      </c>
      <c r="R24" s="553" t="s">
        <v>2125</v>
      </c>
      <c r="S24" s="520" t="s">
        <v>2126</v>
      </c>
      <c r="T24" s="521" t="s">
        <v>814</v>
      </c>
      <c r="U24" s="522">
        <f>BH24/1100000</f>
        <v>0</v>
      </c>
      <c r="V24" s="523" t="s">
        <v>1043</v>
      </c>
      <c r="W24" s="524" t="e">
        <f>#REF!/1100000</f>
        <v>#REF!</v>
      </c>
      <c r="X24" s="260"/>
      <c r="Y24" s="80" t="s">
        <v>814</v>
      </c>
      <c r="Z24" s="20">
        <v>102256000</v>
      </c>
      <c r="AA24" s="82"/>
      <c r="AB24" s="83">
        <f>SUM(AC24:AY24)</f>
        <v>0</v>
      </c>
      <c r="AC24" s="91"/>
      <c r="AD24" s="92"/>
      <c r="AE24" s="92"/>
      <c r="AF24" s="92"/>
      <c r="AG24" s="92"/>
      <c r="AH24" s="384"/>
      <c r="AI24" s="92"/>
      <c r="AJ24" s="92"/>
      <c r="AK24" s="92"/>
      <c r="AL24" s="92"/>
      <c r="AM24" s="92"/>
      <c r="AN24" s="92"/>
      <c r="AO24" s="92"/>
      <c r="AP24" s="92"/>
      <c r="AQ24" s="92"/>
      <c r="AR24" s="92"/>
      <c r="AS24" s="92"/>
      <c r="AT24" s="92"/>
      <c r="AU24" s="92"/>
      <c r="AV24" s="92"/>
      <c r="AW24" s="92"/>
      <c r="AX24" s="92"/>
      <c r="AY24" s="92"/>
    </row>
    <row r="25" spans="1:51" s="78" customFormat="1" ht="22.5" customHeight="1">
      <c r="A25" s="258"/>
      <c r="B25" s="558"/>
      <c r="C25" s="559"/>
      <c r="D25" s="560"/>
      <c r="E25" s="560"/>
      <c r="F25" s="560"/>
      <c r="G25" s="560"/>
      <c r="H25" s="560"/>
      <c r="I25" s="560"/>
      <c r="J25" s="560"/>
      <c r="K25" s="560"/>
      <c r="L25" s="560"/>
      <c r="M25" s="560"/>
      <c r="N25" s="560"/>
      <c r="O25" s="560"/>
      <c r="P25" s="601"/>
      <c r="Q25" s="495"/>
      <c r="R25" s="557"/>
      <c r="S25" s="531"/>
      <c r="T25" s="526" t="s">
        <v>2101</v>
      </c>
      <c r="U25" s="527" t="e">
        <f>U24-#REF!</f>
        <v>#REF!</v>
      </c>
      <c r="V25" s="532" t="s">
        <v>2101</v>
      </c>
      <c r="W25" s="529" t="e">
        <f>W24-#REF!</f>
        <v>#REF!</v>
      </c>
      <c r="X25" s="261"/>
      <c r="Y25" s="80" t="s">
        <v>2101</v>
      </c>
      <c r="Z25" s="20" t="e">
        <f>Z24-#REF!</f>
        <v>#REF!</v>
      </c>
      <c r="AA25" s="82" t="s">
        <v>2109</v>
      </c>
      <c r="AB25" s="83" t="e">
        <f>#REF!-#REF!</f>
        <v>#REF!</v>
      </c>
      <c r="AC25" s="77"/>
      <c r="AD25" s="77"/>
      <c r="AE25" s="77"/>
      <c r="AF25" s="77"/>
      <c r="AG25" s="77"/>
      <c r="AH25" s="277"/>
      <c r="AI25" s="77"/>
      <c r="AJ25" s="77"/>
      <c r="AK25" s="77"/>
      <c r="AL25" s="77"/>
      <c r="AM25" s="77"/>
      <c r="AN25" s="77"/>
      <c r="AO25" s="77"/>
      <c r="AP25" s="77"/>
      <c r="AQ25" s="77"/>
      <c r="AR25" s="77"/>
      <c r="AS25" s="77"/>
      <c r="AT25" s="77"/>
      <c r="AU25" s="77"/>
      <c r="AV25" s="77"/>
      <c r="AW25" s="77"/>
      <c r="AX25" s="77"/>
      <c r="AY25" s="77"/>
    </row>
    <row r="26" spans="1:51" s="78" customFormat="1" ht="22.5" customHeight="1">
      <c r="A26" s="257" t="s">
        <v>2128</v>
      </c>
      <c r="B26" s="554">
        <v>0.82</v>
      </c>
      <c r="C26" s="555">
        <f>B26+D26+E26+F26+G26+H26+I26+J26+K26+L26+M26+N26+O26</f>
        <v>0.95000000000000007</v>
      </c>
      <c r="D26" s="525">
        <v>0.05</v>
      </c>
      <c r="E26" s="525">
        <v>0.05</v>
      </c>
      <c r="F26" s="525">
        <v>0.03</v>
      </c>
      <c r="G26" s="525"/>
      <c r="H26" s="525"/>
      <c r="I26" s="525"/>
      <c r="J26" s="525"/>
      <c r="K26" s="525"/>
      <c r="L26" s="525"/>
      <c r="M26" s="525"/>
      <c r="N26" s="525"/>
      <c r="O26" s="525"/>
      <c r="P26" s="490" t="s">
        <v>2131</v>
      </c>
      <c r="Q26" s="490" t="s">
        <v>2132</v>
      </c>
      <c r="R26" s="553" t="s">
        <v>2129</v>
      </c>
      <c r="S26" s="520" t="s">
        <v>2130</v>
      </c>
      <c r="T26" s="521" t="s">
        <v>814</v>
      </c>
      <c r="U26" s="522">
        <f>BH26/1100000</f>
        <v>0</v>
      </c>
      <c r="V26" s="523" t="s">
        <v>1043</v>
      </c>
      <c r="W26" s="524" t="e">
        <f>#REF!/1100000</f>
        <v>#REF!</v>
      </c>
      <c r="X26" s="260" t="s">
        <v>1421</v>
      </c>
      <c r="Y26" s="80" t="s">
        <v>814</v>
      </c>
      <c r="Z26" s="20">
        <v>66555000</v>
      </c>
      <c r="AA26" s="82"/>
      <c r="AB26" s="83">
        <f>SUM(AC26:AY26)</f>
        <v>0</v>
      </c>
      <c r="AC26" s="91" t="s">
        <v>1078</v>
      </c>
      <c r="AD26" s="92"/>
      <c r="AE26" s="92" t="s">
        <v>1079</v>
      </c>
      <c r="AF26" s="92"/>
      <c r="AG26" s="92"/>
      <c r="AH26" s="384" t="s">
        <v>2499</v>
      </c>
      <c r="AI26" s="92"/>
      <c r="AJ26" s="92"/>
      <c r="AK26" s="92"/>
      <c r="AL26" s="92" t="s">
        <v>2499</v>
      </c>
      <c r="AM26" s="92"/>
      <c r="AN26" s="92"/>
      <c r="AO26" s="92"/>
      <c r="AP26" s="92"/>
      <c r="AQ26" s="92"/>
      <c r="AR26" s="92"/>
      <c r="AS26" s="92"/>
      <c r="AT26" s="92"/>
      <c r="AU26" s="92"/>
      <c r="AV26" s="92"/>
      <c r="AW26" s="92"/>
      <c r="AX26" s="92"/>
      <c r="AY26" s="92"/>
    </row>
    <row r="27" spans="1:51" s="78" customFormat="1" ht="22.5" customHeight="1">
      <c r="A27" s="258"/>
      <c r="B27" s="558"/>
      <c r="C27" s="559"/>
      <c r="D27" s="560"/>
      <c r="E27" s="560"/>
      <c r="F27" s="560"/>
      <c r="G27" s="560"/>
      <c r="H27" s="560"/>
      <c r="I27" s="560"/>
      <c r="J27" s="560"/>
      <c r="K27" s="560"/>
      <c r="L27" s="560"/>
      <c r="M27" s="560"/>
      <c r="N27" s="560"/>
      <c r="O27" s="560"/>
      <c r="P27" s="495"/>
      <c r="Q27" s="495"/>
      <c r="R27" s="557"/>
      <c r="S27" s="531" t="s">
        <v>2133</v>
      </c>
      <c r="T27" s="526" t="s">
        <v>817</v>
      </c>
      <c r="U27" s="527" t="e">
        <f>U26-#REF!</f>
        <v>#REF!</v>
      </c>
      <c r="V27" s="532" t="s">
        <v>817</v>
      </c>
      <c r="W27" s="529" t="e">
        <f>W26-#REF!</f>
        <v>#REF!</v>
      </c>
      <c r="X27" s="261"/>
      <c r="Y27" s="80" t="s">
        <v>817</v>
      </c>
      <c r="Z27" s="20" t="e">
        <f>Z26-#REF!</f>
        <v>#REF!</v>
      </c>
      <c r="AA27" s="82" t="s">
        <v>1045</v>
      </c>
      <c r="AB27" s="83" t="e">
        <f>#REF!-#REF!</f>
        <v>#REF!</v>
      </c>
      <c r="AC27" s="77"/>
      <c r="AD27" s="77"/>
      <c r="AE27" s="77"/>
      <c r="AF27" s="77"/>
      <c r="AG27" s="77"/>
      <c r="AH27" s="277"/>
      <c r="AI27" s="77"/>
      <c r="AJ27" s="77"/>
      <c r="AK27" s="77"/>
      <c r="AL27" s="77"/>
      <c r="AM27" s="77"/>
      <c r="AN27" s="77"/>
      <c r="AO27" s="77"/>
      <c r="AP27" s="77"/>
      <c r="AQ27" s="77"/>
      <c r="AR27" s="77"/>
      <c r="AS27" s="77"/>
      <c r="AT27" s="77"/>
      <c r="AU27" s="77"/>
      <c r="AV27" s="77"/>
      <c r="AW27" s="77"/>
      <c r="AX27" s="77"/>
      <c r="AY27" s="77"/>
    </row>
    <row r="28" spans="1:51" s="78" customFormat="1" ht="22.5" customHeight="1">
      <c r="A28" s="257" t="s">
        <v>2135</v>
      </c>
      <c r="B28" s="554">
        <v>0.99</v>
      </c>
      <c r="C28" s="555">
        <f>B28+D28+E28+F28+G28+H28+I28+J28+K28+L28+M28+N28+O28</f>
        <v>1</v>
      </c>
      <c r="D28" s="525"/>
      <c r="E28" s="525">
        <v>0.01</v>
      </c>
      <c r="F28" s="525"/>
      <c r="G28" s="525"/>
      <c r="H28" s="525"/>
      <c r="I28" s="525"/>
      <c r="J28" s="525"/>
      <c r="K28" s="525"/>
      <c r="L28" s="525"/>
      <c r="M28" s="525"/>
      <c r="N28" s="525"/>
      <c r="O28" s="525"/>
      <c r="P28" s="490" t="s">
        <v>1193</v>
      </c>
      <c r="Q28" s="490" t="s">
        <v>2138</v>
      </c>
      <c r="R28" s="553" t="s">
        <v>2136</v>
      </c>
      <c r="S28" s="520" t="s">
        <v>2137</v>
      </c>
      <c r="T28" s="521" t="s">
        <v>814</v>
      </c>
      <c r="U28" s="522">
        <f>BH28/1100000</f>
        <v>0</v>
      </c>
      <c r="V28" s="523" t="s">
        <v>1043</v>
      </c>
      <c r="W28" s="524" t="e">
        <f>#REF!/1100000</f>
        <v>#REF!</v>
      </c>
      <c r="X28" s="260" t="s">
        <v>2139</v>
      </c>
      <c r="Y28" s="80" t="s">
        <v>814</v>
      </c>
      <c r="Z28" s="20">
        <v>186123800</v>
      </c>
      <c r="AA28" s="82"/>
      <c r="AB28" s="83">
        <f>SUM(AC28:AY28)</f>
        <v>0</v>
      </c>
      <c r="AC28" s="91" t="s">
        <v>1078</v>
      </c>
      <c r="AD28" s="92"/>
      <c r="AE28" s="92" t="s">
        <v>1079</v>
      </c>
      <c r="AF28" s="92"/>
      <c r="AG28" s="92"/>
      <c r="AH28" s="384"/>
      <c r="AI28" s="92"/>
      <c r="AJ28" s="92"/>
      <c r="AK28" s="92"/>
      <c r="AL28" s="92"/>
      <c r="AM28" s="92"/>
      <c r="AN28" s="92"/>
      <c r="AO28" s="92"/>
      <c r="AP28" s="92"/>
      <c r="AQ28" s="92"/>
      <c r="AR28" s="92"/>
      <c r="AS28" s="92"/>
      <c r="AT28" s="92"/>
      <c r="AU28" s="92"/>
      <c r="AV28" s="92"/>
      <c r="AW28" s="92"/>
      <c r="AX28" s="92"/>
      <c r="AY28" s="92"/>
    </row>
    <row r="29" spans="1:51" s="78" customFormat="1" ht="22.5" customHeight="1">
      <c r="A29" s="258"/>
      <c r="B29" s="558"/>
      <c r="C29" s="559"/>
      <c r="D29" s="560"/>
      <c r="E29" s="560"/>
      <c r="F29" s="560"/>
      <c r="G29" s="560"/>
      <c r="H29" s="560"/>
      <c r="I29" s="560"/>
      <c r="J29" s="560"/>
      <c r="K29" s="560"/>
      <c r="L29" s="560"/>
      <c r="M29" s="560"/>
      <c r="N29" s="560"/>
      <c r="O29" s="560"/>
      <c r="P29" s="502"/>
      <c r="Q29" s="495"/>
      <c r="R29" s="557"/>
      <c r="S29" s="531"/>
      <c r="T29" s="526" t="s">
        <v>817</v>
      </c>
      <c r="U29" s="527" t="e">
        <f>U28-#REF!</f>
        <v>#REF!</v>
      </c>
      <c r="V29" s="532" t="s">
        <v>817</v>
      </c>
      <c r="W29" s="529" t="e">
        <f>W28-#REF!</f>
        <v>#REF!</v>
      </c>
      <c r="X29" s="261"/>
      <c r="Y29" s="80" t="s">
        <v>817</v>
      </c>
      <c r="Z29" s="20" t="e">
        <f>Z28-#REF!</f>
        <v>#REF!</v>
      </c>
      <c r="AA29" s="82" t="s">
        <v>1045</v>
      </c>
      <c r="AB29" s="83" t="e">
        <f>#REF!-#REF!</f>
        <v>#REF!</v>
      </c>
      <c r="AC29" s="77"/>
      <c r="AD29" s="77"/>
      <c r="AE29" s="77"/>
      <c r="AF29" s="77"/>
      <c r="AG29" s="77"/>
      <c r="AH29" s="277"/>
      <c r="AI29" s="77"/>
      <c r="AJ29" s="77"/>
      <c r="AK29" s="77"/>
      <c r="AL29" s="77"/>
      <c r="AM29" s="77"/>
      <c r="AN29" s="77"/>
      <c r="AO29" s="77"/>
      <c r="AP29" s="77"/>
      <c r="AQ29" s="77"/>
      <c r="AR29" s="77"/>
      <c r="AS29" s="77"/>
      <c r="AT29" s="77"/>
      <c r="AU29" s="77"/>
      <c r="AV29" s="77"/>
      <c r="AW29" s="77"/>
      <c r="AX29" s="77"/>
      <c r="AY29" s="77"/>
    </row>
    <row r="30" spans="1:51" s="78" customFormat="1" ht="22.5" customHeight="1">
      <c r="A30" s="257" t="s">
        <v>2140</v>
      </c>
      <c r="B30" s="554">
        <v>0.9</v>
      </c>
      <c r="C30" s="555">
        <f>B30+D30+E30+F30+G30+H30+I30+J30+K30+L30+M30+N30+O30</f>
        <v>0.95000000000000007</v>
      </c>
      <c r="D30" s="525">
        <v>0.02</v>
      </c>
      <c r="E30" s="525">
        <v>0.02</v>
      </c>
      <c r="F30" s="525">
        <v>0.01</v>
      </c>
      <c r="G30" s="525"/>
      <c r="H30" s="525"/>
      <c r="I30" s="525"/>
      <c r="J30" s="525"/>
      <c r="K30" s="525"/>
      <c r="L30" s="525"/>
      <c r="M30" s="525"/>
      <c r="N30" s="525"/>
      <c r="O30" s="525"/>
      <c r="P30" s="490" t="s">
        <v>2143</v>
      </c>
      <c r="Q30" s="490" t="s">
        <v>2144</v>
      </c>
      <c r="R30" s="553" t="s">
        <v>2141</v>
      </c>
      <c r="S30" s="520" t="s">
        <v>2142</v>
      </c>
      <c r="T30" s="521" t="s">
        <v>814</v>
      </c>
      <c r="U30" s="522">
        <f>BH30/1100000</f>
        <v>0</v>
      </c>
      <c r="V30" s="523" t="s">
        <v>1043</v>
      </c>
      <c r="W30" s="524" t="e">
        <f>#REF!/1100000</f>
        <v>#REF!</v>
      </c>
      <c r="X30" s="260" t="s">
        <v>2145</v>
      </c>
      <c r="Y30" s="80" t="s">
        <v>814</v>
      </c>
      <c r="Z30" s="20">
        <v>115439940</v>
      </c>
      <c r="AA30" s="82"/>
      <c r="AB30" s="83">
        <f>SUM(AC30:AY30)</f>
        <v>0</v>
      </c>
      <c r="AC30" s="91" t="s">
        <v>1078</v>
      </c>
      <c r="AD30" s="92"/>
      <c r="AE30" s="92" t="s">
        <v>1079</v>
      </c>
      <c r="AF30" s="92"/>
      <c r="AG30" s="92"/>
      <c r="AH30" s="384"/>
      <c r="AI30" s="92"/>
      <c r="AJ30" s="92"/>
      <c r="AK30" s="92"/>
      <c r="AL30" s="92"/>
      <c r="AM30" s="92"/>
      <c r="AN30" s="92"/>
      <c r="AO30" s="92"/>
      <c r="AP30" s="92"/>
      <c r="AQ30" s="92"/>
      <c r="AR30" s="92"/>
      <c r="AS30" s="92"/>
      <c r="AT30" s="92"/>
      <c r="AU30" s="92"/>
      <c r="AV30" s="92"/>
      <c r="AW30" s="92"/>
      <c r="AX30" s="92"/>
      <c r="AY30" s="92"/>
    </row>
    <row r="31" spans="1:51" s="78" customFormat="1" ht="22.5" customHeight="1">
      <c r="A31" s="258"/>
      <c r="B31" s="558"/>
      <c r="C31" s="559"/>
      <c r="D31" s="560"/>
      <c r="E31" s="560"/>
      <c r="F31" s="560"/>
      <c r="G31" s="560"/>
      <c r="H31" s="560"/>
      <c r="I31" s="560"/>
      <c r="J31" s="560"/>
      <c r="K31" s="560"/>
      <c r="L31" s="560"/>
      <c r="M31" s="560"/>
      <c r="N31" s="560"/>
      <c r="O31" s="560"/>
      <c r="P31" s="502"/>
      <c r="Q31" s="495"/>
      <c r="R31" s="557"/>
      <c r="S31" s="531" t="s">
        <v>2146</v>
      </c>
      <c r="T31" s="526" t="s">
        <v>817</v>
      </c>
      <c r="U31" s="527" t="e">
        <f>U30-#REF!</f>
        <v>#REF!</v>
      </c>
      <c r="V31" s="532" t="s">
        <v>817</v>
      </c>
      <c r="W31" s="529" t="e">
        <f>W30-#REF!</f>
        <v>#REF!</v>
      </c>
      <c r="X31" s="261"/>
      <c r="Y31" s="80" t="s">
        <v>817</v>
      </c>
      <c r="Z31" s="20" t="e">
        <f>Z30-#REF!</f>
        <v>#REF!</v>
      </c>
      <c r="AA31" s="82" t="s">
        <v>1045</v>
      </c>
      <c r="AB31" s="83" t="e">
        <f>#REF!-#REF!</f>
        <v>#REF!</v>
      </c>
      <c r="AC31" s="77"/>
      <c r="AD31" s="77"/>
      <c r="AE31" s="77"/>
      <c r="AF31" s="77"/>
      <c r="AG31" s="77"/>
      <c r="AH31" s="277"/>
      <c r="AI31" s="77"/>
      <c r="AJ31" s="77"/>
      <c r="AK31" s="77"/>
      <c r="AL31" s="77"/>
      <c r="AM31" s="77"/>
      <c r="AN31" s="77"/>
      <c r="AO31" s="77"/>
      <c r="AP31" s="77"/>
      <c r="AQ31" s="77"/>
      <c r="AR31" s="77"/>
      <c r="AS31" s="77"/>
      <c r="AT31" s="77"/>
      <c r="AU31" s="77"/>
      <c r="AV31" s="77"/>
      <c r="AW31" s="77"/>
      <c r="AX31" s="77"/>
      <c r="AY31" s="77"/>
    </row>
    <row r="32" spans="1:51" s="78" customFormat="1" ht="22.5" customHeight="1">
      <c r="A32" s="257" t="s">
        <v>2147</v>
      </c>
      <c r="B32" s="554">
        <v>0.7</v>
      </c>
      <c r="C32" s="555">
        <f>B32+D32+E32+F32+G32+H32+I32+J32+K32+L32+M32+N32+O32</f>
        <v>0.72</v>
      </c>
      <c r="D32" s="525">
        <v>0.01</v>
      </c>
      <c r="E32" s="525">
        <v>0.01</v>
      </c>
      <c r="F32" s="525"/>
      <c r="G32" s="525"/>
      <c r="H32" s="525"/>
      <c r="I32" s="525"/>
      <c r="J32" s="525"/>
      <c r="K32" s="525"/>
      <c r="L32" s="525"/>
      <c r="M32" s="525"/>
      <c r="N32" s="525"/>
      <c r="O32" s="525"/>
      <c r="P32" s="566" t="s">
        <v>2150</v>
      </c>
      <c r="Q32" s="490" t="s">
        <v>2151</v>
      </c>
      <c r="R32" s="553" t="s">
        <v>2148</v>
      </c>
      <c r="S32" s="520" t="s">
        <v>2149</v>
      </c>
      <c r="T32" s="521" t="s">
        <v>814</v>
      </c>
      <c r="U32" s="522">
        <f>BH32/1100000</f>
        <v>0</v>
      </c>
      <c r="V32" s="523" t="s">
        <v>1043</v>
      </c>
      <c r="W32" s="524" t="e">
        <f>#REF!/1100000</f>
        <v>#REF!</v>
      </c>
      <c r="X32" s="260" t="s">
        <v>2152</v>
      </c>
      <c r="Y32" s="80" t="s">
        <v>814</v>
      </c>
      <c r="Z32" s="20">
        <v>178279000</v>
      </c>
      <c r="AA32" s="82"/>
      <c r="AB32" s="83">
        <f>SUM(AC32:AY32)</f>
        <v>0</v>
      </c>
      <c r="AC32" s="91" t="s">
        <v>1078</v>
      </c>
      <c r="AD32" s="92"/>
      <c r="AE32" s="92" t="s">
        <v>1079</v>
      </c>
      <c r="AF32" s="92"/>
      <c r="AG32" s="92"/>
      <c r="AH32" s="384"/>
      <c r="AI32" s="92"/>
      <c r="AJ32" s="92"/>
      <c r="AK32" s="92"/>
      <c r="AL32" s="92"/>
      <c r="AM32" s="92"/>
      <c r="AN32" s="92"/>
      <c r="AO32" s="92"/>
      <c r="AP32" s="92"/>
      <c r="AQ32" s="92"/>
      <c r="AR32" s="92"/>
      <c r="AS32" s="92"/>
      <c r="AT32" s="92"/>
      <c r="AU32" s="92"/>
      <c r="AV32" s="92"/>
      <c r="AW32" s="92"/>
      <c r="AX32" s="92"/>
      <c r="AY32" s="92"/>
    </row>
    <row r="33" spans="1:51" s="78" customFormat="1" ht="22.5" customHeight="1">
      <c r="A33" s="258"/>
      <c r="B33" s="558"/>
      <c r="C33" s="559"/>
      <c r="D33" s="560"/>
      <c r="E33" s="560"/>
      <c r="F33" s="560"/>
      <c r="G33" s="560"/>
      <c r="H33" s="560"/>
      <c r="I33" s="560"/>
      <c r="J33" s="560"/>
      <c r="K33" s="560"/>
      <c r="L33" s="560"/>
      <c r="M33" s="560"/>
      <c r="N33" s="560"/>
      <c r="O33" s="560"/>
      <c r="P33" s="602"/>
      <c r="Q33" s="495"/>
      <c r="R33" s="557"/>
      <c r="S33" s="531" t="s">
        <v>2153</v>
      </c>
      <c r="T33" s="526" t="s">
        <v>817</v>
      </c>
      <c r="U33" s="527" t="e">
        <f>U32-#REF!</f>
        <v>#REF!</v>
      </c>
      <c r="V33" s="532" t="s">
        <v>817</v>
      </c>
      <c r="W33" s="529" t="e">
        <f>W32-#REF!</f>
        <v>#REF!</v>
      </c>
      <c r="X33" s="261"/>
      <c r="Y33" s="80" t="s">
        <v>817</v>
      </c>
      <c r="Z33" s="20" t="e">
        <f>Z32-#REF!</f>
        <v>#REF!</v>
      </c>
      <c r="AA33" s="82" t="s">
        <v>1045</v>
      </c>
      <c r="AB33" s="83" t="e">
        <f>#REF!-#REF!</f>
        <v>#REF!</v>
      </c>
      <c r="AC33" s="77"/>
      <c r="AD33" s="77"/>
      <c r="AE33" s="77"/>
      <c r="AF33" s="77"/>
      <c r="AG33" s="77"/>
      <c r="AH33" s="277"/>
      <c r="AI33" s="77"/>
      <c r="AJ33" s="77"/>
      <c r="AK33" s="77"/>
      <c r="AL33" s="77"/>
      <c r="AM33" s="77"/>
      <c r="AN33" s="77"/>
      <c r="AO33" s="77"/>
      <c r="AP33" s="77"/>
      <c r="AQ33" s="77"/>
      <c r="AR33" s="77"/>
      <c r="AS33" s="77"/>
      <c r="AT33" s="77"/>
      <c r="AU33" s="77"/>
      <c r="AV33" s="77"/>
      <c r="AW33" s="77"/>
      <c r="AX33" s="77"/>
      <c r="AY33" s="77"/>
    </row>
    <row r="34" spans="1:51" s="78" customFormat="1" ht="22.5" customHeight="1">
      <c r="A34" s="257" t="s">
        <v>2154</v>
      </c>
      <c r="B34" s="554">
        <v>0.7</v>
      </c>
      <c r="C34" s="555">
        <f>B34+D34+E34+F34+G34+H34+I34+J34+K34+L34+M34+N34+O34</f>
        <v>0.82000000000000006</v>
      </c>
      <c r="D34" s="525">
        <v>0.05</v>
      </c>
      <c r="E34" s="525">
        <v>0.05</v>
      </c>
      <c r="F34" s="525">
        <v>0.02</v>
      </c>
      <c r="G34" s="525"/>
      <c r="H34" s="525"/>
      <c r="I34" s="525"/>
      <c r="J34" s="525"/>
      <c r="K34" s="525"/>
      <c r="L34" s="525"/>
      <c r="M34" s="525"/>
      <c r="N34" s="525"/>
      <c r="O34" s="525"/>
      <c r="P34" s="490" t="s">
        <v>2157</v>
      </c>
      <c r="Q34" s="490" t="s">
        <v>2158</v>
      </c>
      <c r="R34" s="553" t="s">
        <v>2155</v>
      </c>
      <c r="S34" s="520" t="s">
        <v>2156</v>
      </c>
      <c r="T34" s="521" t="s">
        <v>814</v>
      </c>
      <c r="U34" s="522">
        <f>BH34/1100000</f>
        <v>0</v>
      </c>
      <c r="V34" s="523" t="s">
        <v>1043</v>
      </c>
      <c r="W34" s="524" t="e">
        <f>#REF!/1100000</f>
        <v>#REF!</v>
      </c>
      <c r="X34" s="260" t="s">
        <v>2159</v>
      </c>
      <c r="Y34" s="80" t="s">
        <v>814</v>
      </c>
      <c r="Z34" s="20">
        <v>505021000</v>
      </c>
      <c r="AA34" s="82"/>
      <c r="AB34" s="83">
        <f>SUM(AC34:AY34)</f>
        <v>0</v>
      </c>
      <c r="AC34" s="91" t="s">
        <v>1078</v>
      </c>
      <c r="AD34" s="92"/>
      <c r="AE34" s="92" t="s">
        <v>1079</v>
      </c>
      <c r="AF34" s="92"/>
      <c r="AG34" s="92"/>
      <c r="AH34" s="384"/>
      <c r="AI34" s="92"/>
      <c r="AJ34" s="92"/>
      <c r="AK34" s="92"/>
      <c r="AL34" s="92"/>
      <c r="AM34" s="92"/>
      <c r="AN34" s="92"/>
      <c r="AO34" s="92"/>
      <c r="AP34" s="92"/>
      <c r="AQ34" s="92"/>
      <c r="AR34" s="92"/>
      <c r="AS34" s="92"/>
      <c r="AT34" s="92"/>
      <c r="AU34" s="92"/>
      <c r="AV34" s="92"/>
      <c r="AW34" s="92"/>
      <c r="AX34" s="92"/>
      <c r="AY34" s="92"/>
    </row>
    <row r="35" spans="1:51" s="78" customFormat="1" ht="22.5" customHeight="1">
      <c r="A35" s="258"/>
      <c r="B35" s="558"/>
      <c r="C35" s="559"/>
      <c r="D35" s="560"/>
      <c r="E35" s="560"/>
      <c r="F35" s="560"/>
      <c r="G35" s="560"/>
      <c r="H35" s="560"/>
      <c r="I35" s="560"/>
      <c r="J35" s="560"/>
      <c r="K35" s="560"/>
      <c r="L35" s="560"/>
      <c r="M35" s="560"/>
      <c r="N35" s="560"/>
      <c r="O35" s="560"/>
      <c r="P35" s="502"/>
      <c r="Q35" s="495"/>
      <c r="R35" s="557"/>
      <c r="S35" s="531" t="s">
        <v>1842</v>
      </c>
      <c r="T35" s="526" t="s">
        <v>817</v>
      </c>
      <c r="U35" s="527" t="e">
        <f>U34-#REF!</f>
        <v>#REF!</v>
      </c>
      <c r="V35" s="532" t="s">
        <v>817</v>
      </c>
      <c r="W35" s="529" t="e">
        <f>W34-#REF!</f>
        <v>#REF!</v>
      </c>
      <c r="X35" s="261"/>
      <c r="Y35" s="80" t="s">
        <v>817</v>
      </c>
      <c r="Z35" s="20" t="e">
        <f>Z34-#REF!</f>
        <v>#REF!</v>
      </c>
      <c r="AA35" s="82" t="s">
        <v>1045</v>
      </c>
      <c r="AB35" s="83"/>
      <c r="AC35" s="77"/>
      <c r="AD35" s="77"/>
      <c r="AE35" s="77"/>
      <c r="AF35" s="77"/>
      <c r="AG35" s="77"/>
      <c r="AH35" s="277"/>
      <c r="AI35" s="77"/>
      <c r="AJ35" s="77"/>
      <c r="AK35" s="77"/>
      <c r="AL35" s="77"/>
      <c r="AM35" s="77"/>
      <c r="AN35" s="77"/>
      <c r="AO35" s="77"/>
      <c r="AP35" s="77"/>
      <c r="AQ35" s="77"/>
      <c r="AR35" s="77"/>
      <c r="AS35" s="77"/>
      <c r="AT35" s="77"/>
      <c r="AU35" s="77"/>
      <c r="AV35" s="77"/>
      <c r="AW35" s="77"/>
      <c r="AX35" s="77"/>
      <c r="AY35" s="77"/>
    </row>
    <row r="36" spans="1:51" s="78" customFormat="1" ht="22.5" customHeight="1">
      <c r="A36" s="257" t="s">
        <v>2160</v>
      </c>
      <c r="B36" s="554">
        <v>1</v>
      </c>
      <c r="C36" s="555">
        <f>B36+D36+E36+F36+G36+H36+I36+J36+K36+L36+M36+N36+O36</f>
        <v>1</v>
      </c>
      <c r="D36" s="525"/>
      <c r="E36" s="525"/>
      <c r="F36" s="525"/>
      <c r="G36" s="525"/>
      <c r="H36" s="525"/>
      <c r="I36" s="525"/>
      <c r="J36" s="525"/>
      <c r="K36" s="525"/>
      <c r="L36" s="525"/>
      <c r="M36" s="525"/>
      <c r="N36" s="525"/>
      <c r="O36" s="525"/>
      <c r="P36" s="490" t="s">
        <v>1193</v>
      </c>
      <c r="Q36" s="490" t="s">
        <v>2163</v>
      </c>
      <c r="R36" s="553" t="s">
        <v>2161</v>
      </c>
      <c r="S36" s="520" t="s">
        <v>2162</v>
      </c>
      <c r="T36" s="521" t="s">
        <v>814</v>
      </c>
      <c r="U36" s="522">
        <f>BH36/1100000</f>
        <v>0</v>
      </c>
      <c r="V36" s="523" t="s">
        <v>1043</v>
      </c>
      <c r="W36" s="524" t="e">
        <f>#REF!/1100000</f>
        <v>#REF!</v>
      </c>
      <c r="X36" s="260" t="s">
        <v>2164</v>
      </c>
      <c r="Y36" s="80" t="s">
        <v>814</v>
      </c>
      <c r="Z36" s="20">
        <v>456795000</v>
      </c>
      <c r="AA36" s="82"/>
      <c r="AB36" s="83">
        <f>SUM(AC36:AY36)</f>
        <v>0</v>
      </c>
      <c r="AC36" s="91" t="s">
        <v>1078</v>
      </c>
      <c r="AD36" s="92"/>
      <c r="AE36" s="92" t="s">
        <v>1079</v>
      </c>
      <c r="AF36" s="92"/>
      <c r="AG36" s="92"/>
      <c r="AH36" s="384"/>
      <c r="AI36" s="92"/>
      <c r="AJ36" s="92"/>
      <c r="AK36" s="92"/>
      <c r="AL36" s="92"/>
      <c r="AM36" s="92"/>
      <c r="AN36" s="92"/>
      <c r="AO36" s="92"/>
      <c r="AP36" s="92"/>
      <c r="AQ36" s="92"/>
      <c r="AR36" s="92"/>
      <c r="AS36" s="92"/>
      <c r="AT36" s="92"/>
      <c r="AU36" s="92"/>
      <c r="AV36" s="92"/>
      <c r="AW36" s="92"/>
      <c r="AX36" s="92"/>
      <c r="AY36" s="92"/>
    </row>
    <row r="37" spans="1:51" s="78" customFormat="1" ht="22.5" customHeight="1">
      <c r="A37" s="258"/>
      <c r="B37" s="558"/>
      <c r="C37" s="559"/>
      <c r="D37" s="560"/>
      <c r="E37" s="560"/>
      <c r="F37" s="560"/>
      <c r="G37" s="560"/>
      <c r="H37" s="560"/>
      <c r="I37" s="560"/>
      <c r="J37" s="560"/>
      <c r="K37" s="560"/>
      <c r="L37" s="560"/>
      <c r="M37" s="560"/>
      <c r="N37" s="560"/>
      <c r="O37" s="560"/>
      <c r="P37" s="502"/>
      <c r="Q37" s="495"/>
      <c r="R37" s="557"/>
      <c r="S37" s="531"/>
      <c r="T37" s="526" t="s">
        <v>196</v>
      </c>
      <c r="U37" s="527" t="e">
        <f>U36-#REF!</f>
        <v>#REF!</v>
      </c>
      <c r="V37" s="532" t="s">
        <v>196</v>
      </c>
      <c r="W37" s="529" t="e">
        <f>W36-#REF!</f>
        <v>#REF!</v>
      </c>
      <c r="X37" s="261"/>
      <c r="Y37" s="80" t="s">
        <v>196</v>
      </c>
      <c r="Z37" s="20" t="e">
        <f>Z36-#REF!</f>
        <v>#REF!</v>
      </c>
      <c r="AA37" s="82" t="s">
        <v>1051</v>
      </c>
      <c r="AB37" s="83"/>
      <c r="AC37" s="77"/>
      <c r="AD37" s="77"/>
      <c r="AE37" s="77"/>
      <c r="AF37" s="77"/>
      <c r="AG37" s="77"/>
      <c r="AH37" s="277"/>
      <c r="AI37" s="77"/>
      <c r="AJ37" s="77"/>
      <c r="AK37" s="77"/>
      <c r="AL37" s="77"/>
      <c r="AM37" s="77"/>
      <c r="AN37" s="77"/>
      <c r="AO37" s="77"/>
      <c r="AP37" s="77"/>
      <c r="AQ37" s="77"/>
      <c r="AR37" s="77"/>
      <c r="AS37" s="77"/>
      <c r="AT37" s="77"/>
      <c r="AU37" s="77"/>
      <c r="AV37" s="77"/>
      <c r="AW37" s="77"/>
      <c r="AX37" s="77"/>
      <c r="AY37" s="77"/>
    </row>
    <row r="38" spans="1:51" s="78" customFormat="1" ht="22.5" customHeight="1">
      <c r="A38" s="257" t="s">
        <v>2165</v>
      </c>
      <c r="B38" s="554">
        <v>0.77</v>
      </c>
      <c r="C38" s="555">
        <f>B38+D38+E38+F38+G38+H38+I38+J38+K38+L38+M38+N38+O38</f>
        <v>0.79</v>
      </c>
      <c r="D38" s="525">
        <v>0.01</v>
      </c>
      <c r="E38" s="525">
        <v>0.01</v>
      </c>
      <c r="F38" s="525"/>
      <c r="G38" s="525"/>
      <c r="H38" s="525"/>
      <c r="I38" s="525"/>
      <c r="J38" s="525"/>
      <c r="K38" s="525"/>
      <c r="L38" s="525"/>
      <c r="M38" s="525"/>
      <c r="N38" s="525"/>
      <c r="O38" s="525"/>
      <c r="P38" s="490" t="s">
        <v>2167</v>
      </c>
      <c r="Q38" s="490" t="s">
        <v>2168</v>
      </c>
      <c r="R38" s="553" t="s">
        <v>2166</v>
      </c>
      <c r="S38" s="520" t="s">
        <v>424</v>
      </c>
      <c r="T38" s="521" t="s">
        <v>89</v>
      </c>
      <c r="U38" s="522">
        <f>BH38/1100000</f>
        <v>0</v>
      </c>
      <c r="V38" s="523" t="s">
        <v>41</v>
      </c>
      <c r="W38" s="524" t="e">
        <f>#REF!/1100000</f>
        <v>#REF!</v>
      </c>
      <c r="X38" s="260" t="s">
        <v>2169</v>
      </c>
      <c r="Y38" s="80" t="s">
        <v>89</v>
      </c>
      <c r="Z38" s="20">
        <v>304971940</v>
      </c>
      <c r="AA38" s="82"/>
      <c r="AB38" s="83">
        <f>SUM(AC38:AY38)</f>
        <v>0</v>
      </c>
      <c r="AC38" s="91" t="s">
        <v>1104</v>
      </c>
      <c r="AD38" s="92"/>
      <c r="AE38" s="92" t="s">
        <v>1105</v>
      </c>
      <c r="AF38" s="92"/>
      <c r="AG38" s="92"/>
      <c r="AH38" s="384"/>
      <c r="AI38" s="92"/>
      <c r="AJ38" s="92"/>
      <c r="AK38" s="92"/>
      <c r="AL38" s="92"/>
      <c r="AM38" s="92"/>
      <c r="AN38" s="92"/>
      <c r="AO38" s="92"/>
      <c r="AP38" s="92"/>
      <c r="AQ38" s="92"/>
      <c r="AR38" s="92"/>
      <c r="AS38" s="92"/>
      <c r="AT38" s="92"/>
      <c r="AU38" s="92"/>
      <c r="AV38" s="92"/>
      <c r="AW38" s="92"/>
      <c r="AX38" s="92"/>
      <c r="AY38" s="92"/>
    </row>
    <row r="39" spans="1:51" s="78" customFormat="1" ht="22.5" customHeight="1">
      <c r="A39" s="258"/>
      <c r="B39" s="558"/>
      <c r="C39" s="559"/>
      <c r="D39" s="560"/>
      <c r="E39" s="560"/>
      <c r="F39" s="560"/>
      <c r="G39" s="560"/>
      <c r="H39" s="560"/>
      <c r="I39" s="560"/>
      <c r="J39" s="560"/>
      <c r="K39" s="560"/>
      <c r="L39" s="560"/>
      <c r="M39" s="560"/>
      <c r="N39" s="560"/>
      <c r="O39" s="560"/>
      <c r="P39" s="502"/>
      <c r="Q39" s="495"/>
      <c r="R39" s="557"/>
      <c r="S39" s="531" t="s">
        <v>2170</v>
      </c>
      <c r="T39" s="526" t="s">
        <v>196</v>
      </c>
      <c r="U39" s="527" t="e">
        <f>U38-#REF!</f>
        <v>#REF!</v>
      </c>
      <c r="V39" s="532" t="s">
        <v>196</v>
      </c>
      <c r="W39" s="529" t="e">
        <f>W38-#REF!</f>
        <v>#REF!</v>
      </c>
      <c r="X39" s="261"/>
      <c r="Y39" s="80" t="s">
        <v>196</v>
      </c>
      <c r="Z39" s="20" t="e">
        <f>Z38-#REF!</f>
        <v>#REF!</v>
      </c>
      <c r="AA39" s="82" t="s">
        <v>1051</v>
      </c>
      <c r="AB39" s="83"/>
      <c r="AC39" s="77"/>
      <c r="AD39" s="77"/>
      <c r="AE39" s="77"/>
      <c r="AF39" s="77"/>
      <c r="AG39" s="77"/>
      <c r="AH39" s="277"/>
      <c r="AI39" s="77"/>
      <c r="AJ39" s="77"/>
      <c r="AK39" s="77"/>
      <c r="AL39" s="77"/>
      <c r="AM39" s="77"/>
      <c r="AN39" s="77"/>
      <c r="AO39" s="77"/>
      <c r="AP39" s="77"/>
      <c r="AQ39" s="77"/>
      <c r="AR39" s="77"/>
      <c r="AS39" s="77"/>
      <c r="AT39" s="77"/>
      <c r="AU39" s="77"/>
      <c r="AV39" s="77"/>
      <c r="AW39" s="77"/>
      <c r="AX39" s="77"/>
      <c r="AY39" s="77"/>
    </row>
    <row r="40" spans="1:51" s="78" customFormat="1" ht="22.5" customHeight="1">
      <c r="A40" s="257" t="s">
        <v>2171</v>
      </c>
      <c r="B40" s="554">
        <v>0.98</v>
      </c>
      <c r="C40" s="555">
        <f>B40+D40+E40+F40+G40+H40+I40+J40+K40+L40+M40+N40+O40</f>
        <v>1</v>
      </c>
      <c r="D40" s="525">
        <v>0.01</v>
      </c>
      <c r="E40" s="525">
        <v>0.01</v>
      </c>
      <c r="F40" s="525"/>
      <c r="G40" s="525"/>
      <c r="H40" s="525"/>
      <c r="I40" s="525"/>
      <c r="J40" s="525"/>
      <c r="K40" s="525"/>
      <c r="L40" s="525"/>
      <c r="M40" s="525"/>
      <c r="N40" s="525"/>
      <c r="O40" s="525"/>
      <c r="P40" s="490" t="s">
        <v>1121</v>
      </c>
      <c r="Q40" s="490" t="s">
        <v>2174</v>
      </c>
      <c r="R40" s="553" t="s">
        <v>2172</v>
      </c>
      <c r="S40" s="520" t="s">
        <v>2173</v>
      </c>
      <c r="T40" s="521" t="s">
        <v>89</v>
      </c>
      <c r="U40" s="522">
        <f>BH40/1100000</f>
        <v>0</v>
      </c>
      <c r="V40" s="523" t="s">
        <v>41</v>
      </c>
      <c r="W40" s="524" t="e">
        <f>#REF!/1100000</f>
        <v>#REF!</v>
      </c>
      <c r="X40" s="260" t="s">
        <v>62</v>
      </c>
      <c r="Y40" s="80" t="s">
        <v>89</v>
      </c>
      <c r="Z40" s="20">
        <v>236407500</v>
      </c>
      <c r="AA40" s="82"/>
      <c r="AB40" s="83">
        <f>SUM(AC40:AY40)</f>
        <v>0</v>
      </c>
      <c r="AC40" s="91" t="s">
        <v>1104</v>
      </c>
      <c r="AD40" s="92"/>
      <c r="AE40" s="92" t="s">
        <v>1105</v>
      </c>
      <c r="AF40" s="92"/>
      <c r="AG40" s="92"/>
      <c r="AH40" s="384"/>
      <c r="AI40" s="92"/>
      <c r="AJ40" s="92"/>
      <c r="AK40" s="92"/>
      <c r="AL40" s="92"/>
      <c r="AM40" s="92"/>
      <c r="AN40" s="92"/>
      <c r="AO40" s="92"/>
      <c r="AP40" s="92"/>
      <c r="AQ40" s="92"/>
      <c r="AR40" s="92"/>
      <c r="AS40" s="92"/>
      <c r="AT40" s="92"/>
      <c r="AU40" s="92"/>
      <c r="AV40" s="92"/>
      <c r="AW40" s="92"/>
      <c r="AX40" s="92"/>
      <c r="AY40" s="92"/>
    </row>
    <row r="41" spans="1:51" s="78" customFormat="1" ht="22.5" customHeight="1">
      <c r="A41" s="258"/>
      <c r="B41" s="558"/>
      <c r="C41" s="559"/>
      <c r="D41" s="560"/>
      <c r="E41" s="560"/>
      <c r="F41" s="560"/>
      <c r="G41" s="560"/>
      <c r="H41" s="560"/>
      <c r="I41" s="560"/>
      <c r="J41" s="560"/>
      <c r="K41" s="560"/>
      <c r="L41" s="560"/>
      <c r="M41" s="560"/>
      <c r="N41" s="560"/>
      <c r="O41" s="560"/>
      <c r="P41" s="502"/>
      <c r="Q41" s="495"/>
      <c r="R41" s="557"/>
      <c r="S41" s="531" t="s">
        <v>1841</v>
      </c>
      <c r="T41" s="526" t="s">
        <v>196</v>
      </c>
      <c r="U41" s="527" t="e">
        <f>U40-#REF!</f>
        <v>#REF!</v>
      </c>
      <c r="V41" s="532" t="s">
        <v>196</v>
      </c>
      <c r="W41" s="529" t="e">
        <f>W40-#REF!</f>
        <v>#REF!</v>
      </c>
      <c r="X41" s="261"/>
      <c r="Y41" s="80" t="s">
        <v>196</v>
      </c>
      <c r="Z41" s="20" t="e">
        <f>Z40-#REF!</f>
        <v>#REF!</v>
      </c>
      <c r="AA41" s="82" t="s">
        <v>1051</v>
      </c>
      <c r="AB41" s="83"/>
      <c r="AC41" s="77"/>
      <c r="AD41" s="77"/>
      <c r="AE41" s="77"/>
      <c r="AF41" s="77"/>
      <c r="AG41" s="77"/>
      <c r="AH41" s="277"/>
      <c r="AI41" s="77"/>
      <c r="AJ41" s="77"/>
      <c r="AK41" s="77"/>
      <c r="AL41" s="77"/>
      <c r="AM41" s="77"/>
      <c r="AN41" s="77"/>
      <c r="AO41" s="77"/>
      <c r="AP41" s="77"/>
      <c r="AQ41" s="77"/>
      <c r="AR41" s="77"/>
      <c r="AS41" s="77"/>
      <c r="AT41" s="77"/>
      <c r="AU41" s="77"/>
      <c r="AV41" s="77"/>
      <c r="AW41" s="77"/>
      <c r="AX41" s="77"/>
      <c r="AY41" s="77"/>
    </row>
    <row r="42" spans="1:51" s="78" customFormat="1" ht="22.5" customHeight="1">
      <c r="A42" s="257" t="s">
        <v>2175</v>
      </c>
      <c r="B42" s="554">
        <v>0.99</v>
      </c>
      <c r="C42" s="555">
        <f>B42+D42+E42+F42+G42+H42+I42+J42+K42+L42+M42+N42+O42</f>
        <v>1</v>
      </c>
      <c r="D42" s="525">
        <v>0.01</v>
      </c>
      <c r="E42" s="525"/>
      <c r="F42" s="525"/>
      <c r="G42" s="525"/>
      <c r="H42" s="525"/>
      <c r="I42" s="525"/>
      <c r="J42" s="525"/>
      <c r="K42" s="525"/>
      <c r="L42" s="525"/>
      <c r="M42" s="525"/>
      <c r="N42" s="525"/>
      <c r="O42" s="525"/>
      <c r="P42" s="490" t="s">
        <v>2178</v>
      </c>
      <c r="Q42" s="490" t="s">
        <v>2179</v>
      </c>
      <c r="R42" s="553" t="s">
        <v>2176</v>
      </c>
      <c r="S42" s="520" t="s">
        <v>2177</v>
      </c>
      <c r="T42" s="521" t="s">
        <v>89</v>
      </c>
      <c r="U42" s="522">
        <f>BH42/1100000</f>
        <v>0</v>
      </c>
      <c r="V42" s="523" t="s">
        <v>41</v>
      </c>
      <c r="W42" s="524" t="e">
        <f>#REF!/1100000</f>
        <v>#REF!</v>
      </c>
      <c r="X42" s="260" t="s">
        <v>2180</v>
      </c>
      <c r="Y42" s="80" t="s">
        <v>89</v>
      </c>
      <c r="Z42" s="20">
        <v>213185300</v>
      </c>
      <c r="AA42" s="82"/>
      <c r="AB42" s="83">
        <f>SUM(AC42:AY42)</f>
        <v>0</v>
      </c>
      <c r="AC42" s="91" t="s">
        <v>1104</v>
      </c>
      <c r="AD42" s="92"/>
      <c r="AE42" s="92" t="s">
        <v>1105</v>
      </c>
      <c r="AF42" s="92"/>
      <c r="AG42" s="92"/>
      <c r="AH42" s="384"/>
      <c r="AI42" s="92"/>
      <c r="AJ42" s="92"/>
      <c r="AK42" s="92"/>
      <c r="AL42" s="92"/>
      <c r="AM42" s="92"/>
      <c r="AN42" s="92"/>
      <c r="AO42" s="92"/>
      <c r="AP42" s="92"/>
      <c r="AQ42" s="92"/>
      <c r="AR42" s="92"/>
      <c r="AS42" s="92"/>
      <c r="AT42" s="92"/>
      <c r="AU42" s="92"/>
      <c r="AV42" s="92"/>
      <c r="AW42" s="92"/>
      <c r="AX42" s="92"/>
      <c r="AY42" s="92"/>
    </row>
    <row r="43" spans="1:51" s="78" customFormat="1" ht="22.5" customHeight="1">
      <c r="A43" s="258"/>
      <c r="B43" s="558"/>
      <c r="C43" s="559"/>
      <c r="D43" s="560"/>
      <c r="E43" s="560"/>
      <c r="F43" s="560"/>
      <c r="G43" s="560"/>
      <c r="H43" s="560"/>
      <c r="I43" s="560"/>
      <c r="J43" s="560"/>
      <c r="K43" s="560"/>
      <c r="L43" s="560"/>
      <c r="M43" s="560"/>
      <c r="N43" s="560"/>
      <c r="O43" s="560"/>
      <c r="P43" s="502"/>
      <c r="Q43" s="495"/>
      <c r="R43" s="557"/>
      <c r="S43" s="531"/>
      <c r="T43" s="526" t="s">
        <v>196</v>
      </c>
      <c r="U43" s="527" t="e">
        <f>U42-#REF!</f>
        <v>#REF!</v>
      </c>
      <c r="V43" s="532" t="s">
        <v>196</v>
      </c>
      <c r="W43" s="529" t="e">
        <f>W42-#REF!</f>
        <v>#REF!</v>
      </c>
      <c r="X43" s="261"/>
      <c r="Y43" s="80" t="s">
        <v>196</v>
      </c>
      <c r="Z43" s="20" t="e">
        <f>Z42-#REF!</f>
        <v>#REF!</v>
      </c>
      <c r="AA43" s="82" t="s">
        <v>1051</v>
      </c>
      <c r="AB43" s="83"/>
      <c r="AC43" s="77"/>
      <c r="AD43" s="77"/>
      <c r="AE43" s="77"/>
      <c r="AF43" s="77"/>
      <c r="AG43" s="77"/>
      <c r="AH43" s="277"/>
      <c r="AI43" s="77"/>
      <c r="AJ43" s="77"/>
      <c r="AK43" s="77"/>
      <c r="AL43" s="77"/>
      <c r="AM43" s="77"/>
      <c r="AN43" s="77"/>
      <c r="AO43" s="77"/>
      <c r="AP43" s="77"/>
      <c r="AQ43" s="77"/>
      <c r="AR43" s="77"/>
      <c r="AS43" s="77"/>
      <c r="AT43" s="77"/>
      <c r="AU43" s="77"/>
      <c r="AV43" s="77"/>
      <c r="AW43" s="77"/>
      <c r="AX43" s="77"/>
      <c r="AY43" s="77"/>
    </row>
    <row r="44" spans="1:51" s="78" customFormat="1" ht="22.5" customHeight="1">
      <c r="A44" s="257" t="s">
        <v>2181</v>
      </c>
      <c r="B44" s="554">
        <v>0.83</v>
      </c>
      <c r="C44" s="555">
        <f>B44+D44+E44+F44+G44+H44+I44+J44+K44+L44+M44+N44+O44</f>
        <v>0.88</v>
      </c>
      <c r="D44" s="525">
        <v>0.02</v>
      </c>
      <c r="E44" s="525">
        <v>0.02</v>
      </c>
      <c r="F44" s="525">
        <v>0.01</v>
      </c>
      <c r="G44" s="525"/>
      <c r="H44" s="525"/>
      <c r="I44" s="525"/>
      <c r="J44" s="525"/>
      <c r="K44" s="525"/>
      <c r="L44" s="525"/>
      <c r="M44" s="525"/>
      <c r="N44" s="525"/>
      <c r="O44" s="525"/>
      <c r="P44" s="490" t="s">
        <v>2184</v>
      </c>
      <c r="Q44" s="490" t="s">
        <v>2185</v>
      </c>
      <c r="R44" s="553" t="s">
        <v>2182</v>
      </c>
      <c r="S44" s="520" t="s">
        <v>2183</v>
      </c>
      <c r="T44" s="521" t="s">
        <v>89</v>
      </c>
      <c r="U44" s="522">
        <f>BH44/1100000</f>
        <v>0</v>
      </c>
      <c r="V44" s="523" t="s">
        <v>41</v>
      </c>
      <c r="W44" s="524" t="e">
        <f>#REF!/1100000</f>
        <v>#REF!</v>
      </c>
      <c r="X44" s="260" t="s">
        <v>64</v>
      </c>
      <c r="Y44" s="80" t="s">
        <v>89</v>
      </c>
      <c r="Z44" s="20">
        <v>60509000</v>
      </c>
      <c r="AA44" s="82"/>
      <c r="AB44" s="83">
        <f>SUM(AC44:AY44)</f>
        <v>0</v>
      </c>
      <c r="AC44" s="91" t="s">
        <v>1104</v>
      </c>
      <c r="AD44" s="92"/>
      <c r="AE44" s="92" t="s">
        <v>1105</v>
      </c>
      <c r="AF44" s="92"/>
      <c r="AG44" s="92"/>
      <c r="AH44" s="384"/>
      <c r="AI44" s="92"/>
      <c r="AJ44" s="92"/>
      <c r="AK44" s="92"/>
      <c r="AL44" s="92"/>
      <c r="AM44" s="92"/>
      <c r="AN44" s="92"/>
      <c r="AO44" s="92"/>
      <c r="AP44" s="92"/>
      <c r="AQ44" s="92"/>
      <c r="AR44" s="92"/>
      <c r="AS44" s="92"/>
      <c r="AT44" s="92"/>
      <c r="AU44" s="92"/>
      <c r="AV44" s="92"/>
      <c r="AW44" s="92"/>
      <c r="AX44" s="92"/>
      <c r="AY44" s="92"/>
    </row>
    <row r="45" spans="1:51" s="78" customFormat="1" ht="22.5" customHeight="1">
      <c r="A45" s="258"/>
      <c r="B45" s="558"/>
      <c r="C45" s="559"/>
      <c r="D45" s="560"/>
      <c r="E45" s="560"/>
      <c r="F45" s="560"/>
      <c r="G45" s="560"/>
      <c r="H45" s="560"/>
      <c r="I45" s="560"/>
      <c r="J45" s="560"/>
      <c r="K45" s="560"/>
      <c r="L45" s="560"/>
      <c r="M45" s="560"/>
      <c r="N45" s="560"/>
      <c r="O45" s="560"/>
      <c r="P45" s="502"/>
      <c r="Q45" s="495"/>
      <c r="R45" s="557"/>
      <c r="S45" s="531" t="s">
        <v>2116</v>
      </c>
      <c r="T45" s="526" t="s">
        <v>196</v>
      </c>
      <c r="U45" s="527" t="e">
        <f>U44-#REF!</f>
        <v>#REF!</v>
      </c>
      <c r="V45" s="532" t="s">
        <v>196</v>
      </c>
      <c r="W45" s="529" t="e">
        <f>W44-#REF!</f>
        <v>#REF!</v>
      </c>
      <c r="X45" s="261"/>
      <c r="Y45" s="80" t="s">
        <v>196</v>
      </c>
      <c r="Z45" s="20" t="e">
        <f>Z44-#REF!</f>
        <v>#REF!</v>
      </c>
      <c r="AA45" s="82" t="s">
        <v>1051</v>
      </c>
      <c r="AB45" s="83"/>
      <c r="AC45" s="77"/>
      <c r="AD45" s="77"/>
      <c r="AE45" s="77"/>
      <c r="AF45" s="77"/>
      <c r="AG45" s="77"/>
      <c r="AH45" s="277"/>
      <c r="AI45" s="77"/>
      <c r="AJ45" s="77"/>
      <c r="AK45" s="77"/>
      <c r="AL45" s="77"/>
      <c r="AM45" s="77"/>
      <c r="AN45" s="77"/>
      <c r="AO45" s="77"/>
      <c r="AP45" s="77"/>
      <c r="AQ45" s="77"/>
      <c r="AR45" s="77"/>
      <c r="AS45" s="77"/>
      <c r="AT45" s="77"/>
      <c r="AU45" s="77"/>
      <c r="AV45" s="77"/>
      <c r="AW45" s="77"/>
      <c r="AX45" s="77"/>
      <c r="AY45" s="77"/>
    </row>
    <row r="46" spans="1:51" s="78" customFormat="1" ht="22.5" customHeight="1">
      <c r="A46" s="257" t="s">
        <v>2186</v>
      </c>
      <c r="B46" s="554">
        <v>0.99</v>
      </c>
      <c r="C46" s="555">
        <f>B46+D46+E46+F46+G46+H46+I46+J46+K46+L46+M46+N46+O46</f>
        <v>1</v>
      </c>
      <c r="D46" s="525">
        <v>0.01</v>
      </c>
      <c r="E46" s="525"/>
      <c r="F46" s="525"/>
      <c r="G46" s="525"/>
      <c r="H46" s="525"/>
      <c r="I46" s="525"/>
      <c r="J46" s="525"/>
      <c r="K46" s="525"/>
      <c r="L46" s="525"/>
      <c r="M46" s="525"/>
      <c r="N46" s="525"/>
      <c r="O46" s="525"/>
      <c r="P46" s="490" t="s">
        <v>1121</v>
      </c>
      <c r="Q46" s="490" t="s">
        <v>2189</v>
      </c>
      <c r="R46" s="553" t="s">
        <v>2187</v>
      </c>
      <c r="S46" s="520" t="s">
        <v>2188</v>
      </c>
      <c r="T46" s="521" t="s">
        <v>89</v>
      </c>
      <c r="U46" s="522">
        <f>BH46/1100000</f>
        <v>0</v>
      </c>
      <c r="V46" s="523" t="s">
        <v>41</v>
      </c>
      <c r="W46" s="524" t="e">
        <f>#REF!/1100000</f>
        <v>#REF!</v>
      </c>
      <c r="X46" s="260" t="s">
        <v>1457</v>
      </c>
      <c r="Y46" s="80" t="s">
        <v>89</v>
      </c>
      <c r="Z46" s="20">
        <v>117481650</v>
      </c>
      <c r="AA46" s="82"/>
      <c r="AB46" s="83">
        <f>SUM(AC46:AY46)</f>
        <v>0</v>
      </c>
      <c r="AC46" s="91" t="s">
        <v>1104</v>
      </c>
      <c r="AD46" s="92"/>
      <c r="AE46" s="92" t="s">
        <v>1105</v>
      </c>
      <c r="AF46" s="92"/>
      <c r="AG46" s="92"/>
      <c r="AH46" s="384"/>
      <c r="AI46" s="92"/>
      <c r="AJ46" s="92"/>
      <c r="AK46" s="92"/>
      <c r="AL46" s="92"/>
      <c r="AM46" s="92"/>
      <c r="AN46" s="92"/>
      <c r="AO46" s="92"/>
      <c r="AP46" s="92"/>
      <c r="AQ46" s="92"/>
      <c r="AR46" s="92"/>
      <c r="AS46" s="92"/>
      <c r="AT46" s="92"/>
      <c r="AU46" s="92"/>
      <c r="AV46" s="92"/>
      <c r="AW46" s="92"/>
      <c r="AX46" s="92"/>
      <c r="AY46" s="92"/>
    </row>
    <row r="47" spans="1:51" s="78" customFormat="1" ht="22.5" customHeight="1">
      <c r="A47" s="258"/>
      <c r="B47" s="558"/>
      <c r="C47" s="559"/>
      <c r="D47" s="560"/>
      <c r="E47" s="560"/>
      <c r="F47" s="560"/>
      <c r="G47" s="560"/>
      <c r="H47" s="560"/>
      <c r="I47" s="560"/>
      <c r="J47" s="560"/>
      <c r="K47" s="560"/>
      <c r="L47" s="560"/>
      <c r="M47" s="560"/>
      <c r="N47" s="560"/>
      <c r="O47" s="560"/>
      <c r="P47" s="502"/>
      <c r="Q47" s="495"/>
      <c r="R47" s="557"/>
      <c r="S47" s="531" t="s">
        <v>1841</v>
      </c>
      <c r="T47" s="526" t="s">
        <v>196</v>
      </c>
      <c r="U47" s="527" t="e">
        <f>U46-#REF!</f>
        <v>#REF!</v>
      </c>
      <c r="V47" s="532" t="s">
        <v>196</v>
      </c>
      <c r="W47" s="529" t="e">
        <f>W46-#REF!</f>
        <v>#REF!</v>
      </c>
      <c r="X47" s="261"/>
      <c r="Y47" s="80" t="s">
        <v>196</v>
      </c>
      <c r="Z47" s="20" t="e">
        <f>Z46-#REF!</f>
        <v>#REF!</v>
      </c>
      <c r="AA47" s="82" t="s">
        <v>1051</v>
      </c>
      <c r="AB47" s="83"/>
      <c r="AC47" s="77"/>
      <c r="AD47" s="77"/>
      <c r="AE47" s="77"/>
      <c r="AF47" s="77"/>
      <c r="AG47" s="77"/>
      <c r="AH47" s="277"/>
      <c r="AI47" s="77"/>
      <c r="AJ47" s="77"/>
      <c r="AK47" s="77"/>
      <c r="AL47" s="77"/>
      <c r="AM47" s="77"/>
      <c r="AN47" s="77"/>
      <c r="AO47" s="77"/>
      <c r="AP47" s="77"/>
      <c r="AQ47" s="77"/>
      <c r="AR47" s="77"/>
      <c r="AS47" s="77"/>
      <c r="AT47" s="77"/>
      <c r="AU47" s="77"/>
      <c r="AV47" s="77"/>
      <c r="AW47" s="77"/>
      <c r="AX47" s="77"/>
      <c r="AY47" s="77"/>
    </row>
    <row r="48" spans="1:51" s="78" customFormat="1" ht="22.5" customHeight="1">
      <c r="A48" s="257" t="s">
        <v>2190</v>
      </c>
      <c r="B48" s="554">
        <v>0.75</v>
      </c>
      <c r="C48" s="555">
        <f>B48+D48+E48+F48+G48+H48+I48+J48+K48+L48+M48+N48+O48</f>
        <v>0.92000000000000015</v>
      </c>
      <c r="D48" s="525">
        <v>0.05</v>
      </c>
      <c r="E48" s="525">
        <v>0.05</v>
      </c>
      <c r="F48" s="525">
        <v>0.05</v>
      </c>
      <c r="G48" s="525">
        <v>0.01</v>
      </c>
      <c r="H48" s="525">
        <v>0.01</v>
      </c>
      <c r="I48" s="525"/>
      <c r="J48" s="525"/>
      <c r="K48" s="525"/>
      <c r="L48" s="525"/>
      <c r="M48" s="525"/>
      <c r="N48" s="525"/>
      <c r="O48" s="525"/>
      <c r="P48" s="799" t="s">
        <v>2193</v>
      </c>
      <c r="Q48" s="490" t="s">
        <v>2194</v>
      </c>
      <c r="R48" s="553" t="s">
        <v>2191</v>
      </c>
      <c r="S48" s="520" t="s">
        <v>2192</v>
      </c>
      <c r="T48" s="521" t="s">
        <v>89</v>
      </c>
      <c r="U48" s="522">
        <f>BH48/1100000</f>
        <v>0</v>
      </c>
      <c r="V48" s="523" t="s">
        <v>41</v>
      </c>
      <c r="W48" s="524" t="e">
        <f>#REF!/1100000</f>
        <v>#REF!</v>
      </c>
      <c r="X48" s="260" t="s">
        <v>63</v>
      </c>
      <c r="Y48" s="80" t="s">
        <v>89</v>
      </c>
      <c r="Z48" s="20">
        <v>180252000</v>
      </c>
      <c r="AA48" s="82" t="s">
        <v>98</v>
      </c>
      <c r="AB48" s="83">
        <f>SUM(AC48:AY48)</f>
        <v>0</v>
      </c>
      <c r="AC48" s="91" t="s">
        <v>1104</v>
      </c>
      <c r="AD48" s="92"/>
      <c r="AE48" s="92" t="s">
        <v>1105</v>
      </c>
      <c r="AF48" s="92"/>
      <c r="AG48" s="92"/>
      <c r="AH48" s="384"/>
      <c r="AI48" s="92"/>
      <c r="AJ48" s="92"/>
      <c r="AK48" s="92"/>
      <c r="AL48" s="92"/>
      <c r="AM48" s="92"/>
      <c r="AN48" s="92"/>
      <c r="AO48" s="92"/>
      <c r="AP48" s="92"/>
      <c r="AQ48" s="92"/>
      <c r="AR48" s="92"/>
      <c r="AS48" s="92"/>
      <c r="AT48" s="92"/>
      <c r="AU48" s="92"/>
      <c r="AV48" s="92"/>
      <c r="AW48" s="92"/>
      <c r="AX48" s="92"/>
      <c r="AY48" s="92"/>
    </row>
    <row r="49" spans="1:58" s="78" customFormat="1" ht="22.5" customHeight="1">
      <c r="A49" s="258"/>
      <c r="B49" s="558"/>
      <c r="C49" s="559"/>
      <c r="D49" s="560"/>
      <c r="E49" s="560"/>
      <c r="F49" s="560"/>
      <c r="G49" s="560"/>
      <c r="H49" s="560"/>
      <c r="I49" s="560"/>
      <c r="J49" s="560"/>
      <c r="K49" s="560"/>
      <c r="L49" s="560"/>
      <c r="M49" s="560"/>
      <c r="N49" s="560"/>
      <c r="O49" s="560"/>
      <c r="P49" s="800"/>
      <c r="Q49" s="495"/>
      <c r="R49" s="557"/>
      <c r="S49" s="531" t="s">
        <v>1841</v>
      </c>
      <c r="T49" s="526" t="s">
        <v>196</v>
      </c>
      <c r="U49" s="527" t="e">
        <f>U48-#REF!</f>
        <v>#REF!</v>
      </c>
      <c r="V49" s="532" t="s">
        <v>196</v>
      </c>
      <c r="W49" s="529" t="e">
        <f>W48-#REF!</f>
        <v>#REF!</v>
      </c>
      <c r="X49" s="261"/>
      <c r="Y49" s="80" t="s">
        <v>196</v>
      </c>
      <c r="Z49" s="20" t="e">
        <f>Z48-#REF!</f>
        <v>#REF!</v>
      </c>
      <c r="AA49" s="82" t="s">
        <v>100</v>
      </c>
      <c r="AB49" s="83"/>
      <c r="AC49" s="77"/>
      <c r="AD49" s="77"/>
      <c r="AE49" s="77"/>
      <c r="AF49" s="77"/>
      <c r="AG49" s="77"/>
      <c r="AH49" s="277"/>
      <c r="AI49" s="77"/>
      <c r="AJ49" s="77"/>
      <c r="AK49" s="77"/>
      <c r="AL49" s="77"/>
      <c r="AM49" s="77"/>
      <c r="AN49" s="77"/>
      <c r="AO49" s="77"/>
      <c r="AP49" s="77"/>
      <c r="AQ49" s="77"/>
      <c r="AR49" s="77"/>
      <c r="AS49" s="77"/>
      <c r="AT49" s="77"/>
      <c r="AU49" s="77"/>
      <c r="AV49" s="77"/>
      <c r="AW49" s="77"/>
      <c r="AX49" s="77"/>
      <c r="AY49" s="77"/>
    </row>
    <row r="50" spans="1:58" s="78" customFormat="1" ht="22.5" customHeight="1">
      <c r="A50" s="563" t="s">
        <v>2195</v>
      </c>
      <c r="B50" s="554">
        <v>0.8</v>
      </c>
      <c r="C50" s="555">
        <f>B50+D50+E50+F50+G50+H50+I50+J50+K50+L50+M50+N50+O50</f>
        <v>0.8</v>
      </c>
      <c r="D50" s="525"/>
      <c r="E50" s="525"/>
      <c r="F50" s="525"/>
      <c r="G50" s="525"/>
      <c r="H50" s="525"/>
      <c r="I50" s="525"/>
      <c r="J50" s="525"/>
      <c r="K50" s="525"/>
      <c r="L50" s="525"/>
      <c r="M50" s="525"/>
      <c r="N50" s="525"/>
      <c r="O50" s="525"/>
      <c r="P50" s="799" t="s">
        <v>2198</v>
      </c>
      <c r="Q50" s="490" t="s">
        <v>2199</v>
      </c>
      <c r="R50" s="553" t="s">
        <v>2196</v>
      </c>
      <c r="S50" s="537" t="s">
        <v>2197</v>
      </c>
      <c r="T50" s="521" t="s">
        <v>89</v>
      </c>
      <c r="U50" s="522">
        <f>BH50/1100000</f>
        <v>0</v>
      </c>
      <c r="V50" s="523" t="s">
        <v>41</v>
      </c>
      <c r="W50" s="524" t="e">
        <f>#REF!/1100000</f>
        <v>#REF!</v>
      </c>
      <c r="X50" s="260" t="s">
        <v>1742</v>
      </c>
      <c r="Y50" s="80" t="s">
        <v>89</v>
      </c>
      <c r="Z50" s="20">
        <v>126700000</v>
      </c>
      <c r="AA50" s="82" t="s">
        <v>98</v>
      </c>
      <c r="AB50" s="83">
        <f>SUM(AC50:AY50)</f>
        <v>0</v>
      </c>
      <c r="AC50" s="91" t="s">
        <v>1104</v>
      </c>
      <c r="AD50" s="92"/>
      <c r="AE50" s="92" t="s">
        <v>1105</v>
      </c>
      <c r="AF50" s="92"/>
      <c r="AG50" s="92"/>
      <c r="AH50" s="384"/>
      <c r="AI50" s="92"/>
      <c r="AJ50" s="92"/>
      <c r="AK50" s="92"/>
      <c r="AL50" s="92"/>
      <c r="AM50" s="92"/>
      <c r="AN50" s="92"/>
      <c r="AO50" s="92"/>
      <c r="AP50" s="92"/>
      <c r="AQ50" s="92"/>
      <c r="AR50" s="92"/>
      <c r="AS50" s="92"/>
      <c r="AT50" s="92"/>
      <c r="AU50" s="92"/>
      <c r="AV50" s="92"/>
      <c r="AW50" s="92"/>
      <c r="AX50" s="92"/>
      <c r="AY50" s="92"/>
    </row>
    <row r="51" spans="1:58" s="78" customFormat="1" ht="22.5" customHeight="1">
      <c r="A51" s="564"/>
      <c r="B51" s="558"/>
      <c r="C51" s="559"/>
      <c r="D51" s="560"/>
      <c r="E51" s="560"/>
      <c r="F51" s="560"/>
      <c r="G51" s="560"/>
      <c r="H51" s="560"/>
      <c r="I51" s="560"/>
      <c r="J51" s="560"/>
      <c r="K51" s="560"/>
      <c r="L51" s="560"/>
      <c r="M51" s="560"/>
      <c r="N51" s="560"/>
      <c r="O51" s="560"/>
      <c r="P51" s="800"/>
      <c r="Q51" s="495"/>
      <c r="R51" s="557"/>
      <c r="S51" s="531"/>
      <c r="T51" s="526" t="s">
        <v>196</v>
      </c>
      <c r="U51" s="527" t="e">
        <f>U50-#REF!</f>
        <v>#REF!</v>
      </c>
      <c r="V51" s="532" t="s">
        <v>196</v>
      </c>
      <c r="W51" s="529" t="e">
        <f>W50-#REF!</f>
        <v>#REF!</v>
      </c>
      <c r="X51" s="261"/>
      <c r="Y51" s="80" t="s">
        <v>196</v>
      </c>
      <c r="Z51" s="20" t="e">
        <f>Z50-#REF!</f>
        <v>#REF!</v>
      </c>
      <c r="AA51" s="82" t="s">
        <v>100</v>
      </c>
      <c r="AB51" s="83"/>
      <c r="AC51" s="77"/>
      <c r="AD51" s="77"/>
      <c r="AE51" s="77"/>
      <c r="AF51" s="77"/>
      <c r="AG51" s="77"/>
      <c r="AH51" s="277"/>
      <c r="AI51" s="77"/>
      <c r="AJ51" s="77"/>
      <c r="AK51" s="77"/>
      <c r="AL51" s="77"/>
      <c r="AM51" s="77"/>
      <c r="AN51" s="77"/>
      <c r="AO51" s="77"/>
      <c r="AP51" s="77"/>
      <c r="AQ51" s="77"/>
      <c r="AR51" s="77"/>
      <c r="AS51" s="77"/>
      <c r="AT51" s="77"/>
      <c r="AU51" s="77"/>
      <c r="AV51" s="77"/>
      <c r="AW51" s="77"/>
      <c r="AX51" s="77"/>
      <c r="AY51" s="77"/>
    </row>
    <row r="52" spans="1:58" s="78" customFormat="1" ht="22.5" customHeight="1">
      <c r="A52" s="257" t="s">
        <v>2200</v>
      </c>
      <c r="B52" s="554">
        <v>0</v>
      </c>
      <c r="C52" s="555">
        <f>B52+D52+E52+F52+G52+H52+I52+J52+K52+L52+M52+N52+O52</f>
        <v>1</v>
      </c>
      <c r="D52" s="525"/>
      <c r="E52" s="525"/>
      <c r="F52" s="525">
        <v>0.05</v>
      </c>
      <c r="G52" s="525">
        <v>0.5</v>
      </c>
      <c r="H52" s="525">
        <v>0.45</v>
      </c>
      <c r="I52" s="525"/>
      <c r="J52" s="525"/>
      <c r="K52" s="525"/>
      <c r="L52" s="525"/>
      <c r="M52" s="525"/>
      <c r="N52" s="525"/>
      <c r="O52" s="525"/>
      <c r="P52" s="799" t="s">
        <v>1121</v>
      </c>
      <c r="Q52" s="490" t="s">
        <v>2203</v>
      </c>
      <c r="R52" s="553" t="s">
        <v>2201</v>
      </c>
      <c r="S52" s="537" t="s">
        <v>2202</v>
      </c>
      <c r="T52" s="521" t="s">
        <v>89</v>
      </c>
      <c r="U52" s="522">
        <f>BH52/1100000</f>
        <v>0</v>
      </c>
      <c r="V52" s="523" t="s">
        <v>41</v>
      </c>
      <c r="W52" s="524" t="e">
        <f>#REF!/1100000</f>
        <v>#REF!</v>
      </c>
      <c r="X52" s="260" t="s">
        <v>1742</v>
      </c>
      <c r="Y52" s="80" t="s">
        <v>89</v>
      </c>
      <c r="Z52" s="20">
        <v>29500000</v>
      </c>
      <c r="AA52" s="82" t="s">
        <v>98</v>
      </c>
      <c r="AB52" s="83">
        <f>SUM(AC52:AY52)</f>
        <v>0</v>
      </c>
      <c r="AC52" s="91" t="s">
        <v>1104</v>
      </c>
      <c r="AD52" s="92"/>
      <c r="AE52" s="92" t="s">
        <v>1105</v>
      </c>
      <c r="AF52" s="92"/>
      <c r="AG52" s="92"/>
      <c r="AH52" s="384"/>
      <c r="AI52" s="92"/>
      <c r="AJ52" s="92"/>
      <c r="AK52" s="92"/>
      <c r="AL52" s="92"/>
      <c r="AM52" s="92"/>
      <c r="AN52" s="92"/>
      <c r="AO52" s="92"/>
      <c r="AP52" s="92"/>
      <c r="AQ52" s="92"/>
      <c r="AR52" s="92"/>
      <c r="AS52" s="92"/>
      <c r="AT52" s="92"/>
      <c r="AU52" s="92"/>
      <c r="AV52" s="92"/>
      <c r="AW52" s="92"/>
      <c r="AX52" s="92"/>
      <c r="AY52" s="92"/>
    </row>
    <row r="53" spans="1:58" s="78" customFormat="1" ht="22.5" customHeight="1">
      <c r="A53" s="258"/>
      <c r="B53" s="558"/>
      <c r="C53" s="559"/>
      <c r="D53" s="560"/>
      <c r="E53" s="560"/>
      <c r="F53" s="560"/>
      <c r="G53" s="560"/>
      <c r="H53" s="560"/>
      <c r="I53" s="560"/>
      <c r="J53" s="560"/>
      <c r="K53" s="560"/>
      <c r="L53" s="560"/>
      <c r="M53" s="560"/>
      <c r="N53" s="560"/>
      <c r="O53" s="560"/>
      <c r="P53" s="800"/>
      <c r="Q53" s="495"/>
      <c r="R53" s="557"/>
      <c r="S53" s="531"/>
      <c r="T53" s="526" t="s">
        <v>196</v>
      </c>
      <c r="U53" s="527" t="e">
        <f>U52-#REF!</f>
        <v>#REF!</v>
      </c>
      <c r="V53" s="532" t="s">
        <v>196</v>
      </c>
      <c r="W53" s="529" t="e">
        <f>W52-#REF!</f>
        <v>#REF!</v>
      </c>
      <c r="X53" s="261"/>
      <c r="Y53" s="80" t="s">
        <v>196</v>
      </c>
      <c r="Z53" s="20" t="e">
        <f>Z52-#REF!</f>
        <v>#REF!</v>
      </c>
      <c r="AA53" s="82" t="s">
        <v>100</v>
      </c>
      <c r="AB53" s="83"/>
      <c r="AC53" s="77"/>
      <c r="AD53" s="77"/>
      <c r="AE53" s="77"/>
      <c r="AF53" s="77"/>
      <c r="AG53" s="77"/>
      <c r="AH53" s="277"/>
      <c r="AI53" s="77"/>
      <c r="AJ53" s="77"/>
      <c r="AK53" s="77"/>
      <c r="AL53" s="77"/>
      <c r="AM53" s="77"/>
      <c r="AN53" s="77"/>
      <c r="AO53" s="77"/>
      <c r="AP53" s="77"/>
      <c r="AQ53" s="77"/>
      <c r="AR53" s="77"/>
      <c r="AS53" s="77"/>
      <c r="AT53" s="77"/>
      <c r="AU53" s="77"/>
      <c r="AV53" s="77"/>
      <c r="AW53" s="77"/>
      <c r="AX53" s="77"/>
      <c r="AY53" s="77"/>
    </row>
    <row r="54" spans="1:58" s="78" customFormat="1" ht="22.5" customHeight="1">
      <c r="A54" s="490" t="s">
        <v>2473</v>
      </c>
      <c r="B54" s="554">
        <v>0.55000000000000004</v>
      </c>
      <c r="C54" s="555">
        <f>B54+D54+E54+F54+G54+H54+I54+J54+K54+L54+M54+N54+O54</f>
        <v>0.67000000000000015</v>
      </c>
      <c r="D54" s="525">
        <v>0.02</v>
      </c>
      <c r="E54" s="525">
        <v>0.02</v>
      </c>
      <c r="F54" s="525">
        <v>0.02</v>
      </c>
      <c r="G54" s="525">
        <v>0.02</v>
      </c>
      <c r="H54" s="525">
        <v>0.02</v>
      </c>
      <c r="I54" s="525">
        <v>0.02</v>
      </c>
      <c r="J54" s="525"/>
      <c r="K54" s="525"/>
      <c r="L54" s="525"/>
      <c r="M54" s="525"/>
      <c r="N54" s="525"/>
      <c r="O54" s="525"/>
      <c r="P54" s="490"/>
      <c r="Q54" s="490" t="s">
        <v>2478</v>
      </c>
      <c r="R54" s="700" t="s">
        <v>2474</v>
      </c>
      <c r="S54" s="556" t="s">
        <v>2475</v>
      </c>
      <c r="T54" s="521" t="s">
        <v>2476</v>
      </c>
      <c r="U54" s="522">
        <f>BH54/1100000</f>
        <v>0</v>
      </c>
      <c r="V54" s="523" t="s">
        <v>2477</v>
      </c>
      <c r="W54" s="524" t="e">
        <f>#REF!/1100000</f>
        <v>#REF!</v>
      </c>
      <c r="X54" s="260"/>
      <c r="Y54" s="80" t="s">
        <v>2476</v>
      </c>
      <c r="Z54" s="81">
        <v>115566000</v>
      </c>
      <c r="AA54" s="82"/>
      <c r="AB54" s="83">
        <f t="shared" ref="AB54:AB59" si="1">SUM(AC54:AY54)</f>
        <v>0</v>
      </c>
      <c r="AC54" s="91"/>
      <c r="AD54" s="92"/>
      <c r="AE54" s="92"/>
      <c r="AF54" s="92"/>
      <c r="AG54" s="92"/>
      <c r="AH54" s="384"/>
      <c r="AI54" s="92"/>
      <c r="AJ54" s="92"/>
      <c r="AK54" s="92"/>
      <c r="AL54" s="92"/>
      <c r="AM54" s="92"/>
      <c r="AN54" s="92"/>
      <c r="AO54" s="92"/>
      <c r="AP54" s="92"/>
      <c r="AQ54" s="92"/>
      <c r="AR54" s="92"/>
      <c r="AS54" s="92"/>
      <c r="AT54" s="92"/>
      <c r="AU54" s="92"/>
      <c r="AV54" s="92"/>
      <c r="AW54" s="92"/>
      <c r="AX54" s="92"/>
      <c r="AY54" s="92"/>
    </row>
    <row r="55" spans="1:58" s="78" customFormat="1" ht="22.5" customHeight="1">
      <c r="A55" s="495"/>
      <c r="B55" s="558"/>
      <c r="C55" s="559"/>
      <c r="D55" s="560" t="s">
        <v>2480</v>
      </c>
      <c r="E55" s="560" t="s">
        <v>2480</v>
      </c>
      <c r="F55" s="560" t="s">
        <v>2480</v>
      </c>
      <c r="G55" s="560" t="s">
        <v>2480</v>
      </c>
      <c r="H55" s="560" t="s">
        <v>2480</v>
      </c>
      <c r="I55" s="560" t="s">
        <v>2480</v>
      </c>
      <c r="J55" s="560" t="s">
        <v>2480</v>
      </c>
      <c r="K55" s="560" t="s">
        <v>2480</v>
      </c>
      <c r="L55" s="560" t="s">
        <v>2480</v>
      </c>
      <c r="M55" s="560"/>
      <c r="N55" s="560"/>
      <c r="O55" s="560"/>
      <c r="P55" s="502"/>
      <c r="Q55" s="495"/>
      <c r="R55" s="784"/>
      <c r="S55" s="531" t="s">
        <v>2479</v>
      </c>
      <c r="T55" s="526" t="s">
        <v>196</v>
      </c>
      <c r="U55" s="527" t="e">
        <f>U54-#REF!</f>
        <v>#REF!</v>
      </c>
      <c r="V55" s="532" t="s">
        <v>196</v>
      </c>
      <c r="W55" s="529" t="e">
        <f>W54-#REF!</f>
        <v>#REF!</v>
      </c>
      <c r="X55" s="261"/>
      <c r="Y55" s="80" t="s">
        <v>196</v>
      </c>
      <c r="Z55" s="81" t="e">
        <f>Z54-#REF!</f>
        <v>#REF!</v>
      </c>
      <c r="AA55" s="82" t="s">
        <v>1051</v>
      </c>
      <c r="AB55" s="83">
        <f t="shared" si="1"/>
        <v>0</v>
      </c>
      <c r="AC55" s="77"/>
      <c r="AD55" s="77"/>
      <c r="AE55" s="77"/>
      <c r="AF55" s="77"/>
      <c r="AG55" s="77"/>
      <c r="AH55" s="77" t="s">
        <v>2481</v>
      </c>
      <c r="AI55" s="77"/>
      <c r="AJ55" s="77" t="s">
        <v>2481</v>
      </c>
      <c r="AK55" s="77"/>
      <c r="AL55" s="77"/>
      <c r="AM55" s="77"/>
      <c r="AN55" s="77"/>
      <c r="AO55" s="77"/>
      <c r="AP55" s="77"/>
      <c r="AQ55" s="77"/>
      <c r="AR55" s="77"/>
      <c r="AS55" s="77"/>
      <c r="AT55" s="77"/>
      <c r="AU55" s="77"/>
      <c r="AV55" s="77"/>
      <c r="AW55" s="77"/>
      <c r="AX55" s="77"/>
      <c r="AY55" s="77"/>
      <c r="AZ55" s="68"/>
      <c r="BA55" s="68"/>
      <c r="BB55" s="68"/>
      <c r="BC55" s="68"/>
      <c r="BD55" s="68"/>
      <c r="BE55" s="68"/>
      <c r="BF55" s="68"/>
    </row>
    <row r="56" spans="1:58" s="78" customFormat="1" ht="22.5" customHeight="1">
      <c r="A56" s="490" t="s">
        <v>2482</v>
      </c>
      <c r="B56" s="554">
        <v>0.5</v>
      </c>
      <c r="C56" s="555">
        <f>B56+D56+E56+F56+G56+H56+I56+J56+K56+L56+M56+N56+O56</f>
        <v>0.5</v>
      </c>
      <c r="D56" s="525"/>
      <c r="E56" s="525"/>
      <c r="F56" s="525"/>
      <c r="G56" s="525"/>
      <c r="H56" s="525"/>
      <c r="I56" s="525"/>
      <c r="J56" s="525"/>
      <c r="K56" s="525"/>
      <c r="L56" s="525"/>
      <c r="M56" s="525"/>
      <c r="N56" s="525"/>
      <c r="O56" s="525"/>
      <c r="P56" s="490" t="s">
        <v>2487</v>
      </c>
      <c r="Q56" s="490" t="s">
        <v>2488</v>
      </c>
      <c r="R56" s="700" t="s">
        <v>2483</v>
      </c>
      <c r="S56" s="556" t="s">
        <v>2484</v>
      </c>
      <c r="T56" s="521" t="s">
        <v>2485</v>
      </c>
      <c r="U56" s="522">
        <f>BH56/1100000</f>
        <v>0</v>
      </c>
      <c r="V56" s="523" t="s">
        <v>2486</v>
      </c>
      <c r="W56" s="524" t="e">
        <f>#REF!/1100000</f>
        <v>#REF!</v>
      </c>
      <c r="X56" s="260"/>
      <c r="Y56" s="80" t="s">
        <v>2485</v>
      </c>
      <c r="Z56" s="81">
        <v>101350000</v>
      </c>
      <c r="AA56" s="82"/>
      <c r="AB56" s="83">
        <f t="shared" si="1"/>
        <v>0</v>
      </c>
      <c r="AC56" s="91"/>
      <c r="AD56" s="92"/>
      <c r="AE56" s="92"/>
      <c r="AF56" s="92"/>
      <c r="AG56" s="92"/>
      <c r="AH56" s="92"/>
      <c r="AI56" s="92"/>
      <c r="AJ56" s="92"/>
      <c r="AK56" s="92"/>
      <c r="AL56" s="92"/>
      <c r="AM56" s="92"/>
      <c r="AN56" s="92"/>
      <c r="AO56" s="92"/>
      <c r="AP56" s="92"/>
      <c r="AQ56" s="92"/>
      <c r="AR56" s="92"/>
      <c r="AS56" s="92"/>
      <c r="AT56" s="92"/>
      <c r="AU56" s="92"/>
      <c r="AV56" s="92"/>
      <c r="AW56" s="92"/>
      <c r="AX56" s="92"/>
      <c r="AY56" s="92"/>
    </row>
    <row r="57" spans="1:58" s="78" customFormat="1" ht="22.5" customHeight="1">
      <c r="A57" s="495"/>
      <c r="B57" s="558"/>
      <c r="C57" s="559"/>
      <c r="D57" s="560" t="s">
        <v>2242</v>
      </c>
      <c r="E57" s="560" t="s">
        <v>2242</v>
      </c>
      <c r="F57" s="560" t="s">
        <v>2242</v>
      </c>
      <c r="G57" s="560" t="s">
        <v>2242</v>
      </c>
      <c r="H57" s="560" t="s">
        <v>2242</v>
      </c>
      <c r="I57" s="560" t="s">
        <v>2242</v>
      </c>
      <c r="J57" s="560" t="s">
        <v>2242</v>
      </c>
      <c r="K57" s="560" t="s">
        <v>2242</v>
      </c>
      <c r="L57" s="560" t="s">
        <v>2242</v>
      </c>
      <c r="M57" s="560" t="s">
        <v>2242</v>
      </c>
      <c r="N57" s="560" t="s">
        <v>2242</v>
      </c>
      <c r="O57" s="560" t="s">
        <v>2490</v>
      </c>
      <c r="P57" s="502"/>
      <c r="Q57" s="495"/>
      <c r="R57" s="784"/>
      <c r="S57" s="531" t="s">
        <v>2489</v>
      </c>
      <c r="T57" s="526" t="s">
        <v>196</v>
      </c>
      <c r="U57" s="527" t="e">
        <f>U56-#REF!</f>
        <v>#REF!</v>
      </c>
      <c r="V57" s="532" t="s">
        <v>196</v>
      </c>
      <c r="W57" s="529" t="e">
        <f>W56-#REF!</f>
        <v>#REF!</v>
      </c>
      <c r="X57" s="261"/>
      <c r="Y57" s="80" t="s">
        <v>196</v>
      </c>
      <c r="Z57" s="81" t="e">
        <f>Z56-#REF!</f>
        <v>#REF!</v>
      </c>
      <c r="AA57" s="82" t="s">
        <v>1051</v>
      </c>
      <c r="AB57" s="83">
        <f t="shared" si="1"/>
        <v>0</v>
      </c>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68"/>
      <c r="BA57" s="68"/>
      <c r="BB57" s="68"/>
      <c r="BC57" s="68"/>
      <c r="BD57" s="68"/>
      <c r="BE57" s="68"/>
      <c r="BF57" s="68"/>
    </row>
    <row r="58" spans="1:58" s="78" customFormat="1" ht="22.5" customHeight="1">
      <c r="A58" s="490" t="s">
        <v>2491</v>
      </c>
      <c r="B58" s="554">
        <v>0.5</v>
      </c>
      <c r="C58" s="555">
        <f>B58+D58+E58+F58+G58+H58+I58+J58+K58+L58+M58+N58+O58</f>
        <v>0.5</v>
      </c>
      <c r="D58" s="525"/>
      <c r="E58" s="525"/>
      <c r="F58" s="525"/>
      <c r="G58" s="525"/>
      <c r="H58" s="525"/>
      <c r="I58" s="525"/>
      <c r="J58" s="525"/>
      <c r="K58" s="525"/>
      <c r="L58" s="525"/>
      <c r="M58" s="525"/>
      <c r="N58" s="525"/>
      <c r="O58" s="525"/>
      <c r="P58" s="490" t="s">
        <v>2493</v>
      </c>
      <c r="Q58" s="490" t="s">
        <v>2494</v>
      </c>
      <c r="R58" s="700" t="s">
        <v>2492</v>
      </c>
      <c r="S58" s="556" t="s">
        <v>2020</v>
      </c>
      <c r="T58" s="521" t="s">
        <v>89</v>
      </c>
      <c r="U58" s="522">
        <f>BH58/1100000</f>
        <v>0</v>
      </c>
      <c r="V58" s="523" t="s">
        <v>41</v>
      </c>
      <c r="W58" s="524" t="e">
        <f>#REF!/1100000</f>
        <v>#REF!</v>
      </c>
      <c r="X58" s="260"/>
      <c r="Y58" s="80" t="s">
        <v>89</v>
      </c>
      <c r="Z58" s="81">
        <v>74405000</v>
      </c>
      <c r="AA58" s="82"/>
      <c r="AB58" s="83">
        <f t="shared" si="1"/>
        <v>0</v>
      </c>
      <c r="AC58" s="91"/>
      <c r="AD58" s="92" t="s">
        <v>2495</v>
      </c>
      <c r="AE58" s="92"/>
      <c r="AF58" s="92"/>
      <c r="AG58" s="92"/>
      <c r="AH58" s="92"/>
      <c r="AI58" s="92"/>
      <c r="AJ58" s="92"/>
      <c r="AK58" s="92"/>
      <c r="AL58" s="92"/>
      <c r="AM58" s="92"/>
      <c r="AN58" s="92"/>
      <c r="AO58" s="92"/>
      <c r="AP58" s="92"/>
      <c r="AQ58" s="92"/>
      <c r="AR58" s="92"/>
      <c r="AS58" s="92"/>
      <c r="AT58" s="92"/>
      <c r="AU58" s="92"/>
      <c r="AV58" s="92"/>
      <c r="AW58" s="92"/>
      <c r="AX58" s="92"/>
      <c r="AY58" s="92"/>
    </row>
    <row r="59" spans="1:58" s="78" customFormat="1" ht="22.5" customHeight="1">
      <c r="A59" s="495"/>
      <c r="B59" s="558"/>
      <c r="C59" s="559"/>
      <c r="D59" s="560" t="s">
        <v>2242</v>
      </c>
      <c r="E59" s="560" t="s">
        <v>2242</v>
      </c>
      <c r="F59" s="560" t="s">
        <v>2242</v>
      </c>
      <c r="G59" s="560" t="s">
        <v>2242</v>
      </c>
      <c r="H59" s="560" t="s">
        <v>2242</v>
      </c>
      <c r="I59" s="560" t="s">
        <v>2242</v>
      </c>
      <c r="J59" s="560" t="s">
        <v>2242</v>
      </c>
      <c r="K59" s="560" t="s">
        <v>2242</v>
      </c>
      <c r="L59" s="560"/>
      <c r="M59" s="560"/>
      <c r="N59" s="560"/>
      <c r="O59" s="560" t="s">
        <v>2490</v>
      </c>
      <c r="P59" s="502"/>
      <c r="Q59" s="495"/>
      <c r="R59" s="784"/>
      <c r="S59" s="531" t="s">
        <v>67</v>
      </c>
      <c r="T59" s="526" t="s">
        <v>196</v>
      </c>
      <c r="U59" s="527" t="e">
        <f>U58-#REF!</f>
        <v>#REF!</v>
      </c>
      <c r="V59" s="532" t="s">
        <v>196</v>
      </c>
      <c r="W59" s="529" t="e">
        <f>W58-#REF!</f>
        <v>#REF!</v>
      </c>
      <c r="X59" s="261"/>
      <c r="Y59" s="80" t="s">
        <v>196</v>
      </c>
      <c r="Z59" s="81" t="e">
        <f>Z58-#REF!</f>
        <v>#REF!</v>
      </c>
      <c r="AA59" s="82" t="s">
        <v>1051</v>
      </c>
      <c r="AB59" s="83">
        <f t="shared" si="1"/>
        <v>0</v>
      </c>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68"/>
      <c r="BA59" s="68"/>
      <c r="BB59" s="68"/>
      <c r="BC59" s="68"/>
      <c r="BD59" s="68"/>
      <c r="BE59" s="68"/>
      <c r="BF59" s="68"/>
    </row>
  </sheetData>
  <phoneticPr fontId="2" type="noConversion"/>
  <printOptions horizontalCentered="1"/>
  <pageMargins left="0.15748031496062992" right="0.15748031496062992" top="0.47244094488188981" bottom="0.39370078740157483" header="0.31496062992125984" footer="0.31496062992125984"/>
  <pageSetup paperSize="9" scale="10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54"/>
  <sheetViews>
    <sheetView view="pageBreakPreview" zoomScaleNormal="115" zoomScaleSheetLayoutView="100" workbookViewId="0">
      <pane xSplit="1" ySplit="3" topLeftCell="B4" activePane="bottomRight" state="frozen"/>
      <selection activeCell="C11" sqref="C11"/>
      <selection pane="topRight" activeCell="C11" sqref="C11"/>
      <selection pane="bottomLeft" activeCell="C11" sqref="C11"/>
      <selection pane="bottomRight" activeCell="G22" sqref="G22"/>
    </sheetView>
  </sheetViews>
  <sheetFormatPr defaultRowHeight="30.75" customHeight="1"/>
  <cols>
    <col min="1" max="1" width="12.625" style="275" customWidth="1"/>
    <col min="2" max="2" width="4.875" style="282" customWidth="1"/>
    <col min="3" max="3" width="6" style="282" customWidth="1"/>
    <col min="4" max="9" width="8.875" style="275" customWidth="1"/>
    <col min="10" max="12" width="10.5" style="275" customWidth="1"/>
    <col min="13" max="15" width="8.875" style="275" customWidth="1"/>
    <col min="16" max="16" width="14.25" style="275" customWidth="1"/>
    <col min="17" max="17" width="12.625" style="275" customWidth="1"/>
    <col min="18" max="18" width="19.375" style="78" customWidth="1"/>
    <col min="19" max="19" width="9.875" style="275" customWidth="1"/>
    <col min="20" max="20" width="5.125" style="275" customWidth="1"/>
    <col min="21" max="21" width="8.75" style="275" customWidth="1"/>
    <col min="22" max="22" width="5.125" style="275" customWidth="1"/>
    <col min="23" max="23" width="10.75" style="275" customWidth="1"/>
    <col min="24" max="25" width="12.625" style="275" customWidth="1"/>
    <col min="26" max="27" width="4.5" style="275" customWidth="1"/>
    <col min="28" max="28" width="6.125" style="275" customWidth="1"/>
    <col min="29" max="29" width="17.125" style="275" customWidth="1"/>
    <col min="30" max="30" width="9" style="277"/>
    <col min="31" max="31" width="15.75" style="77" customWidth="1"/>
    <col min="32" max="54" width="16.5" style="77" customWidth="1"/>
    <col min="55" max="16384" width="9" style="78"/>
  </cols>
  <sheetData>
    <row r="1" spans="1:61" ht="24.75" customHeight="1">
      <c r="A1" s="441" t="s">
        <v>1064</v>
      </c>
      <c r="B1" s="441"/>
      <c r="C1" s="441"/>
      <c r="D1" s="441"/>
      <c r="E1" s="441"/>
      <c r="F1" s="441"/>
      <c r="G1" s="441"/>
      <c r="H1" s="441"/>
      <c r="I1" s="441"/>
      <c r="J1" s="441"/>
      <c r="K1" s="441"/>
      <c r="L1" s="441"/>
      <c r="M1" s="441"/>
      <c r="N1" s="441"/>
      <c r="O1" s="441"/>
      <c r="P1" s="441"/>
      <c r="Q1" s="441"/>
      <c r="R1" s="441"/>
      <c r="S1" s="441"/>
      <c r="T1" s="441"/>
      <c r="U1" s="441"/>
      <c r="V1" s="441"/>
      <c r="W1" s="441"/>
      <c r="X1" s="441"/>
      <c r="Y1" s="441"/>
      <c r="Z1" s="511"/>
      <c r="AA1" s="511"/>
    </row>
    <row r="2" spans="1:61" ht="21.75" customHeight="1">
      <c r="A2" s="279" t="s">
        <v>1065</v>
      </c>
      <c r="Q2" s="393" t="s">
        <v>1030</v>
      </c>
      <c r="X2" s="393"/>
      <c r="Y2" s="512"/>
      <c r="AC2" s="285"/>
      <c r="AE2" s="77" t="e">
        <f>#REF!+#REF!+#REF!+#REF!</f>
        <v>#REF!</v>
      </c>
    </row>
    <row r="3" spans="1:61" ht="22.5" customHeight="1" thickBot="1">
      <c r="A3" s="513" t="s">
        <v>1031</v>
      </c>
      <c r="B3" s="514" t="s">
        <v>1036</v>
      </c>
      <c r="C3" s="515" t="s">
        <v>1037</v>
      </c>
      <c r="D3" s="552" t="s">
        <v>768</v>
      </c>
      <c r="E3" s="552" t="s">
        <v>1052</v>
      </c>
      <c r="F3" s="552" t="s">
        <v>758</v>
      </c>
      <c r="G3" s="552" t="s">
        <v>759</v>
      </c>
      <c r="H3" s="552" t="s">
        <v>760</v>
      </c>
      <c r="I3" s="552" t="s">
        <v>761</v>
      </c>
      <c r="J3" s="552" t="s">
        <v>762</v>
      </c>
      <c r="K3" s="552" t="s">
        <v>763</v>
      </c>
      <c r="L3" s="552" t="s">
        <v>764</v>
      </c>
      <c r="M3" s="552" t="s">
        <v>765</v>
      </c>
      <c r="N3" s="552" t="s">
        <v>766</v>
      </c>
      <c r="O3" s="552" t="s">
        <v>767</v>
      </c>
      <c r="P3" s="516" t="s">
        <v>1068</v>
      </c>
      <c r="Q3" s="516" t="s">
        <v>1039</v>
      </c>
      <c r="R3" s="513" t="s">
        <v>2</v>
      </c>
      <c r="S3" s="513" t="s">
        <v>1033</v>
      </c>
      <c r="T3" s="513" t="s">
        <v>1066</v>
      </c>
      <c r="U3" s="513"/>
      <c r="V3" s="551" t="s">
        <v>1067</v>
      </c>
      <c r="W3" s="552"/>
      <c r="X3" s="517"/>
      <c r="Y3" s="517"/>
      <c r="Z3" s="291" t="s">
        <v>1040</v>
      </c>
      <c r="AA3" s="587"/>
      <c r="AC3" s="518" t="s">
        <v>1069</v>
      </c>
      <c r="AE3" s="518" t="s">
        <v>1070</v>
      </c>
      <c r="AF3" s="519"/>
    </row>
    <row r="4" spans="1:61" ht="22.5" customHeight="1">
      <c r="A4" s="490" t="s">
        <v>1071</v>
      </c>
      <c r="B4" s="554">
        <v>0.9</v>
      </c>
      <c r="C4" s="555">
        <f>B4+D4+E4+F4+G4+H4+I4+J4+K4+L4+M4+N4+O4</f>
        <v>0.9</v>
      </c>
      <c r="D4" s="525">
        <v>0</v>
      </c>
      <c r="E4" s="525">
        <v>0</v>
      </c>
      <c r="F4" s="525">
        <v>0</v>
      </c>
      <c r="G4" s="525">
        <v>0</v>
      </c>
      <c r="H4" s="525">
        <v>0</v>
      </c>
      <c r="I4" s="525">
        <v>0</v>
      </c>
      <c r="J4" s="525">
        <v>0</v>
      </c>
      <c r="K4" s="525">
        <v>0</v>
      </c>
      <c r="L4" s="525">
        <v>0</v>
      </c>
      <c r="M4" s="525">
        <v>0</v>
      </c>
      <c r="N4" s="525">
        <v>0</v>
      </c>
      <c r="O4" s="525"/>
      <c r="P4" s="556" t="str">
        <f>F5</f>
        <v>업무대기</v>
      </c>
      <c r="Q4" s="490" t="s">
        <v>1074</v>
      </c>
      <c r="R4" s="553" t="s">
        <v>1072</v>
      </c>
      <c r="S4" s="520" t="s">
        <v>1073</v>
      </c>
      <c r="T4" s="521" t="s">
        <v>814</v>
      </c>
      <c r="U4" s="522">
        <f>BK4/1100000</f>
        <v>0</v>
      </c>
      <c r="V4" s="523" t="s">
        <v>832</v>
      </c>
      <c r="W4" s="524" t="e">
        <f>U4*0.75-(#REF!+W5)</f>
        <v>#REF!</v>
      </c>
      <c r="X4" s="299" t="s">
        <v>1075</v>
      </c>
      <c r="Y4" s="79" t="s">
        <v>1076</v>
      </c>
      <c r="Z4" s="260" t="s">
        <v>1077</v>
      </c>
      <c r="AA4" s="260"/>
      <c r="AB4" s="80" t="s">
        <v>814</v>
      </c>
      <c r="AC4" s="81">
        <v>2582800000</v>
      </c>
      <c r="AD4" s="82" t="s">
        <v>35</v>
      </c>
      <c r="AE4" s="83">
        <f>SUM(AF4:BB4)</f>
        <v>227152363</v>
      </c>
      <c r="AF4" s="91" t="s">
        <v>1078</v>
      </c>
      <c r="AG4" s="92">
        <v>74500363</v>
      </c>
      <c r="AH4" s="92" t="s">
        <v>1079</v>
      </c>
      <c r="AI4" s="92">
        <v>152652000</v>
      </c>
      <c r="AJ4" s="92" t="s">
        <v>1080</v>
      </c>
      <c r="AK4" s="92"/>
      <c r="AL4" s="92" t="s">
        <v>1080</v>
      </c>
      <c r="AM4" s="92"/>
      <c r="AN4" s="92" t="s">
        <v>1080</v>
      </c>
      <c r="AO4" s="92"/>
      <c r="AP4" s="92"/>
      <c r="AQ4" s="92"/>
      <c r="AR4" s="92"/>
      <c r="AS4" s="92"/>
      <c r="AT4" s="92"/>
      <c r="AU4" s="92"/>
      <c r="AV4" s="92"/>
      <c r="AW4" s="92"/>
      <c r="AX4" s="92"/>
      <c r="AY4" s="92"/>
      <c r="AZ4" s="92"/>
      <c r="BA4" s="92"/>
      <c r="BB4" s="92"/>
    </row>
    <row r="5" spans="1:61" ht="22.5" customHeight="1" thickBot="1">
      <c r="A5" s="495"/>
      <c r="B5" s="558"/>
      <c r="C5" s="559"/>
      <c r="D5" s="560" t="s">
        <v>1083</v>
      </c>
      <c r="E5" s="560" t="str">
        <f>D5</f>
        <v>업무대기</v>
      </c>
      <c r="F5" s="560" t="s">
        <v>1083</v>
      </c>
      <c r="G5" s="560" t="s">
        <v>1083</v>
      </c>
      <c r="H5" s="560" t="str">
        <f t="shared" ref="H5:N5" si="0">G5</f>
        <v>업무대기</v>
      </c>
      <c r="I5" s="560" t="str">
        <f t="shared" si="0"/>
        <v>업무대기</v>
      </c>
      <c r="J5" s="560" t="str">
        <f t="shared" si="0"/>
        <v>업무대기</v>
      </c>
      <c r="K5" s="560" t="str">
        <f t="shared" si="0"/>
        <v>업무대기</v>
      </c>
      <c r="L5" s="560" t="str">
        <f t="shared" si="0"/>
        <v>업무대기</v>
      </c>
      <c r="M5" s="560" t="str">
        <f t="shared" si="0"/>
        <v>업무대기</v>
      </c>
      <c r="N5" s="560" t="str">
        <f t="shared" si="0"/>
        <v>업무대기</v>
      </c>
      <c r="O5" s="560"/>
      <c r="P5" s="561"/>
      <c r="Q5" s="495"/>
      <c r="R5" s="557"/>
      <c r="S5" s="531" t="s">
        <v>1082</v>
      </c>
      <c r="T5" s="526" t="s">
        <v>817</v>
      </c>
      <c r="U5" s="527" t="e">
        <f>U4-#REF!</f>
        <v>#REF!</v>
      </c>
      <c r="V5" s="532" t="s">
        <v>818</v>
      </c>
      <c r="W5" s="529" t="e">
        <f>(#REF!+BM5)/1000000</f>
        <v>#REF!</v>
      </c>
      <c r="X5" s="533"/>
      <c r="Y5" s="533"/>
      <c r="Z5" s="261"/>
      <c r="AA5" s="261"/>
      <c r="AB5" s="80" t="s">
        <v>817</v>
      </c>
      <c r="AC5" s="81" t="e">
        <f>AC4-#REF!</f>
        <v>#REF!</v>
      </c>
      <c r="AD5" s="82" t="s">
        <v>824</v>
      </c>
      <c r="AE5" s="83"/>
      <c r="BC5" s="68"/>
      <c r="BD5" s="68"/>
      <c r="BE5" s="68"/>
      <c r="BF5" s="68"/>
      <c r="BG5" s="68"/>
      <c r="BH5" s="68"/>
      <c r="BI5" s="68"/>
    </row>
    <row r="6" spans="1:61" ht="22.5" customHeight="1">
      <c r="A6" s="563" t="s">
        <v>1084</v>
      </c>
      <c r="B6" s="554">
        <v>0.33</v>
      </c>
      <c r="C6" s="555">
        <f>B6+D6+E6+F6+G6+H6+I6+J6+K6+L6+M6+N6+O6</f>
        <v>0.44000000000000011</v>
      </c>
      <c r="D6" s="525">
        <v>0.01</v>
      </c>
      <c r="E6" s="525">
        <v>0.01</v>
      </c>
      <c r="F6" s="525">
        <v>0.01</v>
      </c>
      <c r="G6" s="525">
        <v>0.01</v>
      </c>
      <c r="H6" s="525">
        <v>0.01</v>
      </c>
      <c r="I6" s="525">
        <v>0.01</v>
      </c>
      <c r="J6" s="525">
        <v>0.01</v>
      </c>
      <c r="K6" s="525">
        <v>0.01</v>
      </c>
      <c r="L6" s="525">
        <v>0.01</v>
      </c>
      <c r="M6" s="525">
        <v>0.01</v>
      </c>
      <c r="N6" s="525">
        <v>0.01</v>
      </c>
      <c r="O6" s="525"/>
      <c r="P6" s="490" t="str">
        <f>E7</f>
        <v>조합및시행사 업무지원</v>
      </c>
      <c r="Q6" s="490" t="s">
        <v>1087</v>
      </c>
      <c r="R6" s="553" t="s">
        <v>1085</v>
      </c>
      <c r="S6" s="537" t="s">
        <v>1086</v>
      </c>
      <c r="T6" s="521" t="s">
        <v>814</v>
      </c>
      <c r="U6" s="522">
        <f>BK6/1100000</f>
        <v>0</v>
      </c>
      <c r="V6" s="523" t="s">
        <v>832</v>
      </c>
      <c r="W6" s="524" t="e">
        <f>U6*0.75-(#REF!+W7)</f>
        <v>#REF!</v>
      </c>
      <c r="X6" s="299" t="s">
        <v>1075</v>
      </c>
      <c r="Y6" s="79" t="s">
        <v>1076</v>
      </c>
      <c r="Z6" s="260" t="s">
        <v>1088</v>
      </c>
      <c r="AA6" s="260"/>
      <c r="AB6" s="80" t="s">
        <v>814</v>
      </c>
      <c r="AC6" s="81">
        <v>3724600000</v>
      </c>
      <c r="AD6" s="82" t="s">
        <v>35</v>
      </c>
      <c r="AE6" s="83">
        <f>SUM(AF6:BB6)</f>
        <v>0</v>
      </c>
      <c r="AF6" s="91" t="s">
        <v>1078</v>
      </c>
      <c r="AG6" s="92"/>
      <c r="AH6" s="92" t="s">
        <v>1079</v>
      </c>
      <c r="AI6" s="92"/>
      <c r="AJ6" s="92" t="s">
        <v>1080</v>
      </c>
      <c r="AK6" s="92"/>
      <c r="AL6" s="92" t="s">
        <v>1080</v>
      </c>
      <c r="AM6" s="92"/>
      <c r="AN6" s="92" t="s">
        <v>1080</v>
      </c>
      <c r="AO6" s="92"/>
      <c r="AP6" s="92"/>
      <c r="AQ6" s="92"/>
      <c r="AR6" s="92"/>
      <c r="AS6" s="92"/>
      <c r="AT6" s="92"/>
      <c r="AU6" s="92"/>
      <c r="AV6" s="92"/>
      <c r="AW6" s="92"/>
      <c r="AX6" s="92"/>
      <c r="AY6" s="92"/>
      <c r="AZ6" s="92"/>
      <c r="BA6" s="92"/>
      <c r="BB6" s="92"/>
    </row>
    <row r="7" spans="1:61" ht="22.5" customHeight="1" thickBot="1">
      <c r="A7" s="564"/>
      <c r="B7" s="558"/>
      <c r="C7" s="559"/>
      <c r="D7" s="560" t="s">
        <v>1091</v>
      </c>
      <c r="E7" s="560" t="str">
        <f t="shared" ref="E7:N7" si="1">D7</f>
        <v>조합및시행사 업무지원</v>
      </c>
      <c r="F7" s="560" t="str">
        <f t="shared" si="1"/>
        <v>조합및시행사 업무지원</v>
      </c>
      <c r="G7" s="560" t="str">
        <f t="shared" si="1"/>
        <v>조합및시행사 업무지원</v>
      </c>
      <c r="H7" s="560" t="str">
        <f t="shared" si="1"/>
        <v>조합및시행사 업무지원</v>
      </c>
      <c r="I7" s="560" t="str">
        <f t="shared" si="1"/>
        <v>조합및시행사 업무지원</v>
      </c>
      <c r="J7" s="560" t="str">
        <f t="shared" si="1"/>
        <v>조합및시행사 업무지원</v>
      </c>
      <c r="K7" s="560" t="str">
        <f t="shared" si="1"/>
        <v>조합및시행사 업무지원</v>
      </c>
      <c r="L7" s="560" t="str">
        <f t="shared" si="1"/>
        <v>조합및시행사 업무지원</v>
      </c>
      <c r="M7" s="560" t="str">
        <f t="shared" si="1"/>
        <v>조합및시행사 업무지원</v>
      </c>
      <c r="N7" s="560" t="str">
        <f t="shared" si="1"/>
        <v>조합및시행사 업무지원</v>
      </c>
      <c r="O7" s="560"/>
      <c r="P7" s="561"/>
      <c r="Q7" s="495"/>
      <c r="R7" s="557"/>
      <c r="S7" s="531" t="s">
        <v>1082</v>
      </c>
      <c r="T7" s="526" t="s">
        <v>817</v>
      </c>
      <c r="U7" s="527" t="e">
        <f>U6-#REF!</f>
        <v>#REF!</v>
      </c>
      <c r="V7" s="532" t="s">
        <v>818</v>
      </c>
      <c r="W7" s="529" t="e">
        <f>(#REF!+BM7)/1000000</f>
        <v>#REF!</v>
      </c>
      <c r="X7" s="533"/>
      <c r="Y7" s="533"/>
      <c r="Z7" s="261"/>
      <c r="AA7" s="261"/>
      <c r="AB7" s="80" t="s">
        <v>196</v>
      </c>
      <c r="AC7" s="81" t="e">
        <f>AC6-#REF!</f>
        <v>#REF!</v>
      </c>
      <c r="AD7" s="82" t="s">
        <v>100</v>
      </c>
      <c r="AE7" s="83"/>
      <c r="BC7" s="68"/>
      <c r="BD7" s="68"/>
      <c r="BE7" s="68"/>
      <c r="BF7" s="68"/>
      <c r="BG7" s="68"/>
      <c r="BH7" s="68"/>
      <c r="BI7" s="68"/>
    </row>
    <row r="8" spans="1:61" ht="22.5" customHeight="1">
      <c r="A8" s="490" t="s">
        <v>1092</v>
      </c>
      <c r="B8" s="554">
        <v>0.38</v>
      </c>
      <c r="C8" s="555">
        <f>B8+D8+E8+F8+G8+H8+I8+J8+K8+L8+M8+N8+O8</f>
        <v>0.38</v>
      </c>
      <c r="D8" s="525">
        <v>0</v>
      </c>
      <c r="E8" s="525">
        <v>0</v>
      </c>
      <c r="F8" s="525">
        <v>0</v>
      </c>
      <c r="G8" s="525">
        <v>0</v>
      </c>
      <c r="H8" s="525">
        <v>0</v>
      </c>
      <c r="I8" s="525">
        <v>0</v>
      </c>
      <c r="J8" s="525">
        <v>0</v>
      </c>
      <c r="K8" s="525">
        <v>0</v>
      </c>
      <c r="L8" s="525">
        <v>0</v>
      </c>
      <c r="M8" s="525">
        <v>0</v>
      </c>
      <c r="N8" s="525">
        <v>0</v>
      </c>
      <c r="O8" s="525"/>
      <c r="P8" s="490" t="str">
        <f>I9</f>
        <v>업무대기</v>
      </c>
      <c r="Q8" s="490" t="s">
        <v>1087</v>
      </c>
      <c r="R8" s="553" t="s">
        <v>1093</v>
      </c>
      <c r="S8" s="537" t="s">
        <v>1094</v>
      </c>
      <c r="T8" s="521" t="s">
        <v>89</v>
      </c>
      <c r="U8" s="522">
        <f>BK8/1100000</f>
        <v>0</v>
      </c>
      <c r="V8" s="523" t="s">
        <v>7</v>
      </c>
      <c r="W8" s="524" t="e">
        <f>U8*0.75-(#REF!+W9)</f>
        <v>#REF!</v>
      </c>
      <c r="X8" s="299" t="s">
        <v>1075</v>
      </c>
      <c r="Y8" s="79" t="s">
        <v>1076</v>
      </c>
      <c r="Z8" s="260" t="s">
        <v>1095</v>
      </c>
      <c r="AA8" s="260"/>
      <c r="AB8" s="80" t="s">
        <v>814</v>
      </c>
      <c r="AC8" s="81">
        <v>457700000</v>
      </c>
      <c r="AD8" s="82" t="s">
        <v>35</v>
      </c>
      <c r="AE8" s="83">
        <f>SUM(AF8:BB8)</f>
        <v>0</v>
      </c>
      <c r="AF8" s="91" t="s">
        <v>1078</v>
      </c>
      <c r="AG8" s="92"/>
      <c r="AH8" s="92" t="s">
        <v>1079</v>
      </c>
      <c r="AI8" s="92"/>
      <c r="AJ8" s="92" t="s">
        <v>1080</v>
      </c>
      <c r="AK8" s="92"/>
      <c r="AL8" s="92" t="s">
        <v>1080</v>
      </c>
      <c r="AM8" s="92"/>
      <c r="AN8" s="92" t="s">
        <v>1080</v>
      </c>
      <c r="AO8" s="92"/>
      <c r="AP8" s="92"/>
      <c r="AQ8" s="92"/>
      <c r="AR8" s="92"/>
      <c r="AS8" s="92"/>
      <c r="AT8" s="92"/>
      <c r="AU8" s="92"/>
      <c r="AV8" s="92"/>
      <c r="AW8" s="92"/>
      <c r="AX8" s="92"/>
      <c r="AY8" s="92"/>
      <c r="AZ8" s="92"/>
      <c r="BA8" s="92"/>
      <c r="BB8" s="92"/>
    </row>
    <row r="9" spans="1:61" ht="22.5" customHeight="1" thickBot="1">
      <c r="A9" s="495"/>
      <c r="B9" s="558"/>
      <c r="C9" s="559"/>
      <c r="D9" s="560" t="s">
        <v>1083</v>
      </c>
      <c r="E9" s="560" t="str">
        <f>D9</f>
        <v>업무대기</v>
      </c>
      <c r="F9" s="560" t="str">
        <f>E9</f>
        <v>업무대기</v>
      </c>
      <c r="G9" s="560" t="s">
        <v>1097</v>
      </c>
      <c r="H9" s="560" t="s">
        <v>1098</v>
      </c>
      <c r="I9" s="560" t="s">
        <v>77</v>
      </c>
      <c r="J9" s="560" t="str">
        <f>I9</f>
        <v>업무대기</v>
      </c>
      <c r="K9" s="560" t="str">
        <f>J9</f>
        <v>업무대기</v>
      </c>
      <c r="L9" s="560" t="str">
        <f>K9</f>
        <v>업무대기</v>
      </c>
      <c r="M9" s="560" t="str">
        <f>L9</f>
        <v>업무대기</v>
      </c>
      <c r="N9" s="560" t="str">
        <f>M9</f>
        <v>업무대기</v>
      </c>
      <c r="O9" s="560"/>
      <c r="P9" s="561"/>
      <c r="Q9" s="495"/>
      <c r="R9" s="557"/>
      <c r="S9" s="531" t="s">
        <v>1096</v>
      </c>
      <c r="T9" s="526" t="s">
        <v>817</v>
      </c>
      <c r="U9" s="527" t="e">
        <f>U8-#REF!</f>
        <v>#REF!</v>
      </c>
      <c r="V9" s="532" t="s">
        <v>818</v>
      </c>
      <c r="W9" s="529" t="e">
        <f>(#REF!+BM9)/1000000</f>
        <v>#REF!</v>
      </c>
      <c r="X9" s="533"/>
      <c r="Y9" s="533"/>
      <c r="Z9" s="261"/>
      <c r="AA9" s="261"/>
      <c r="AB9" s="80" t="s">
        <v>196</v>
      </c>
      <c r="AC9" s="81" t="e">
        <f>AC8-#REF!</f>
        <v>#REF!</v>
      </c>
      <c r="AD9" s="82" t="s">
        <v>100</v>
      </c>
      <c r="AE9" s="83"/>
      <c r="BC9" s="68"/>
      <c r="BD9" s="68"/>
      <c r="BE9" s="68"/>
      <c r="BF9" s="68"/>
      <c r="BG9" s="68"/>
      <c r="BH9" s="68"/>
      <c r="BI9" s="68"/>
    </row>
    <row r="10" spans="1:61" ht="22.5" customHeight="1">
      <c r="A10" s="490" t="s">
        <v>1099</v>
      </c>
      <c r="B10" s="554">
        <v>0.1</v>
      </c>
      <c r="C10" s="555">
        <f>B10+D10+E10+F10+G10+H10+I10+J10+K10+L10+M10+N10+O10</f>
        <v>0.1</v>
      </c>
      <c r="D10" s="525">
        <v>0</v>
      </c>
      <c r="E10" s="525">
        <v>0</v>
      </c>
      <c r="F10" s="525">
        <v>0</v>
      </c>
      <c r="G10" s="525">
        <v>0</v>
      </c>
      <c r="H10" s="525">
        <v>0</v>
      </c>
      <c r="I10" s="525">
        <v>0</v>
      </c>
      <c r="J10" s="525">
        <v>0</v>
      </c>
      <c r="K10" s="525">
        <v>0</v>
      </c>
      <c r="L10" s="525">
        <v>0</v>
      </c>
      <c r="M10" s="525">
        <v>0</v>
      </c>
      <c r="N10" s="525">
        <v>0</v>
      </c>
      <c r="O10" s="525"/>
      <c r="P10" s="556" t="str">
        <f>D11</f>
        <v>업무대기</v>
      </c>
      <c r="Q10" s="490" t="s">
        <v>1102</v>
      </c>
      <c r="R10" s="553" t="s">
        <v>1100</v>
      </c>
      <c r="S10" s="537" t="s">
        <v>1101</v>
      </c>
      <c r="T10" s="521" t="s">
        <v>89</v>
      </c>
      <c r="U10" s="522">
        <f>BK10/1100000</f>
        <v>0</v>
      </c>
      <c r="V10" s="523" t="s">
        <v>7</v>
      </c>
      <c r="W10" s="524" t="e">
        <f>U10*0.75-(#REF!+W11)</f>
        <v>#REF!</v>
      </c>
      <c r="X10" s="299" t="s">
        <v>1075</v>
      </c>
      <c r="Y10" s="79" t="s">
        <v>1076</v>
      </c>
      <c r="Z10" s="260" t="s">
        <v>1103</v>
      </c>
      <c r="AA10" s="260"/>
      <c r="AB10" s="80" t="s">
        <v>89</v>
      </c>
      <c r="AC10" s="81">
        <v>195600000</v>
      </c>
      <c r="AD10" s="82" t="s">
        <v>98</v>
      </c>
      <c r="AE10" s="83">
        <f>SUM(AF10:BB10)</f>
        <v>0</v>
      </c>
      <c r="AF10" s="91" t="s">
        <v>1104</v>
      </c>
      <c r="AG10" s="92"/>
      <c r="AH10" s="92" t="s">
        <v>1105</v>
      </c>
      <c r="AI10" s="92"/>
      <c r="AJ10" s="92" t="s">
        <v>207</v>
      </c>
      <c r="AK10" s="92"/>
      <c r="AL10" s="92" t="s">
        <v>207</v>
      </c>
      <c r="AM10" s="92"/>
      <c r="AN10" s="92" t="s">
        <v>207</v>
      </c>
      <c r="AO10" s="92"/>
      <c r="AP10" s="92"/>
      <c r="AQ10" s="92"/>
      <c r="AR10" s="92"/>
      <c r="AS10" s="92"/>
      <c r="AT10" s="92"/>
      <c r="AU10" s="92"/>
      <c r="AV10" s="92"/>
      <c r="AW10" s="92"/>
      <c r="AX10" s="92"/>
      <c r="AY10" s="92"/>
      <c r="AZ10" s="92"/>
      <c r="BA10" s="92"/>
      <c r="BB10" s="92"/>
    </row>
    <row r="11" spans="1:61" ht="22.5" customHeight="1" thickBot="1">
      <c r="A11" s="495"/>
      <c r="B11" s="558"/>
      <c r="C11" s="559"/>
      <c r="D11" s="560" t="s">
        <v>77</v>
      </c>
      <c r="E11" s="560" t="str">
        <f>D11</f>
        <v>업무대기</v>
      </c>
      <c r="F11" s="560" t="str">
        <f>E11</f>
        <v>업무대기</v>
      </c>
      <c r="G11" s="560" t="s">
        <v>1083</v>
      </c>
      <c r="H11" s="560" t="str">
        <f t="shared" ref="H11:N11" si="2">G11</f>
        <v>업무대기</v>
      </c>
      <c r="I11" s="560" t="str">
        <f t="shared" si="2"/>
        <v>업무대기</v>
      </c>
      <c r="J11" s="560" t="str">
        <f t="shared" si="2"/>
        <v>업무대기</v>
      </c>
      <c r="K11" s="560" t="str">
        <f t="shared" si="2"/>
        <v>업무대기</v>
      </c>
      <c r="L11" s="560" t="str">
        <f t="shared" si="2"/>
        <v>업무대기</v>
      </c>
      <c r="M11" s="560" t="str">
        <f t="shared" si="2"/>
        <v>업무대기</v>
      </c>
      <c r="N11" s="560" t="str">
        <f t="shared" si="2"/>
        <v>업무대기</v>
      </c>
      <c r="O11" s="560"/>
      <c r="P11" s="561"/>
      <c r="Q11" s="495"/>
      <c r="R11" s="557"/>
      <c r="S11" s="531" t="s">
        <v>450</v>
      </c>
      <c r="T11" s="526" t="s">
        <v>196</v>
      </c>
      <c r="U11" s="527" t="e">
        <f>U10-#REF!</f>
        <v>#REF!</v>
      </c>
      <c r="V11" s="532" t="s">
        <v>15</v>
      </c>
      <c r="W11" s="529" t="e">
        <f>(#REF!+BM11)/1000000</f>
        <v>#REF!</v>
      </c>
      <c r="X11" s="533"/>
      <c r="Y11" s="533"/>
      <c r="Z11" s="261"/>
      <c r="AA11" s="261"/>
      <c r="AB11" s="80" t="s">
        <v>817</v>
      </c>
      <c r="AC11" s="81" t="e">
        <f>AC10-#REF!</f>
        <v>#REF!</v>
      </c>
      <c r="AD11" s="82" t="s">
        <v>824</v>
      </c>
      <c r="AE11" s="83"/>
      <c r="BC11" s="68"/>
      <c r="BD11" s="68"/>
      <c r="BE11" s="68"/>
      <c r="BF11" s="68"/>
      <c r="BG11" s="68"/>
      <c r="BH11" s="68"/>
      <c r="BI11" s="68"/>
    </row>
    <row r="12" spans="1:61" ht="22.5" customHeight="1">
      <c r="A12" s="490" t="s">
        <v>1106</v>
      </c>
      <c r="B12" s="554">
        <v>0.8</v>
      </c>
      <c r="C12" s="555">
        <f>B12+D12+E12+F12+G12+H12+I12+J12+K12+L12+M12+N12+O12</f>
        <v>1</v>
      </c>
      <c r="D12" s="525">
        <v>0.1</v>
      </c>
      <c r="E12" s="525">
        <v>0.05</v>
      </c>
      <c r="F12" s="525">
        <v>0.03</v>
      </c>
      <c r="G12" s="525">
        <v>0.01</v>
      </c>
      <c r="H12" s="525">
        <v>0.01</v>
      </c>
      <c r="I12" s="525">
        <v>0</v>
      </c>
      <c r="J12" s="525">
        <v>0</v>
      </c>
      <c r="K12" s="525">
        <v>0</v>
      </c>
      <c r="L12" s="525">
        <v>0</v>
      </c>
      <c r="M12" s="525">
        <v>0</v>
      </c>
      <c r="N12" s="525">
        <v>0</v>
      </c>
      <c r="O12" s="525"/>
      <c r="P12" s="490" t="s">
        <v>1109</v>
      </c>
      <c r="Q12" s="490" t="s">
        <v>1110</v>
      </c>
      <c r="R12" s="553" t="s">
        <v>1107</v>
      </c>
      <c r="S12" s="537" t="s">
        <v>1108</v>
      </c>
      <c r="T12" s="521" t="s">
        <v>814</v>
      </c>
      <c r="U12" s="522">
        <f>BK12/1100000</f>
        <v>0</v>
      </c>
      <c r="V12" s="523" t="s">
        <v>832</v>
      </c>
      <c r="W12" s="524" t="e">
        <f>U12*0.75-(#REF!+W13)</f>
        <v>#REF!</v>
      </c>
      <c r="X12" s="299" t="s">
        <v>1075</v>
      </c>
      <c r="Y12" s="79" t="s">
        <v>1076</v>
      </c>
      <c r="Z12" s="260" t="s">
        <v>1111</v>
      </c>
      <c r="AA12" s="260"/>
      <c r="AB12" s="80" t="s">
        <v>814</v>
      </c>
      <c r="AC12" s="81">
        <v>232916610</v>
      </c>
      <c r="AD12" s="82" t="s">
        <v>35</v>
      </c>
      <c r="AE12" s="83">
        <f>SUM(AF12:BB12)</f>
        <v>70280000</v>
      </c>
      <c r="AF12" s="91" t="s">
        <v>1112</v>
      </c>
      <c r="AG12" s="92">
        <v>13300000</v>
      </c>
      <c r="AH12" s="92" t="s">
        <v>1113</v>
      </c>
      <c r="AI12" s="92">
        <v>56980000</v>
      </c>
      <c r="AJ12" s="92" t="s">
        <v>1080</v>
      </c>
      <c r="AK12" s="92"/>
      <c r="AL12" s="92" t="s">
        <v>1080</v>
      </c>
      <c r="AM12" s="92"/>
      <c r="AN12" s="92" t="s">
        <v>1080</v>
      </c>
      <c r="AO12" s="92"/>
      <c r="AP12" s="92"/>
      <c r="AQ12" s="92"/>
      <c r="AR12" s="92"/>
      <c r="AS12" s="92"/>
      <c r="AT12" s="92"/>
      <c r="AU12" s="92"/>
      <c r="AV12" s="92"/>
      <c r="AW12" s="92"/>
      <c r="AX12" s="92"/>
      <c r="AY12" s="92"/>
      <c r="AZ12" s="92"/>
      <c r="BA12" s="92"/>
      <c r="BB12" s="92"/>
    </row>
    <row r="13" spans="1:61" ht="22.5" customHeight="1" thickBot="1">
      <c r="A13" s="495"/>
      <c r="B13" s="558"/>
      <c r="C13" s="559"/>
      <c r="D13" s="560" t="s">
        <v>1114</v>
      </c>
      <c r="E13" s="560" t="s">
        <v>1115</v>
      </c>
      <c r="F13" s="560" t="s">
        <v>1116</v>
      </c>
      <c r="G13" s="560" t="s">
        <v>1117</v>
      </c>
      <c r="H13" s="560" t="s">
        <v>1119</v>
      </c>
      <c r="I13" s="560" t="str">
        <f>H13</f>
        <v>준공성과품작성</v>
      </c>
      <c r="J13" s="560" t="s">
        <v>1120</v>
      </c>
      <c r="K13" s="560" t="str">
        <f>J13</f>
        <v>용역준공</v>
      </c>
      <c r="L13" s="560" t="str">
        <f>K13</f>
        <v>용역준공</v>
      </c>
      <c r="M13" s="560" t="str">
        <f>L13</f>
        <v>용역준공</v>
      </c>
      <c r="N13" s="560" t="str">
        <f>M13</f>
        <v>용역준공</v>
      </c>
      <c r="O13" s="560"/>
      <c r="P13" s="495"/>
      <c r="Q13" s="495"/>
      <c r="R13" s="557"/>
      <c r="S13" s="531"/>
      <c r="T13" s="526" t="s">
        <v>817</v>
      </c>
      <c r="U13" s="527" t="e">
        <f>U12-#REF!</f>
        <v>#REF!</v>
      </c>
      <c r="V13" s="532" t="s">
        <v>818</v>
      </c>
      <c r="W13" s="529" t="e">
        <f>(#REF!+BM13)/1000000</f>
        <v>#REF!</v>
      </c>
      <c r="X13" s="533"/>
      <c r="Y13" s="533"/>
      <c r="Z13" s="261"/>
      <c r="AA13" s="261"/>
      <c r="AB13" s="80" t="s">
        <v>196</v>
      </c>
      <c r="AC13" s="81" t="e">
        <f>AC12-#REF!</f>
        <v>#REF!</v>
      </c>
      <c r="AD13" s="82" t="s">
        <v>100</v>
      </c>
      <c r="AE13" s="83"/>
      <c r="BC13" s="68"/>
      <c r="BD13" s="68"/>
      <c r="BE13" s="68"/>
      <c r="BF13" s="68"/>
      <c r="BG13" s="68"/>
      <c r="BH13" s="68"/>
      <c r="BI13" s="68"/>
    </row>
    <row r="14" spans="1:61" ht="22.5" customHeight="1">
      <c r="A14" s="490" t="s">
        <v>1122</v>
      </c>
      <c r="B14" s="554">
        <v>0.75</v>
      </c>
      <c r="C14" s="555">
        <f>B14+D14+E14+F14+G14+H14+I14+J14+K14+L14+M14+N14+O14</f>
        <v>1</v>
      </c>
      <c r="D14" s="525">
        <v>0.1</v>
      </c>
      <c r="E14" s="525">
        <v>0.1</v>
      </c>
      <c r="F14" s="525">
        <v>0.03</v>
      </c>
      <c r="G14" s="525">
        <v>0.01</v>
      </c>
      <c r="H14" s="525">
        <v>0.01</v>
      </c>
      <c r="I14" s="525">
        <v>0</v>
      </c>
      <c r="J14" s="525">
        <v>0</v>
      </c>
      <c r="K14" s="525">
        <v>0</v>
      </c>
      <c r="L14" s="525">
        <v>0</v>
      </c>
      <c r="M14" s="525">
        <v>0</v>
      </c>
      <c r="N14" s="525">
        <v>0</v>
      </c>
      <c r="O14" s="525"/>
      <c r="P14" s="566" t="str">
        <f>I15</f>
        <v>용역준공</v>
      </c>
      <c r="Q14" s="490" t="s">
        <v>1125</v>
      </c>
      <c r="R14" s="553" t="s">
        <v>1123</v>
      </c>
      <c r="S14" s="537" t="s">
        <v>1124</v>
      </c>
      <c r="T14" s="521" t="s">
        <v>89</v>
      </c>
      <c r="U14" s="522">
        <f>BK14/1100000</f>
        <v>0</v>
      </c>
      <c r="V14" s="523" t="s">
        <v>7</v>
      </c>
      <c r="W14" s="524" t="e">
        <f>U14*0.75-(#REF!+W15)</f>
        <v>#REF!</v>
      </c>
      <c r="X14" s="299" t="s">
        <v>1075</v>
      </c>
      <c r="Y14" s="79" t="s">
        <v>1076</v>
      </c>
      <c r="Z14" s="260" t="s">
        <v>1126</v>
      </c>
      <c r="AA14" s="260"/>
      <c r="AB14" s="80" t="s">
        <v>814</v>
      </c>
      <c r="AC14" s="81">
        <v>127826000</v>
      </c>
      <c r="AD14" s="82" t="s">
        <v>35</v>
      </c>
      <c r="AE14" s="83">
        <f>SUM(AF14:BB14)</f>
        <v>29790000</v>
      </c>
      <c r="AF14" s="91" t="s">
        <v>1078</v>
      </c>
      <c r="AG14" s="92">
        <v>8630000</v>
      </c>
      <c r="AH14" s="92" t="s">
        <v>1113</v>
      </c>
      <c r="AI14" s="92">
        <v>21160000</v>
      </c>
      <c r="AJ14" s="92" t="s">
        <v>1080</v>
      </c>
      <c r="AK14" s="92"/>
      <c r="AL14" s="92" t="s">
        <v>1080</v>
      </c>
      <c r="AM14" s="92"/>
      <c r="AN14" s="92" t="s">
        <v>1080</v>
      </c>
      <c r="AO14" s="92"/>
      <c r="AP14" s="92"/>
      <c r="AQ14" s="92"/>
      <c r="AR14" s="92"/>
      <c r="AS14" s="92"/>
      <c r="AT14" s="92"/>
      <c r="AU14" s="92"/>
      <c r="AV14" s="92"/>
      <c r="AW14" s="92"/>
      <c r="AX14" s="92"/>
      <c r="AY14" s="92"/>
      <c r="AZ14" s="92"/>
      <c r="BA14" s="92"/>
      <c r="BB14" s="92"/>
    </row>
    <row r="15" spans="1:61" ht="22.5" customHeight="1" thickBot="1">
      <c r="A15" s="495"/>
      <c r="B15" s="558"/>
      <c r="C15" s="559"/>
      <c r="D15" s="560" t="s">
        <v>1127</v>
      </c>
      <c r="E15" s="560" t="str">
        <f>D15</f>
        <v>세부설계진행</v>
      </c>
      <c r="F15" s="560" t="s">
        <v>1128</v>
      </c>
      <c r="G15" s="560" t="s">
        <v>1129</v>
      </c>
      <c r="H15" s="560" t="s">
        <v>1118</v>
      </c>
      <c r="I15" s="560" t="s">
        <v>1120</v>
      </c>
      <c r="J15" s="560" t="s">
        <v>1120</v>
      </c>
      <c r="K15" s="560" t="str">
        <f>J15</f>
        <v>용역준공</v>
      </c>
      <c r="L15" s="560" t="str">
        <f>K15</f>
        <v>용역준공</v>
      </c>
      <c r="M15" s="560" t="str">
        <f>L15</f>
        <v>용역준공</v>
      </c>
      <c r="N15" s="560" t="str">
        <f>M15</f>
        <v>용역준공</v>
      </c>
      <c r="O15" s="560"/>
      <c r="P15" s="567"/>
      <c r="Q15" s="495"/>
      <c r="R15" s="557"/>
      <c r="S15" s="531"/>
      <c r="T15" s="526" t="s">
        <v>817</v>
      </c>
      <c r="U15" s="527" t="e">
        <f>U14-#REF!</f>
        <v>#REF!</v>
      </c>
      <c r="V15" s="532" t="s">
        <v>818</v>
      </c>
      <c r="W15" s="529" t="e">
        <f>(#REF!+BM15)/1000000</f>
        <v>#REF!</v>
      </c>
      <c r="X15" s="533"/>
      <c r="Y15" s="533"/>
      <c r="Z15" s="261"/>
      <c r="AA15" s="261"/>
      <c r="AB15" s="80" t="s">
        <v>196</v>
      </c>
      <c r="AC15" s="81" t="e">
        <f>AC14-#REF!</f>
        <v>#REF!</v>
      </c>
      <c r="AD15" s="82" t="s">
        <v>100</v>
      </c>
      <c r="AE15" s="83"/>
      <c r="BC15" s="68"/>
      <c r="BD15" s="68"/>
      <c r="BE15" s="68"/>
      <c r="BF15" s="68"/>
      <c r="BG15" s="68"/>
      <c r="BH15" s="68"/>
      <c r="BI15" s="68"/>
    </row>
    <row r="16" spans="1:61" ht="22.5" customHeight="1">
      <c r="A16" s="490" t="s">
        <v>1130</v>
      </c>
      <c r="B16" s="554">
        <v>0.85</v>
      </c>
      <c r="C16" s="555">
        <f>B16+D16+E16+F16+G16+H16+I16+J16+K16+L16+M16+N16+O16</f>
        <v>0.85</v>
      </c>
      <c r="D16" s="525">
        <v>0</v>
      </c>
      <c r="E16" s="525">
        <v>0</v>
      </c>
      <c r="F16" s="525">
        <v>0</v>
      </c>
      <c r="G16" s="525">
        <v>0</v>
      </c>
      <c r="H16" s="525">
        <v>0</v>
      </c>
      <c r="I16" s="525">
        <v>0</v>
      </c>
      <c r="J16" s="525">
        <v>0</v>
      </c>
      <c r="K16" s="525">
        <v>0</v>
      </c>
      <c r="L16" s="525">
        <v>0</v>
      </c>
      <c r="M16" s="525">
        <v>0</v>
      </c>
      <c r="N16" s="525">
        <v>0</v>
      </c>
      <c r="O16" s="525"/>
      <c r="P16" s="566" t="str">
        <f>N17</f>
        <v>과업재개</v>
      </c>
      <c r="Q16" s="490" t="s">
        <v>1133</v>
      </c>
      <c r="R16" s="553" t="s">
        <v>1131</v>
      </c>
      <c r="S16" s="537" t="s">
        <v>1132</v>
      </c>
      <c r="T16" s="521" t="s">
        <v>89</v>
      </c>
      <c r="U16" s="522">
        <f>BK16/1100000</f>
        <v>0</v>
      </c>
      <c r="V16" s="523" t="s">
        <v>7</v>
      </c>
      <c r="W16" s="524" t="e">
        <f>U16*0.75-(#REF!+W17)</f>
        <v>#REF!</v>
      </c>
      <c r="X16" s="299" t="s">
        <v>1075</v>
      </c>
      <c r="Y16" s="79" t="s">
        <v>1076</v>
      </c>
      <c r="Z16" s="260" t="s">
        <v>1126</v>
      </c>
      <c r="AA16" s="260"/>
      <c r="AB16" s="80" t="s">
        <v>814</v>
      </c>
      <c r="AC16" s="81">
        <v>118915020</v>
      </c>
      <c r="AD16" s="82" t="s">
        <v>35</v>
      </c>
      <c r="AE16" s="83">
        <f>SUM(AF16:BB16)</f>
        <v>60535000</v>
      </c>
      <c r="AF16" s="91" t="s">
        <v>1112</v>
      </c>
      <c r="AG16" s="92">
        <v>16840000</v>
      </c>
      <c r="AH16" s="92" t="s">
        <v>1113</v>
      </c>
      <c r="AI16" s="92">
        <v>43695000</v>
      </c>
      <c r="AJ16" s="92" t="s">
        <v>1080</v>
      </c>
      <c r="AK16" s="92"/>
      <c r="AL16" s="92" t="s">
        <v>1080</v>
      </c>
      <c r="AM16" s="92"/>
      <c r="AN16" s="92" t="s">
        <v>1080</v>
      </c>
      <c r="AO16" s="92"/>
      <c r="AP16" s="92"/>
      <c r="AQ16" s="92"/>
      <c r="AR16" s="92"/>
      <c r="AS16" s="92"/>
      <c r="AT16" s="92"/>
      <c r="AU16" s="92"/>
      <c r="AV16" s="92"/>
      <c r="AW16" s="92"/>
      <c r="AX16" s="92"/>
      <c r="AY16" s="92"/>
      <c r="AZ16" s="92"/>
      <c r="BA16" s="92"/>
      <c r="BB16" s="92"/>
    </row>
    <row r="17" spans="1:61" ht="22.5" customHeight="1" thickBot="1">
      <c r="A17" s="495"/>
      <c r="B17" s="558"/>
      <c r="C17" s="559"/>
      <c r="D17" s="560" t="s">
        <v>1135</v>
      </c>
      <c r="E17" s="560" t="str">
        <f t="shared" ref="E17:M17" si="3">D17</f>
        <v>사업진행 발주처 내부검토</v>
      </c>
      <c r="F17" s="560" t="str">
        <f t="shared" si="3"/>
        <v>사업진행 발주처 내부검토</v>
      </c>
      <c r="G17" s="560" t="str">
        <f t="shared" si="3"/>
        <v>사업진행 발주처 내부검토</v>
      </c>
      <c r="H17" s="560" t="str">
        <f t="shared" si="3"/>
        <v>사업진행 발주처 내부검토</v>
      </c>
      <c r="I17" s="560" t="str">
        <f t="shared" si="3"/>
        <v>사업진행 발주처 내부검토</v>
      </c>
      <c r="J17" s="560" t="str">
        <f t="shared" si="3"/>
        <v>사업진행 발주처 내부검토</v>
      </c>
      <c r="K17" s="560" t="str">
        <f t="shared" si="3"/>
        <v>사업진행 발주처 내부검토</v>
      </c>
      <c r="L17" s="560" t="str">
        <f t="shared" si="3"/>
        <v>사업진행 발주처 내부검토</v>
      </c>
      <c r="M17" s="560" t="str">
        <f t="shared" si="3"/>
        <v>사업진행 발주처 내부검토</v>
      </c>
      <c r="N17" s="560" t="s">
        <v>1136</v>
      </c>
      <c r="O17" s="560"/>
      <c r="P17" s="568"/>
      <c r="Q17" s="495"/>
      <c r="R17" s="557"/>
      <c r="S17" s="531" t="s">
        <v>1134</v>
      </c>
      <c r="T17" s="526" t="s">
        <v>817</v>
      </c>
      <c r="U17" s="527" t="e">
        <f>U16-#REF!</f>
        <v>#REF!</v>
      </c>
      <c r="V17" s="532" t="s">
        <v>818</v>
      </c>
      <c r="W17" s="529" t="e">
        <f>(#REF!+BM17)/1000000</f>
        <v>#REF!</v>
      </c>
      <c r="X17" s="533"/>
      <c r="Y17" s="533"/>
      <c r="Z17" s="261"/>
      <c r="AA17" s="261"/>
      <c r="AB17" s="80" t="s">
        <v>817</v>
      </c>
      <c r="AC17" s="81" t="e">
        <f>AC16-#REF!</f>
        <v>#REF!</v>
      </c>
      <c r="AD17" s="82" t="s">
        <v>824</v>
      </c>
      <c r="AE17" s="83"/>
      <c r="BC17" s="68"/>
      <c r="BD17" s="68"/>
      <c r="BE17" s="68"/>
      <c r="BF17" s="68"/>
      <c r="BG17" s="68"/>
      <c r="BH17" s="68"/>
      <c r="BI17" s="68"/>
    </row>
    <row r="18" spans="1:61" ht="22.5" customHeight="1">
      <c r="A18" s="490" t="s">
        <v>1137</v>
      </c>
      <c r="B18" s="554">
        <v>0.95</v>
      </c>
      <c r="C18" s="555">
        <f>B18+D18+E18+F18+G18+H18+I18+J18+K18+L18+M18+N18+O18</f>
        <v>1</v>
      </c>
      <c r="D18" s="525">
        <v>0</v>
      </c>
      <c r="E18" s="525">
        <v>0</v>
      </c>
      <c r="F18" s="525">
        <v>0</v>
      </c>
      <c r="G18" s="525">
        <v>0.01</v>
      </c>
      <c r="H18" s="525">
        <v>0.01</v>
      </c>
      <c r="I18" s="525">
        <v>0.01</v>
      </c>
      <c r="J18" s="525">
        <v>0.01</v>
      </c>
      <c r="K18" s="525">
        <v>0</v>
      </c>
      <c r="L18" s="525">
        <v>0</v>
      </c>
      <c r="M18" s="525">
        <v>0.01</v>
      </c>
      <c r="N18" s="525">
        <v>0</v>
      </c>
      <c r="O18" s="525"/>
      <c r="P18" s="490" t="s">
        <v>1109</v>
      </c>
      <c r="Q18" s="490" t="s">
        <v>1140</v>
      </c>
      <c r="R18" s="553" t="s">
        <v>1138</v>
      </c>
      <c r="S18" s="537" t="s">
        <v>1139</v>
      </c>
      <c r="T18" s="521" t="s">
        <v>814</v>
      </c>
      <c r="U18" s="522">
        <f>BK18/1100000</f>
        <v>0</v>
      </c>
      <c r="V18" s="523" t="s">
        <v>832</v>
      </c>
      <c r="W18" s="524" t="e">
        <f>U18*0.75-(#REF!+W19)</f>
        <v>#REF!</v>
      </c>
      <c r="X18" s="299" t="s">
        <v>1075</v>
      </c>
      <c r="Y18" s="79" t="s">
        <v>1076</v>
      </c>
      <c r="Z18" s="260" t="s">
        <v>1141</v>
      </c>
      <c r="AA18" s="260"/>
      <c r="AB18" s="80" t="s">
        <v>814</v>
      </c>
      <c r="AC18" s="81">
        <v>111100000</v>
      </c>
      <c r="AD18" s="82" t="s">
        <v>35</v>
      </c>
      <c r="AE18" s="83">
        <f>SUM(AF18:BB18)</f>
        <v>0</v>
      </c>
      <c r="AF18" s="91" t="s">
        <v>1078</v>
      </c>
      <c r="AG18" s="92"/>
      <c r="AH18" s="92" t="s">
        <v>1079</v>
      </c>
      <c r="AI18" s="92"/>
      <c r="AJ18" s="92" t="s">
        <v>1080</v>
      </c>
      <c r="AK18" s="92"/>
      <c r="AL18" s="92" t="s">
        <v>1080</v>
      </c>
      <c r="AM18" s="92"/>
      <c r="AN18" s="92" t="s">
        <v>1080</v>
      </c>
      <c r="AO18" s="92"/>
      <c r="AP18" s="92"/>
      <c r="AQ18" s="92"/>
      <c r="AR18" s="92"/>
      <c r="AS18" s="92"/>
      <c r="AT18" s="92"/>
      <c r="AU18" s="92"/>
      <c r="AV18" s="92"/>
      <c r="AW18" s="92"/>
      <c r="AX18" s="92"/>
      <c r="AY18" s="92"/>
      <c r="AZ18" s="92"/>
      <c r="BA18" s="92"/>
      <c r="BB18" s="92"/>
    </row>
    <row r="19" spans="1:61" ht="22.5" customHeight="1" thickBot="1">
      <c r="A19" s="495"/>
      <c r="B19" s="558"/>
      <c r="C19" s="559"/>
      <c r="D19" s="560" t="s">
        <v>1142</v>
      </c>
      <c r="E19" s="560" t="str">
        <f t="shared" ref="E19:K19" si="4">D19</f>
        <v>용역중지중</v>
      </c>
      <c r="F19" s="560" t="str">
        <f t="shared" si="4"/>
        <v>용역중지중</v>
      </c>
      <c r="G19" s="560" t="str">
        <f t="shared" si="4"/>
        <v>용역중지중</v>
      </c>
      <c r="H19" s="560" t="str">
        <f t="shared" si="4"/>
        <v>용역중지중</v>
      </c>
      <c r="I19" s="560" t="str">
        <f t="shared" si="4"/>
        <v>용역중지중</v>
      </c>
      <c r="J19" s="560" t="str">
        <f t="shared" si="4"/>
        <v>용역중지중</v>
      </c>
      <c r="K19" s="560" t="str">
        <f t="shared" si="4"/>
        <v>용역중지중</v>
      </c>
      <c r="L19" s="560" t="s">
        <v>1109</v>
      </c>
      <c r="M19" s="560" t="str">
        <f>L19</f>
        <v>용역준공</v>
      </c>
      <c r="N19" s="560" t="str">
        <f>M19</f>
        <v>용역준공</v>
      </c>
      <c r="O19" s="560"/>
      <c r="P19" s="561"/>
      <c r="Q19" s="495"/>
      <c r="R19" s="557"/>
      <c r="S19" s="531" t="s">
        <v>816</v>
      </c>
      <c r="T19" s="526" t="s">
        <v>817</v>
      </c>
      <c r="U19" s="527" t="e">
        <f>U18-#REF!</f>
        <v>#REF!</v>
      </c>
      <c r="V19" s="532" t="s">
        <v>818</v>
      </c>
      <c r="W19" s="529" t="e">
        <f>(#REF!+BM19)/1000000</f>
        <v>#REF!</v>
      </c>
      <c r="X19" s="533"/>
      <c r="Y19" s="533"/>
      <c r="Z19" s="261"/>
      <c r="AA19" s="261"/>
      <c r="AB19" s="80" t="s">
        <v>817</v>
      </c>
      <c r="AC19" s="81" t="e">
        <f>AC18-#REF!</f>
        <v>#REF!</v>
      </c>
      <c r="AD19" s="82" t="s">
        <v>824</v>
      </c>
      <c r="AE19" s="83"/>
      <c r="BC19" s="68"/>
      <c r="BD19" s="68"/>
      <c r="BE19" s="68"/>
      <c r="BF19" s="68"/>
      <c r="BG19" s="68"/>
      <c r="BH19" s="68"/>
      <c r="BI19" s="68"/>
    </row>
    <row r="20" spans="1:61" ht="22.5" customHeight="1">
      <c r="A20" s="490" t="s">
        <v>1143</v>
      </c>
      <c r="B20" s="554">
        <v>0.35</v>
      </c>
      <c r="C20" s="555">
        <f>B20+D20+E20+F20+G20+H20+I20+J20+K20+L20+M20+N20+O20</f>
        <v>0.99999999999999989</v>
      </c>
      <c r="D20" s="525">
        <v>0</v>
      </c>
      <c r="E20" s="525">
        <v>0</v>
      </c>
      <c r="F20" s="525">
        <v>0</v>
      </c>
      <c r="G20" s="525">
        <v>0</v>
      </c>
      <c r="H20" s="525">
        <v>0.1</v>
      </c>
      <c r="I20" s="525">
        <v>0.1</v>
      </c>
      <c r="J20" s="525">
        <v>0.1</v>
      </c>
      <c r="K20" s="525">
        <v>0.1</v>
      </c>
      <c r="L20" s="525">
        <v>0.1</v>
      </c>
      <c r="M20" s="525">
        <v>0.05</v>
      </c>
      <c r="N20" s="525">
        <v>0.1</v>
      </c>
      <c r="O20" s="525"/>
      <c r="P20" s="490" t="s">
        <v>1109</v>
      </c>
      <c r="Q20" s="490" t="s">
        <v>1146</v>
      </c>
      <c r="R20" s="553" t="s">
        <v>1144</v>
      </c>
      <c r="S20" s="537" t="s">
        <v>1145</v>
      </c>
      <c r="T20" s="521" t="s">
        <v>814</v>
      </c>
      <c r="U20" s="522">
        <f>BK20/1100000</f>
        <v>0</v>
      </c>
      <c r="V20" s="523" t="s">
        <v>832</v>
      </c>
      <c r="W20" s="524" t="e">
        <f>U20*0.75-(#REF!+W21)</f>
        <v>#REF!</v>
      </c>
      <c r="X20" s="299" t="s">
        <v>1075</v>
      </c>
      <c r="Y20" s="79" t="s">
        <v>1076</v>
      </c>
      <c r="Z20" s="260" t="s">
        <v>1147</v>
      </c>
      <c r="AA20" s="260"/>
      <c r="AB20" s="80" t="s">
        <v>814</v>
      </c>
      <c r="AC20" s="81">
        <v>19743000</v>
      </c>
      <c r="AD20" s="82" t="s">
        <v>35</v>
      </c>
      <c r="AE20" s="83">
        <f>SUM(AF20:BB20)</f>
        <v>8790000</v>
      </c>
      <c r="AF20" s="91" t="s">
        <v>1148</v>
      </c>
      <c r="AG20" s="92">
        <v>8790000</v>
      </c>
      <c r="AH20" s="92" t="s">
        <v>1079</v>
      </c>
      <c r="AI20" s="92"/>
      <c r="AJ20" s="92" t="s">
        <v>1080</v>
      </c>
      <c r="AK20" s="92"/>
      <c r="AL20" s="92" t="s">
        <v>1080</v>
      </c>
      <c r="AM20" s="92"/>
      <c r="AN20" s="92" t="s">
        <v>1080</v>
      </c>
      <c r="AO20" s="92"/>
      <c r="AP20" s="92"/>
      <c r="AQ20" s="92"/>
      <c r="AR20" s="92"/>
      <c r="AS20" s="92"/>
      <c r="AT20" s="92"/>
      <c r="AU20" s="92"/>
      <c r="AV20" s="92"/>
      <c r="AW20" s="92"/>
      <c r="AX20" s="92"/>
      <c r="AY20" s="92"/>
      <c r="AZ20" s="92"/>
      <c r="BA20" s="92"/>
      <c r="BB20" s="92"/>
    </row>
    <row r="21" spans="1:61" ht="22.5" customHeight="1" thickBot="1">
      <c r="A21" s="495"/>
      <c r="B21" s="558"/>
      <c r="C21" s="559"/>
      <c r="D21" s="560" t="str">
        <f>E21</f>
        <v>용역중지중</v>
      </c>
      <c r="E21" s="560" t="s">
        <v>1142</v>
      </c>
      <c r="F21" s="560" t="s">
        <v>1142</v>
      </c>
      <c r="G21" s="560" t="s">
        <v>1142</v>
      </c>
      <c r="H21" s="560" t="s">
        <v>1150</v>
      </c>
      <c r="I21" s="560" t="s">
        <v>1151</v>
      </c>
      <c r="J21" s="560" t="str">
        <f>I21</f>
        <v>군관리계획변경</v>
      </c>
      <c r="K21" s="560" t="str">
        <f>J21</f>
        <v>군관리계획변경</v>
      </c>
      <c r="L21" s="560" t="str">
        <f>K21</f>
        <v>군관리계획변경</v>
      </c>
      <c r="M21" s="560" t="str">
        <f>L21</f>
        <v>군관리계획변경</v>
      </c>
      <c r="N21" s="560" t="s">
        <v>1152</v>
      </c>
      <c r="O21" s="560" t="str">
        <f>N21</f>
        <v>11/25준공계제출</v>
      </c>
      <c r="P21" s="561"/>
      <c r="Q21" s="495"/>
      <c r="R21" s="557"/>
      <c r="S21" s="531" t="s">
        <v>1149</v>
      </c>
      <c r="T21" s="526" t="s">
        <v>817</v>
      </c>
      <c r="U21" s="527" t="e">
        <f>U20-#REF!</f>
        <v>#REF!</v>
      </c>
      <c r="V21" s="532" t="s">
        <v>818</v>
      </c>
      <c r="W21" s="529" t="e">
        <f>(#REF!+BM21)/1000000</f>
        <v>#REF!</v>
      </c>
      <c r="X21" s="533"/>
      <c r="Y21" s="533"/>
      <c r="Z21" s="261"/>
      <c r="AA21" s="261"/>
      <c r="AB21" s="80" t="s">
        <v>817</v>
      </c>
      <c r="AC21" s="81" t="e">
        <f>AC20-#REF!</f>
        <v>#REF!</v>
      </c>
      <c r="AD21" s="82" t="s">
        <v>824</v>
      </c>
      <c r="AE21" s="83"/>
      <c r="BC21" s="68"/>
      <c r="BD21" s="68"/>
      <c r="BE21" s="68"/>
      <c r="BF21" s="68"/>
      <c r="BG21" s="68"/>
      <c r="BH21" s="68"/>
      <c r="BI21" s="68"/>
    </row>
    <row r="22" spans="1:61" ht="22.5" customHeight="1">
      <c r="A22" s="490" t="s">
        <v>1154</v>
      </c>
      <c r="B22" s="554">
        <v>0.8</v>
      </c>
      <c r="C22" s="555">
        <f>B22+D22+E22+F22+G22+H22+I22+J22+K22+L22+M22+N22+O22</f>
        <v>0.9800000000000002</v>
      </c>
      <c r="D22" s="525">
        <v>0.02</v>
      </c>
      <c r="E22" s="525">
        <v>0.02</v>
      </c>
      <c r="F22" s="525">
        <v>0.03</v>
      </c>
      <c r="G22" s="525">
        <v>0.03</v>
      </c>
      <c r="H22" s="525">
        <v>0.03</v>
      </c>
      <c r="I22" s="525">
        <v>0.02</v>
      </c>
      <c r="J22" s="525">
        <v>0.01</v>
      </c>
      <c r="K22" s="525">
        <v>0.01</v>
      </c>
      <c r="L22" s="525">
        <v>0.01</v>
      </c>
      <c r="M22" s="525">
        <v>0</v>
      </c>
      <c r="N22" s="525">
        <v>0</v>
      </c>
      <c r="O22" s="525"/>
      <c r="P22" s="566" t="str">
        <f>N23</f>
        <v>도계약심사 및 군관리계획 심의준비</v>
      </c>
      <c r="Q22" s="490" t="s">
        <v>1157</v>
      </c>
      <c r="R22" s="553" t="s">
        <v>1155</v>
      </c>
      <c r="S22" s="537" t="s">
        <v>1156</v>
      </c>
      <c r="T22" s="521" t="s">
        <v>814</v>
      </c>
      <c r="U22" s="522">
        <f>BK22/1100000</f>
        <v>0</v>
      </c>
      <c r="V22" s="523" t="s">
        <v>832</v>
      </c>
      <c r="W22" s="524" t="e">
        <f>U22*0.75-(#REF!+W23)</f>
        <v>#REF!</v>
      </c>
      <c r="X22" s="299" t="s">
        <v>1075</v>
      </c>
      <c r="Y22" s="79" t="s">
        <v>1076</v>
      </c>
      <c r="Z22" s="260" t="s">
        <v>1147</v>
      </c>
      <c r="AA22" s="260"/>
      <c r="AB22" s="80" t="s">
        <v>814</v>
      </c>
      <c r="AC22" s="81">
        <v>185510000</v>
      </c>
      <c r="AD22" s="82" t="s">
        <v>35</v>
      </c>
      <c r="AE22" s="83">
        <f>SUM(AF22:BB22)</f>
        <v>12490000</v>
      </c>
      <c r="AF22" s="91" t="s">
        <v>1148</v>
      </c>
      <c r="AG22" s="92">
        <v>0</v>
      </c>
      <c r="AH22" s="92" t="s">
        <v>1078</v>
      </c>
      <c r="AI22" s="92">
        <v>12490000</v>
      </c>
      <c r="AJ22" s="92" t="s">
        <v>1080</v>
      </c>
      <c r="AK22" s="92"/>
      <c r="AL22" s="92" t="s">
        <v>1080</v>
      </c>
      <c r="AM22" s="92"/>
      <c r="AN22" s="92" t="s">
        <v>1080</v>
      </c>
      <c r="AO22" s="92"/>
      <c r="AP22" s="92"/>
      <c r="AQ22" s="92"/>
      <c r="AR22" s="92"/>
      <c r="AS22" s="92"/>
      <c r="AT22" s="92"/>
      <c r="AU22" s="92"/>
      <c r="AV22" s="92"/>
      <c r="AW22" s="92"/>
      <c r="AX22" s="92"/>
      <c r="AY22" s="92"/>
      <c r="AZ22" s="92"/>
      <c r="BA22" s="92"/>
      <c r="BB22" s="92"/>
    </row>
    <row r="23" spans="1:61" ht="22.5" customHeight="1" thickBot="1">
      <c r="A23" s="495"/>
      <c r="B23" s="558"/>
      <c r="C23" s="559"/>
      <c r="D23" s="560" t="s">
        <v>1159</v>
      </c>
      <c r="E23" s="560" t="s">
        <v>1160</v>
      </c>
      <c r="F23" s="560" t="s">
        <v>1160</v>
      </c>
      <c r="G23" s="560" t="s">
        <v>1161</v>
      </c>
      <c r="H23" s="560" t="s">
        <v>1162</v>
      </c>
      <c r="I23" s="560" t="s">
        <v>1163</v>
      </c>
      <c r="J23" s="560" t="s">
        <v>1164</v>
      </c>
      <c r="K23" s="560" t="s">
        <v>1165</v>
      </c>
      <c r="L23" s="560" t="s">
        <v>1166</v>
      </c>
      <c r="M23" s="560" t="str">
        <f>L23</f>
        <v>군관리계획 및 실시설계</v>
      </c>
      <c r="N23" s="560" t="s">
        <v>1167</v>
      </c>
      <c r="O23" s="560"/>
      <c r="P23" s="567"/>
      <c r="Q23" s="495"/>
      <c r="R23" s="557"/>
      <c r="S23" s="531" t="s">
        <v>1158</v>
      </c>
      <c r="T23" s="526" t="s">
        <v>817</v>
      </c>
      <c r="U23" s="527" t="e">
        <f>U22-#REF!</f>
        <v>#REF!</v>
      </c>
      <c r="V23" s="532" t="s">
        <v>818</v>
      </c>
      <c r="W23" s="529" t="e">
        <f>(#REF!+BM23)/1000000</f>
        <v>#REF!</v>
      </c>
      <c r="X23" s="533"/>
      <c r="Y23" s="533"/>
      <c r="Z23" s="261"/>
      <c r="AA23" s="261"/>
      <c r="AB23" s="80" t="s">
        <v>1168</v>
      </c>
      <c r="AC23" s="81" t="e">
        <f>AC22-#REF!</f>
        <v>#REF!</v>
      </c>
      <c r="AD23" s="82" t="s">
        <v>1169</v>
      </c>
      <c r="AE23" s="83"/>
      <c r="BC23" s="68"/>
      <c r="BD23" s="68"/>
    </row>
    <row r="24" spans="1:61" ht="22.5" customHeight="1">
      <c r="A24" s="490" t="s">
        <v>1170</v>
      </c>
      <c r="B24" s="554">
        <v>0.54</v>
      </c>
      <c r="C24" s="555">
        <f>B24+D24+E24+F24+G24+H24+I24+J24+K24+L24+M24+N24+O24</f>
        <v>0.90000000000000036</v>
      </c>
      <c r="D24" s="525">
        <v>0.04</v>
      </c>
      <c r="E24" s="525">
        <v>0.04</v>
      </c>
      <c r="F24" s="525">
        <v>0.04</v>
      </c>
      <c r="G24" s="525">
        <v>0.04</v>
      </c>
      <c r="H24" s="525">
        <v>0.04</v>
      </c>
      <c r="I24" s="525">
        <v>0.04</v>
      </c>
      <c r="J24" s="525">
        <v>0.04</v>
      </c>
      <c r="K24" s="525">
        <v>0.04</v>
      </c>
      <c r="L24" s="525">
        <v>0.02</v>
      </c>
      <c r="M24" s="525">
        <v>0.01</v>
      </c>
      <c r="N24" s="525">
        <v>0.01</v>
      </c>
      <c r="O24" s="525"/>
      <c r="P24" s="566" t="str">
        <f>N25</f>
        <v>지구단위계획(용도지역)입안서류 작성</v>
      </c>
      <c r="Q24" s="490" t="s">
        <v>1175</v>
      </c>
      <c r="R24" s="553" t="s">
        <v>1171</v>
      </c>
      <c r="S24" s="537" t="s">
        <v>1172</v>
      </c>
      <c r="T24" s="521" t="s">
        <v>1173</v>
      </c>
      <c r="U24" s="522">
        <f>BK24/1100000</f>
        <v>0</v>
      </c>
      <c r="V24" s="523" t="s">
        <v>1174</v>
      </c>
      <c r="W24" s="524" t="e">
        <f>U24*0.75-(#REF!+W25)</f>
        <v>#REF!</v>
      </c>
      <c r="X24" s="299" t="s">
        <v>1075</v>
      </c>
      <c r="Y24" s="79" t="s">
        <v>1076</v>
      </c>
      <c r="Z24" s="260" t="s">
        <v>65</v>
      </c>
      <c r="AA24" s="260"/>
      <c r="AB24" s="80" t="s">
        <v>89</v>
      </c>
      <c r="AC24" s="81">
        <v>207180000</v>
      </c>
      <c r="AD24" s="82" t="s">
        <v>98</v>
      </c>
      <c r="AE24" s="83">
        <f>SUM(AF24:BB24)</f>
        <v>0</v>
      </c>
      <c r="AF24" s="91" t="s">
        <v>482</v>
      </c>
      <c r="AG24" s="92">
        <v>0</v>
      </c>
      <c r="AH24" s="92" t="s">
        <v>1105</v>
      </c>
      <c r="AI24" s="92"/>
      <c r="AJ24" s="92" t="s">
        <v>207</v>
      </c>
      <c r="AK24" s="92"/>
      <c r="AL24" s="92" t="s">
        <v>207</v>
      </c>
      <c r="AM24" s="92"/>
      <c r="AN24" s="92" t="s">
        <v>207</v>
      </c>
      <c r="AO24" s="92"/>
      <c r="AP24" s="92"/>
      <c r="AQ24" s="92"/>
      <c r="AR24" s="92"/>
      <c r="AS24" s="92"/>
      <c r="AT24" s="92"/>
      <c r="AU24" s="92"/>
      <c r="AV24" s="92"/>
      <c r="AW24" s="92"/>
      <c r="AX24" s="92"/>
      <c r="AY24" s="92"/>
      <c r="AZ24" s="92"/>
      <c r="BA24" s="92"/>
      <c r="BB24" s="92"/>
    </row>
    <row r="25" spans="1:61" ht="22.5" customHeight="1" thickBot="1">
      <c r="A25" s="495"/>
      <c r="B25" s="558"/>
      <c r="C25" s="559"/>
      <c r="D25" s="560" t="s">
        <v>1178</v>
      </c>
      <c r="E25" s="560" t="str">
        <f>D25</f>
        <v>군관리계획시설 서류작성</v>
      </c>
      <c r="F25" s="560" t="str">
        <f>E25</f>
        <v>군관리계획시설 서류작성</v>
      </c>
      <c r="G25" s="560" t="s">
        <v>1179</v>
      </c>
      <c r="H25" s="560" t="s">
        <v>1180</v>
      </c>
      <c r="I25" s="560" t="str">
        <f>H25</f>
        <v>중간보고 보완</v>
      </c>
      <c r="J25" s="560" t="s">
        <v>1181</v>
      </c>
      <c r="K25" s="560" t="s">
        <v>1182</v>
      </c>
      <c r="L25" s="560" t="s">
        <v>1183</v>
      </c>
      <c r="M25" s="560" t="s">
        <v>1184</v>
      </c>
      <c r="N25" s="560" t="s">
        <v>1185</v>
      </c>
      <c r="O25" s="560"/>
      <c r="P25" s="567"/>
      <c r="Q25" s="495"/>
      <c r="R25" s="557"/>
      <c r="S25" s="531" t="s">
        <v>1176</v>
      </c>
      <c r="T25" s="526" t="s">
        <v>1168</v>
      </c>
      <c r="U25" s="527" t="e">
        <f>U24-#REF!</f>
        <v>#REF!</v>
      </c>
      <c r="V25" s="532" t="s">
        <v>1177</v>
      </c>
      <c r="W25" s="529" t="e">
        <f>(#REF!+BM25)/1000000</f>
        <v>#REF!</v>
      </c>
      <c r="X25" s="533"/>
      <c r="Y25" s="533"/>
      <c r="Z25" s="261"/>
      <c r="AA25" s="261"/>
      <c r="AB25" s="80" t="s">
        <v>1168</v>
      </c>
      <c r="AC25" s="81" t="e">
        <f>AC24-#REF!</f>
        <v>#REF!</v>
      </c>
      <c r="AD25" s="82" t="s">
        <v>1169</v>
      </c>
      <c r="AE25" s="83"/>
    </row>
    <row r="26" spans="1:61" ht="22.5" customHeight="1">
      <c r="A26" s="490" t="s">
        <v>1186</v>
      </c>
      <c r="B26" s="554">
        <v>0.85</v>
      </c>
      <c r="C26" s="555">
        <f>B26+D26+E26+F26+G26+H26+I26+J26+K26+L26+M26+N26+O26</f>
        <v>1</v>
      </c>
      <c r="D26" s="525">
        <v>0.05</v>
      </c>
      <c r="E26" s="525">
        <v>0.05</v>
      </c>
      <c r="F26" s="525">
        <v>0.03</v>
      </c>
      <c r="G26" s="525">
        <v>0.01</v>
      </c>
      <c r="H26" s="525">
        <v>0.01</v>
      </c>
      <c r="I26" s="525">
        <v>0</v>
      </c>
      <c r="J26" s="525">
        <v>0</v>
      </c>
      <c r="K26" s="525">
        <v>0</v>
      </c>
      <c r="L26" s="525">
        <v>0</v>
      </c>
      <c r="M26" s="525">
        <v>0</v>
      </c>
      <c r="N26" s="525">
        <v>0</v>
      </c>
      <c r="O26" s="525"/>
      <c r="P26" s="566" t="str">
        <f>I27</f>
        <v>용역준공</v>
      </c>
      <c r="Q26" s="490" t="s">
        <v>1189</v>
      </c>
      <c r="R26" s="553" t="s">
        <v>1187</v>
      </c>
      <c r="S26" s="537" t="s">
        <v>1188</v>
      </c>
      <c r="T26" s="521" t="s">
        <v>1173</v>
      </c>
      <c r="U26" s="522">
        <f>BK26/1100000</f>
        <v>0</v>
      </c>
      <c r="V26" s="523" t="s">
        <v>1174</v>
      </c>
      <c r="W26" s="524" t="e">
        <f>U26*0.75-(#REF!+W27)</f>
        <v>#REF!</v>
      </c>
      <c r="X26" s="299" t="s">
        <v>1075</v>
      </c>
      <c r="Y26" s="79" t="s">
        <v>1076</v>
      </c>
      <c r="Z26" s="260" t="s">
        <v>1147</v>
      </c>
      <c r="AA26" s="260"/>
      <c r="AB26" s="80" t="s">
        <v>814</v>
      </c>
      <c r="AC26" s="81">
        <v>22894000</v>
      </c>
      <c r="AD26" s="82" t="s">
        <v>35</v>
      </c>
      <c r="AE26" s="83">
        <f>SUM(AF26:BB26)</f>
        <v>5000000</v>
      </c>
      <c r="AF26" s="91" t="s">
        <v>1148</v>
      </c>
      <c r="AG26" s="92">
        <v>0</v>
      </c>
      <c r="AH26" s="92" t="s">
        <v>1079</v>
      </c>
      <c r="AI26" s="92">
        <v>3500000</v>
      </c>
      <c r="AJ26" s="92" t="s">
        <v>1078</v>
      </c>
      <c r="AK26" s="92">
        <v>1500000</v>
      </c>
      <c r="AL26" s="92" t="s">
        <v>1080</v>
      </c>
      <c r="AM26" s="92"/>
      <c r="AN26" s="92" t="s">
        <v>1080</v>
      </c>
      <c r="AO26" s="92"/>
      <c r="AP26" s="92"/>
      <c r="AQ26" s="92"/>
      <c r="AR26" s="92"/>
      <c r="AS26" s="92"/>
      <c r="AT26" s="92"/>
      <c r="AU26" s="92"/>
      <c r="AV26" s="92"/>
      <c r="AW26" s="92"/>
      <c r="AX26" s="92"/>
      <c r="AY26" s="92"/>
      <c r="AZ26" s="92"/>
      <c r="BA26" s="92"/>
      <c r="BB26" s="92"/>
    </row>
    <row r="27" spans="1:61" ht="22.5" customHeight="1" thickBot="1">
      <c r="A27" s="495"/>
      <c r="B27" s="558"/>
      <c r="C27" s="559"/>
      <c r="D27" s="560" t="s">
        <v>1127</v>
      </c>
      <c r="E27" s="560" t="s">
        <v>1190</v>
      </c>
      <c r="F27" s="560" t="s">
        <v>1191</v>
      </c>
      <c r="G27" s="560" t="s">
        <v>1192</v>
      </c>
      <c r="H27" s="560" t="s">
        <v>1109</v>
      </c>
      <c r="I27" s="560" t="str">
        <f t="shared" ref="I27:N27" si="5">H27</f>
        <v>용역준공</v>
      </c>
      <c r="J27" s="560" t="str">
        <f t="shared" si="5"/>
        <v>용역준공</v>
      </c>
      <c r="K27" s="560" t="str">
        <f t="shared" si="5"/>
        <v>용역준공</v>
      </c>
      <c r="L27" s="560" t="str">
        <f t="shared" si="5"/>
        <v>용역준공</v>
      </c>
      <c r="M27" s="560" t="str">
        <f t="shared" si="5"/>
        <v>용역준공</v>
      </c>
      <c r="N27" s="560" t="str">
        <f t="shared" si="5"/>
        <v>용역준공</v>
      </c>
      <c r="O27" s="560"/>
      <c r="P27" s="567"/>
      <c r="Q27" s="495"/>
      <c r="R27" s="557"/>
      <c r="S27" s="531"/>
      <c r="T27" s="526" t="s">
        <v>817</v>
      </c>
      <c r="U27" s="527" t="e">
        <f>U26-#REF!</f>
        <v>#REF!</v>
      </c>
      <c r="V27" s="532" t="s">
        <v>818</v>
      </c>
      <c r="W27" s="529" t="e">
        <f>(#REF!+BM27)/1000000</f>
        <v>#REF!</v>
      </c>
      <c r="X27" s="533"/>
      <c r="Y27" s="533"/>
      <c r="Z27" s="261"/>
      <c r="AA27" s="261"/>
      <c r="AB27" s="80" t="s">
        <v>817</v>
      </c>
      <c r="AC27" s="81" t="e">
        <f>AC26-#REF!</f>
        <v>#REF!</v>
      </c>
      <c r="AD27" s="82" t="s">
        <v>824</v>
      </c>
      <c r="AE27" s="83"/>
    </row>
    <row r="28" spans="1:61" ht="22.5" customHeight="1">
      <c r="A28" s="490" t="s">
        <v>1194</v>
      </c>
      <c r="B28" s="554">
        <v>0.18</v>
      </c>
      <c r="C28" s="555">
        <f>B28+D28+E28+F28+G28+H28+I28+J28+K28+L28+M28+N28+O28</f>
        <v>0.81</v>
      </c>
      <c r="D28" s="525">
        <v>0.1</v>
      </c>
      <c r="E28" s="525">
        <v>0.1</v>
      </c>
      <c r="F28" s="525">
        <v>0.1</v>
      </c>
      <c r="G28" s="525">
        <v>0.1</v>
      </c>
      <c r="H28" s="525">
        <v>0.1</v>
      </c>
      <c r="I28" s="525">
        <v>0.05</v>
      </c>
      <c r="J28" s="525">
        <v>0.02</v>
      </c>
      <c r="K28" s="525">
        <v>0.02</v>
      </c>
      <c r="L28" s="525">
        <v>0.02</v>
      </c>
      <c r="M28" s="525">
        <v>0.01</v>
      </c>
      <c r="N28" s="525">
        <v>0.01</v>
      </c>
      <c r="O28" s="525"/>
      <c r="P28" s="566" t="str">
        <f>N29</f>
        <v>주민제안서 작성및접수</v>
      </c>
      <c r="Q28" s="490" t="s">
        <v>1197</v>
      </c>
      <c r="R28" s="553" t="s">
        <v>1195</v>
      </c>
      <c r="S28" s="537" t="s">
        <v>1196</v>
      </c>
      <c r="T28" s="521" t="s">
        <v>814</v>
      </c>
      <c r="U28" s="522">
        <f>BK28/1100000</f>
        <v>0</v>
      </c>
      <c r="V28" s="523" t="s">
        <v>832</v>
      </c>
      <c r="W28" s="524" t="e">
        <f>U28*0.75-(#REF!+W29)</f>
        <v>#REF!</v>
      </c>
      <c r="X28" s="299" t="s">
        <v>1075</v>
      </c>
      <c r="Y28" s="79" t="s">
        <v>1076</v>
      </c>
      <c r="Z28" s="260" t="s">
        <v>1147</v>
      </c>
      <c r="AA28" s="260"/>
      <c r="AB28" s="80" t="s">
        <v>814</v>
      </c>
      <c r="AC28" s="81">
        <v>330000000</v>
      </c>
      <c r="AD28" s="82" t="s">
        <v>35</v>
      </c>
      <c r="AE28" s="83">
        <f>SUM(AF28:BB28)</f>
        <v>76980000</v>
      </c>
      <c r="AF28" s="91" t="s">
        <v>1148</v>
      </c>
      <c r="AG28" s="92">
        <v>0</v>
      </c>
      <c r="AH28" s="92" t="s">
        <v>1079</v>
      </c>
      <c r="AI28" s="92">
        <v>15000000</v>
      </c>
      <c r="AJ28" s="92" t="s">
        <v>1078</v>
      </c>
      <c r="AK28" s="92">
        <v>61980000</v>
      </c>
      <c r="AL28" s="92" t="s">
        <v>1080</v>
      </c>
      <c r="AM28" s="92"/>
      <c r="AN28" s="92" t="s">
        <v>1080</v>
      </c>
      <c r="AO28" s="92"/>
      <c r="AP28" s="92"/>
      <c r="AQ28" s="92"/>
      <c r="AR28" s="92"/>
      <c r="AS28" s="92"/>
      <c r="AT28" s="92"/>
      <c r="AU28" s="92"/>
      <c r="AV28" s="92"/>
      <c r="AW28" s="92"/>
      <c r="AX28" s="92"/>
      <c r="AY28" s="92"/>
      <c r="AZ28" s="92"/>
      <c r="BA28" s="92"/>
      <c r="BB28" s="92"/>
    </row>
    <row r="29" spans="1:61" ht="22.5" customHeight="1" thickBot="1">
      <c r="A29" s="495"/>
      <c r="B29" s="558"/>
      <c r="C29" s="559"/>
      <c r="D29" s="560" t="s">
        <v>1127</v>
      </c>
      <c r="E29" s="560" t="s">
        <v>1198</v>
      </c>
      <c r="F29" s="560" t="s">
        <v>1198</v>
      </c>
      <c r="G29" s="560" t="s">
        <v>1199</v>
      </c>
      <c r="H29" s="560" t="s">
        <v>1200</v>
      </c>
      <c r="I29" s="560" t="s">
        <v>1201</v>
      </c>
      <c r="J29" s="560" t="str">
        <f>I29</f>
        <v>개발계획변경 진행</v>
      </c>
      <c r="K29" s="560" t="str">
        <f>J29</f>
        <v>개발계획변경 진행</v>
      </c>
      <c r="L29" s="560" t="str">
        <f>K29</f>
        <v>개발계획변경 진행</v>
      </c>
      <c r="M29" s="560" t="str">
        <f>L29</f>
        <v>개발계획변경 진행</v>
      </c>
      <c r="N29" s="560" t="s">
        <v>1202</v>
      </c>
      <c r="O29" s="560"/>
      <c r="P29" s="567"/>
      <c r="Q29" s="495"/>
      <c r="R29" s="557"/>
      <c r="S29" s="531" t="s">
        <v>816</v>
      </c>
      <c r="T29" s="526" t="s">
        <v>817</v>
      </c>
      <c r="U29" s="527" t="e">
        <f>U28-#REF!</f>
        <v>#REF!</v>
      </c>
      <c r="V29" s="532" t="s">
        <v>818</v>
      </c>
      <c r="W29" s="529" t="e">
        <f>(#REF!+BM29)/1000000</f>
        <v>#REF!</v>
      </c>
      <c r="X29" s="533"/>
      <c r="Y29" s="533"/>
      <c r="Z29" s="261"/>
      <c r="AA29" s="261"/>
      <c r="AB29" s="80" t="s">
        <v>817</v>
      </c>
      <c r="AC29" s="81" t="e">
        <f>AC28-#REF!</f>
        <v>#REF!</v>
      </c>
      <c r="AD29" s="82" t="s">
        <v>824</v>
      </c>
      <c r="AE29" s="83"/>
    </row>
    <row r="30" spans="1:61" ht="22.5" customHeight="1">
      <c r="A30" s="490" t="s">
        <v>1203</v>
      </c>
      <c r="B30" s="554">
        <v>0.09</v>
      </c>
      <c r="C30" s="555">
        <f>B30+D30+E30+F30+G30+H30+I30+J30+K30+L30+M30+N30+O30</f>
        <v>0.62</v>
      </c>
      <c r="D30" s="525">
        <v>0.05</v>
      </c>
      <c r="E30" s="525">
        <v>0.05</v>
      </c>
      <c r="F30" s="525">
        <v>0.05</v>
      </c>
      <c r="G30" s="525">
        <v>0.05</v>
      </c>
      <c r="H30" s="525">
        <v>0.05</v>
      </c>
      <c r="I30" s="525">
        <v>0.05</v>
      </c>
      <c r="J30" s="525">
        <v>0.05</v>
      </c>
      <c r="K30" s="525">
        <v>0.05</v>
      </c>
      <c r="L30" s="525">
        <v>0.05</v>
      </c>
      <c r="M30" s="525">
        <v>0.05</v>
      </c>
      <c r="N30" s="525">
        <v>0.03</v>
      </c>
      <c r="O30" s="525"/>
      <c r="P30" s="566" t="str">
        <f>M31</f>
        <v>기본계획(안)작성</v>
      </c>
      <c r="Q30" s="490" t="s">
        <v>1206</v>
      </c>
      <c r="R30" s="553" t="s">
        <v>1204</v>
      </c>
      <c r="S30" s="537" t="s">
        <v>1205</v>
      </c>
      <c r="T30" s="521" t="s">
        <v>814</v>
      </c>
      <c r="U30" s="522">
        <f>BK30/1100000</f>
        <v>0</v>
      </c>
      <c r="V30" s="523" t="s">
        <v>832</v>
      </c>
      <c r="W30" s="524" t="e">
        <f>U30*0.75-(#REF!+W31)</f>
        <v>#REF!</v>
      </c>
      <c r="X30" s="299" t="s">
        <v>1075</v>
      </c>
      <c r="Y30" s="79" t="s">
        <v>1076</v>
      </c>
      <c r="Z30" s="260" t="s">
        <v>65</v>
      </c>
      <c r="AA30" s="260"/>
      <c r="AB30" s="80" t="s">
        <v>89</v>
      </c>
      <c r="AC30" s="81">
        <v>202920000</v>
      </c>
      <c r="AD30" s="82" t="s">
        <v>98</v>
      </c>
      <c r="AE30" s="83">
        <f>SUM(AF30:BB30)</f>
        <v>5000000</v>
      </c>
      <c r="AF30" s="91" t="s">
        <v>482</v>
      </c>
      <c r="AG30" s="92">
        <v>0</v>
      </c>
      <c r="AH30" s="92" t="s">
        <v>1105</v>
      </c>
      <c r="AI30" s="92">
        <v>3000000</v>
      </c>
      <c r="AJ30" s="92" t="s">
        <v>1104</v>
      </c>
      <c r="AK30" s="92">
        <v>2000000</v>
      </c>
      <c r="AL30" s="92" t="s">
        <v>56</v>
      </c>
      <c r="AM30" s="92">
        <v>0</v>
      </c>
      <c r="AN30" s="92" t="s">
        <v>207</v>
      </c>
      <c r="AO30" s="92"/>
      <c r="AP30" s="92"/>
      <c r="AQ30" s="92"/>
      <c r="AR30" s="92"/>
      <c r="AS30" s="92"/>
      <c r="AT30" s="92"/>
      <c r="AU30" s="92"/>
      <c r="AV30" s="92"/>
      <c r="AW30" s="92"/>
      <c r="AX30" s="92"/>
      <c r="AY30" s="92"/>
      <c r="AZ30" s="92"/>
      <c r="BA30" s="92"/>
      <c r="BB30" s="92"/>
    </row>
    <row r="31" spans="1:61" ht="22.5" customHeight="1" thickBot="1">
      <c r="A31" s="495"/>
      <c r="B31" s="558"/>
      <c r="C31" s="559"/>
      <c r="D31" s="560" t="s">
        <v>1207</v>
      </c>
      <c r="E31" s="560" t="s">
        <v>1208</v>
      </c>
      <c r="F31" s="560" t="s">
        <v>1209</v>
      </c>
      <c r="G31" s="560" t="str">
        <f>F31</f>
        <v>기본계획(안) 작성 및 건축공모 준비</v>
      </c>
      <c r="H31" s="560" t="str">
        <f>G31</f>
        <v>기본계획(안) 작성 및 건축공모 준비</v>
      </c>
      <c r="I31" s="560" t="str">
        <f>H31</f>
        <v>기본계획(안) 작성 및 건축공모 준비</v>
      </c>
      <c r="J31" s="560" t="str">
        <f>I31</f>
        <v>기본계획(안) 작성 및 건축공모 준비</v>
      </c>
      <c r="K31" s="560" t="str">
        <f>J31</f>
        <v>기본계획(안) 작성 및 건축공모 준비</v>
      </c>
      <c r="L31" s="560" t="s">
        <v>1210</v>
      </c>
      <c r="M31" s="560" t="s">
        <v>1211</v>
      </c>
      <c r="N31" s="560" t="str">
        <f>M31</f>
        <v>기본계획(안)작성</v>
      </c>
      <c r="O31" s="560"/>
      <c r="P31" s="567"/>
      <c r="Q31" s="495"/>
      <c r="R31" s="557"/>
      <c r="S31" s="531" t="s">
        <v>67</v>
      </c>
      <c r="T31" s="526" t="s">
        <v>196</v>
      </c>
      <c r="U31" s="527" t="e">
        <f>U30-#REF!</f>
        <v>#REF!</v>
      </c>
      <c r="V31" s="532" t="s">
        <v>15</v>
      </c>
      <c r="W31" s="529" t="e">
        <f>(#REF!+BM31)/1000000</f>
        <v>#REF!</v>
      </c>
      <c r="X31" s="533"/>
      <c r="Y31" s="533"/>
      <c r="Z31" s="261"/>
      <c r="AA31" s="261"/>
      <c r="AB31" s="80" t="s">
        <v>817</v>
      </c>
      <c r="AC31" s="81" t="e">
        <f>AC30-#REF!</f>
        <v>#REF!</v>
      </c>
      <c r="AD31" s="82" t="s">
        <v>824</v>
      </c>
      <c r="AE31" s="83"/>
    </row>
    <row r="32" spans="1:61" ht="22.5" customHeight="1">
      <c r="A32" s="490" t="s">
        <v>1212</v>
      </c>
      <c r="B32" s="554">
        <v>0.12</v>
      </c>
      <c r="C32" s="555">
        <f>B32+D32+E32+F32+G32+H32+I32+J32+K32+L32+M32+N32+O32</f>
        <v>0.6000000000000002</v>
      </c>
      <c r="D32" s="525">
        <v>0.08</v>
      </c>
      <c r="E32" s="525">
        <v>0.08</v>
      </c>
      <c r="F32" s="525">
        <v>0.08</v>
      </c>
      <c r="G32" s="525">
        <v>0.03</v>
      </c>
      <c r="H32" s="525">
        <v>0.03</v>
      </c>
      <c r="I32" s="525">
        <v>0.03</v>
      </c>
      <c r="J32" s="525">
        <v>0.03</v>
      </c>
      <c r="K32" s="525">
        <v>0.03</v>
      </c>
      <c r="L32" s="525">
        <v>0.03</v>
      </c>
      <c r="M32" s="525">
        <v>0.03</v>
      </c>
      <c r="N32" s="525">
        <v>0.03</v>
      </c>
      <c r="O32" s="525"/>
      <c r="P32" s="566" t="str">
        <f>N33</f>
        <v>기본계획(안)작성</v>
      </c>
      <c r="Q32" s="490" t="s">
        <v>1215</v>
      </c>
      <c r="R32" s="553" t="s">
        <v>1213</v>
      </c>
      <c r="S32" s="537" t="s">
        <v>1214</v>
      </c>
      <c r="T32" s="521" t="s">
        <v>814</v>
      </c>
      <c r="U32" s="522">
        <f>BK32/1100000</f>
        <v>0</v>
      </c>
      <c r="V32" s="523" t="s">
        <v>832</v>
      </c>
      <c r="W32" s="524" t="e">
        <f>U32*0.75-(#REF!+W33)</f>
        <v>#REF!</v>
      </c>
      <c r="X32" s="299" t="s">
        <v>1075</v>
      </c>
      <c r="Y32" s="79" t="s">
        <v>1076</v>
      </c>
      <c r="Z32" s="260" t="s">
        <v>65</v>
      </c>
      <c r="AA32" s="260"/>
      <c r="AB32" s="80" t="s">
        <v>89</v>
      </c>
      <c r="AC32" s="81">
        <v>177210000</v>
      </c>
      <c r="AD32" s="82" t="s">
        <v>98</v>
      </c>
      <c r="AE32" s="83">
        <f>SUM(AF32:BB32)</f>
        <v>33490000</v>
      </c>
      <c r="AF32" s="91" t="s">
        <v>482</v>
      </c>
      <c r="AG32" s="92">
        <v>0</v>
      </c>
      <c r="AH32" s="92" t="s">
        <v>1105</v>
      </c>
      <c r="AI32" s="92">
        <v>3000000</v>
      </c>
      <c r="AJ32" s="92" t="s">
        <v>1104</v>
      </c>
      <c r="AK32" s="92">
        <v>2000000</v>
      </c>
      <c r="AL32" s="92" t="s">
        <v>56</v>
      </c>
      <c r="AM32" s="92">
        <v>28490000</v>
      </c>
      <c r="AN32" s="92" t="s">
        <v>207</v>
      </c>
      <c r="AO32" s="92"/>
      <c r="AP32" s="92"/>
      <c r="AQ32" s="92"/>
      <c r="AR32" s="92"/>
      <c r="AS32" s="92"/>
      <c r="AT32" s="92"/>
      <c r="AU32" s="92"/>
      <c r="AV32" s="92"/>
      <c r="AW32" s="92"/>
      <c r="AX32" s="92"/>
      <c r="AY32" s="92"/>
      <c r="AZ32" s="92"/>
      <c r="BA32" s="92"/>
      <c r="BB32" s="92"/>
    </row>
    <row r="33" spans="1:54" ht="22.5" customHeight="1" thickBot="1">
      <c r="A33" s="495"/>
      <c r="B33" s="558"/>
      <c r="C33" s="559"/>
      <c r="D33" s="560" t="s">
        <v>1207</v>
      </c>
      <c r="E33" s="560" t="str">
        <f>D33</f>
        <v>기본계획(안)작성</v>
      </c>
      <c r="F33" s="560" t="str">
        <f>E33</f>
        <v>기본계획(안)작성</v>
      </c>
      <c r="G33" s="560" t="str">
        <f>F33</f>
        <v>기본계획(안)작성</v>
      </c>
      <c r="H33" s="560" t="str">
        <f>G33</f>
        <v>기본계획(안)작성</v>
      </c>
      <c r="I33" s="560" t="str">
        <f>I31</f>
        <v>기본계획(안) 작성 및 건축공모 준비</v>
      </c>
      <c r="J33" s="560" t="str">
        <f>J31</f>
        <v>기본계획(안) 작성 및 건축공모 준비</v>
      </c>
      <c r="K33" s="560" t="s">
        <v>1207</v>
      </c>
      <c r="L33" s="560" t="s">
        <v>1217</v>
      </c>
      <c r="M33" s="560" t="str">
        <f>L33</f>
        <v>건축 부지조성안 작성</v>
      </c>
      <c r="N33" s="560" t="s">
        <v>1207</v>
      </c>
      <c r="O33" s="560"/>
      <c r="P33" s="567"/>
      <c r="Q33" s="495"/>
      <c r="R33" s="557"/>
      <c r="S33" s="531" t="s">
        <v>1216</v>
      </c>
      <c r="T33" s="526" t="s">
        <v>196</v>
      </c>
      <c r="U33" s="527" t="e">
        <f>U32-#REF!</f>
        <v>#REF!</v>
      </c>
      <c r="V33" s="532" t="s">
        <v>15</v>
      </c>
      <c r="W33" s="529" t="e">
        <f>(#REF!+BM33)/1000000</f>
        <v>#REF!</v>
      </c>
      <c r="X33" s="533"/>
      <c r="Y33" s="533"/>
      <c r="Z33" s="261"/>
      <c r="AA33" s="261"/>
      <c r="AB33" s="80" t="s">
        <v>196</v>
      </c>
      <c r="AC33" s="81" t="e">
        <f>AC32-#REF!</f>
        <v>#REF!</v>
      </c>
      <c r="AD33" s="82" t="s">
        <v>100</v>
      </c>
      <c r="AE33" s="83"/>
    </row>
    <row r="34" spans="1:54" ht="22.5" customHeight="1">
      <c r="A34" s="490" t="s">
        <v>1218</v>
      </c>
      <c r="B34" s="554">
        <v>0.1</v>
      </c>
      <c r="C34" s="555">
        <f>B34+D34+E34+F34+G34+H34+I34+J34+K34+L34+M34+N34+O34</f>
        <v>0.65</v>
      </c>
      <c r="D34" s="525">
        <v>0.1</v>
      </c>
      <c r="E34" s="525">
        <v>0.1</v>
      </c>
      <c r="F34" s="525">
        <v>0.1</v>
      </c>
      <c r="G34" s="525">
        <v>0.1</v>
      </c>
      <c r="H34" s="525">
        <v>0.1</v>
      </c>
      <c r="I34" s="525">
        <v>0.05</v>
      </c>
      <c r="J34" s="525">
        <v>0</v>
      </c>
      <c r="K34" s="525">
        <v>0</v>
      </c>
      <c r="L34" s="525">
        <v>0</v>
      </c>
      <c r="M34" s="525">
        <v>0</v>
      </c>
      <c r="N34" s="525">
        <v>0</v>
      </c>
      <c r="O34" s="525"/>
      <c r="P34" s="566" t="str">
        <f>N35</f>
        <v>업무대기</v>
      </c>
      <c r="Q34" s="490" t="s">
        <v>1087</v>
      </c>
      <c r="R34" s="553" t="s">
        <v>1219</v>
      </c>
      <c r="S34" s="537" t="s">
        <v>1220</v>
      </c>
      <c r="T34" s="521" t="s">
        <v>89</v>
      </c>
      <c r="U34" s="522">
        <f>BK34/1100000</f>
        <v>0</v>
      </c>
      <c r="V34" s="523" t="s">
        <v>7</v>
      </c>
      <c r="W34" s="524" t="e">
        <f>U34*0.75-(#REF!+W35)</f>
        <v>#REF!</v>
      </c>
      <c r="X34" s="299" t="s">
        <v>1075</v>
      </c>
      <c r="Y34" s="79" t="s">
        <v>1076</v>
      </c>
      <c r="Z34" s="260" t="s">
        <v>1147</v>
      </c>
      <c r="AA34" s="260"/>
      <c r="AB34" s="80" t="s">
        <v>814</v>
      </c>
      <c r="AC34" s="81">
        <v>200000000</v>
      </c>
      <c r="AD34" s="82" t="s">
        <v>35</v>
      </c>
      <c r="AE34" s="83">
        <f>SUM(AF34:BB34)</f>
        <v>39690000</v>
      </c>
      <c r="AF34" s="91" t="s">
        <v>796</v>
      </c>
      <c r="AG34" s="92">
        <v>39690000</v>
      </c>
      <c r="AH34" s="92" t="s">
        <v>1079</v>
      </c>
      <c r="AI34" s="92">
        <v>0</v>
      </c>
      <c r="AJ34" s="92" t="s">
        <v>1078</v>
      </c>
      <c r="AK34" s="92">
        <v>0</v>
      </c>
      <c r="AL34" s="92" t="s">
        <v>815</v>
      </c>
      <c r="AM34" s="92">
        <v>0</v>
      </c>
      <c r="AN34" s="92" t="s">
        <v>1080</v>
      </c>
      <c r="AO34" s="92"/>
      <c r="AP34" s="92"/>
      <c r="AQ34" s="92"/>
      <c r="AR34" s="92"/>
      <c r="AS34" s="92"/>
      <c r="AT34" s="92"/>
      <c r="AU34" s="92"/>
      <c r="AV34" s="92"/>
      <c r="AW34" s="92"/>
      <c r="AX34" s="92"/>
      <c r="AY34" s="92"/>
      <c r="AZ34" s="92"/>
      <c r="BA34" s="92"/>
      <c r="BB34" s="92"/>
    </row>
    <row r="35" spans="1:54" ht="22.5" customHeight="1" thickBot="1">
      <c r="A35" s="495"/>
      <c r="B35" s="558"/>
      <c r="C35" s="559"/>
      <c r="D35" s="560" t="s">
        <v>1221</v>
      </c>
      <c r="E35" s="560" t="s">
        <v>1222</v>
      </c>
      <c r="F35" s="560" t="s">
        <v>1222</v>
      </c>
      <c r="G35" s="560" t="str">
        <f>F35</f>
        <v>관련실과부서 협의 및 성과품작성</v>
      </c>
      <c r="H35" s="560" t="str">
        <f>G35</f>
        <v>관련실과부서 협의 및 성과품작성</v>
      </c>
      <c r="I35" s="560" t="s">
        <v>1223</v>
      </c>
      <c r="J35" s="560" t="s">
        <v>77</v>
      </c>
      <c r="K35" s="560" t="str">
        <f>J35</f>
        <v>업무대기</v>
      </c>
      <c r="L35" s="560" t="str">
        <f>K35</f>
        <v>업무대기</v>
      </c>
      <c r="M35" s="560" t="str">
        <f>L35</f>
        <v>업무대기</v>
      </c>
      <c r="N35" s="560" t="str">
        <f>M35</f>
        <v>업무대기</v>
      </c>
      <c r="O35" s="560"/>
      <c r="P35" s="567"/>
      <c r="Q35" s="495"/>
      <c r="R35" s="557"/>
      <c r="S35" s="531" t="s">
        <v>816</v>
      </c>
      <c r="T35" s="526" t="s">
        <v>817</v>
      </c>
      <c r="U35" s="527" t="e">
        <f>U34-#REF!</f>
        <v>#REF!</v>
      </c>
      <c r="V35" s="532" t="s">
        <v>818</v>
      </c>
      <c r="W35" s="529" t="e">
        <f>(#REF!+BM35)/1000000</f>
        <v>#REF!</v>
      </c>
      <c r="X35" s="533"/>
      <c r="Y35" s="533"/>
      <c r="Z35" s="261"/>
      <c r="AA35" s="261"/>
      <c r="AB35" s="80" t="s">
        <v>817</v>
      </c>
      <c r="AC35" s="81" t="e">
        <f>AC34-#REF!</f>
        <v>#REF!</v>
      </c>
      <c r="AD35" s="82" t="s">
        <v>824</v>
      </c>
      <c r="AE35" s="83"/>
    </row>
    <row r="36" spans="1:54" ht="22.5" customHeight="1">
      <c r="A36" s="490" t="s">
        <v>1224</v>
      </c>
      <c r="B36" s="554">
        <v>0.04</v>
      </c>
      <c r="C36" s="555">
        <f>B36+D36+E36+F36+G36+H36+I36+J36+K36+L36+M36+N36+O36</f>
        <v>0.88000000000000012</v>
      </c>
      <c r="D36" s="525">
        <v>0.08</v>
      </c>
      <c r="E36" s="525">
        <v>0.08</v>
      </c>
      <c r="F36" s="525">
        <v>0.08</v>
      </c>
      <c r="G36" s="525">
        <v>0.03</v>
      </c>
      <c r="H36" s="525">
        <v>0.03</v>
      </c>
      <c r="I36" s="525">
        <v>0.06</v>
      </c>
      <c r="J36" s="525">
        <v>0.06</v>
      </c>
      <c r="K36" s="525">
        <v>0.06</v>
      </c>
      <c r="L36" s="525">
        <v>0.06</v>
      </c>
      <c r="M36" s="525">
        <v>0.1</v>
      </c>
      <c r="N36" s="525">
        <v>0.2</v>
      </c>
      <c r="O36" s="525"/>
      <c r="P36" s="566" t="str">
        <f>N37</f>
        <v>공원조성계획(안)작성</v>
      </c>
      <c r="Q36" s="490" t="s">
        <v>1227</v>
      </c>
      <c r="R36" s="553" t="s">
        <v>1225</v>
      </c>
      <c r="S36" s="537" t="s">
        <v>1226</v>
      </c>
      <c r="T36" s="521" t="s">
        <v>814</v>
      </c>
      <c r="U36" s="522">
        <f>BK36/1100000</f>
        <v>0</v>
      </c>
      <c r="V36" s="523" t="s">
        <v>832</v>
      </c>
      <c r="W36" s="524" t="e">
        <f>U36*0.75-(#REF!+W37)</f>
        <v>#REF!</v>
      </c>
      <c r="X36" s="299" t="s">
        <v>1075</v>
      </c>
      <c r="Y36" s="79" t="s">
        <v>1076</v>
      </c>
      <c r="Z36" s="260" t="s">
        <v>65</v>
      </c>
      <c r="AA36" s="260"/>
      <c r="AB36" s="80" t="s">
        <v>89</v>
      </c>
      <c r="AC36" s="81">
        <v>38577000</v>
      </c>
      <c r="AD36" s="82" t="s">
        <v>98</v>
      </c>
      <c r="AE36" s="83">
        <f>SUM(AF36:BB36)</f>
        <v>0</v>
      </c>
      <c r="AF36" s="91" t="s">
        <v>482</v>
      </c>
      <c r="AG36" s="92">
        <v>0</v>
      </c>
      <c r="AH36" s="92" t="s">
        <v>1105</v>
      </c>
      <c r="AI36" s="92">
        <v>0</v>
      </c>
      <c r="AJ36" s="92" t="s">
        <v>1104</v>
      </c>
      <c r="AK36" s="92">
        <v>0</v>
      </c>
      <c r="AL36" s="92" t="s">
        <v>56</v>
      </c>
      <c r="AM36" s="92">
        <v>0</v>
      </c>
      <c r="AN36" s="92" t="s">
        <v>207</v>
      </c>
      <c r="AO36" s="92"/>
      <c r="AP36" s="92"/>
      <c r="AQ36" s="92"/>
      <c r="AR36" s="92"/>
      <c r="AS36" s="92"/>
      <c r="AT36" s="92"/>
      <c r="AU36" s="92"/>
      <c r="AV36" s="92"/>
      <c r="AW36" s="92"/>
      <c r="AX36" s="92"/>
      <c r="AY36" s="92"/>
      <c r="AZ36" s="92"/>
      <c r="BA36" s="92"/>
      <c r="BB36" s="92"/>
    </row>
    <row r="37" spans="1:54" ht="22.5" customHeight="1" thickBot="1">
      <c r="A37" s="495"/>
      <c r="B37" s="558"/>
      <c r="C37" s="559"/>
      <c r="D37" s="560" t="s">
        <v>1207</v>
      </c>
      <c r="E37" s="560" t="str">
        <f>D37</f>
        <v>기본계획(안)작성</v>
      </c>
      <c r="F37" s="560" t="str">
        <f>E37</f>
        <v>기본계획(안)작성</v>
      </c>
      <c r="G37" s="560" t="str">
        <f>F37</f>
        <v>기본계획(안)작성</v>
      </c>
      <c r="H37" s="560" t="str">
        <f>G37</f>
        <v>기본계획(안)작성</v>
      </c>
      <c r="I37" s="560" t="str">
        <f>H37</f>
        <v>기본계획(안)작성</v>
      </c>
      <c r="J37" s="560" t="s">
        <v>1228</v>
      </c>
      <c r="K37" s="560" t="str">
        <f>J37</f>
        <v>공원조성계획(안)작성</v>
      </c>
      <c r="L37" s="560" t="str">
        <f>K37</f>
        <v>공원조성계획(안)작성</v>
      </c>
      <c r="M37" s="560" t="str">
        <f>L37</f>
        <v>공원조성계획(안)작성</v>
      </c>
      <c r="N37" s="560" t="str">
        <f>M37</f>
        <v>공원조성계획(안)작성</v>
      </c>
      <c r="O37" s="560"/>
      <c r="P37" s="567"/>
      <c r="Q37" s="495"/>
      <c r="R37" s="557"/>
      <c r="S37" s="531" t="s">
        <v>67</v>
      </c>
      <c r="T37" s="526" t="s">
        <v>196</v>
      </c>
      <c r="U37" s="527" t="e">
        <f>U36-#REF!</f>
        <v>#REF!</v>
      </c>
      <c r="V37" s="532" t="s">
        <v>15</v>
      </c>
      <c r="W37" s="529" t="e">
        <f>(#REF!+BM37)/1000000</f>
        <v>#REF!</v>
      </c>
      <c r="X37" s="533"/>
      <c r="Y37" s="533"/>
      <c r="Z37" s="261"/>
      <c r="AA37" s="261"/>
      <c r="AB37" s="80" t="s">
        <v>817</v>
      </c>
      <c r="AC37" s="81" t="e">
        <f>AC36-#REF!</f>
        <v>#REF!</v>
      </c>
      <c r="AD37" s="82" t="s">
        <v>824</v>
      </c>
      <c r="AE37" s="83"/>
    </row>
    <row r="38" spans="1:54" ht="22.5" customHeight="1">
      <c r="A38" s="490" t="s">
        <v>1230</v>
      </c>
      <c r="B38" s="554">
        <v>0</v>
      </c>
      <c r="C38" s="555">
        <f>B38+D38+E38+F38+G38+H38+I38+J38+K38+L38+M38+N38+O38</f>
        <v>0.65</v>
      </c>
      <c r="D38" s="525"/>
      <c r="E38" s="525"/>
      <c r="F38" s="525"/>
      <c r="G38" s="525"/>
      <c r="H38" s="525"/>
      <c r="I38" s="525">
        <v>0.05</v>
      </c>
      <c r="J38" s="525">
        <v>0.05</v>
      </c>
      <c r="K38" s="525">
        <v>0.05</v>
      </c>
      <c r="L38" s="525">
        <v>0.1</v>
      </c>
      <c r="M38" s="525">
        <v>0.2</v>
      </c>
      <c r="N38" s="525">
        <v>0.2</v>
      </c>
      <c r="O38" s="525"/>
      <c r="P38" s="566" t="str">
        <f>N39</f>
        <v>군수보고및기본계획(안)작성</v>
      </c>
      <c r="Q38" s="490" t="s">
        <v>1233</v>
      </c>
      <c r="R38" s="553" t="s">
        <v>1231</v>
      </c>
      <c r="S38" s="537" t="s">
        <v>1232</v>
      </c>
      <c r="T38" s="521" t="s">
        <v>814</v>
      </c>
      <c r="U38" s="522">
        <f>BK38/1100000</f>
        <v>0</v>
      </c>
      <c r="V38" s="523" t="s">
        <v>832</v>
      </c>
      <c r="W38" s="524" t="e">
        <f>U38*0.75-(#REF!+W39)</f>
        <v>#REF!</v>
      </c>
      <c r="X38" s="299" t="s">
        <v>1075</v>
      </c>
      <c r="Y38" s="79" t="s">
        <v>1076</v>
      </c>
      <c r="Z38" s="260" t="s">
        <v>1147</v>
      </c>
      <c r="AA38" s="260"/>
      <c r="AB38" s="80" t="s">
        <v>814</v>
      </c>
      <c r="AC38" s="81">
        <v>178980000</v>
      </c>
      <c r="AD38" s="82" t="s">
        <v>35</v>
      </c>
      <c r="AE38" s="83">
        <f>SUM(AF38:BB38)</f>
        <v>27067500</v>
      </c>
      <c r="AF38" s="91" t="s">
        <v>1148</v>
      </c>
      <c r="AG38" s="92">
        <v>0</v>
      </c>
      <c r="AH38" s="92" t="s">
        <v>1079</v>
      </c>
      <c r="AI38" s="92">
        <v>0</v>
      </c>
      <c r="AJ38" s="92" t="s">
        <v>1078</v>
      </c>
      <c r="AK38" s="92">
        <v>0</v>
      </c>
      <c r="AL38" s="92" t="s">
        <v>815</v>
      </c>
      <c r="AM38" s="92">
        <v>27067500</v>
      </c>
      <c r="AN38" s="92" t="s">
        <v>1080</v>
      </c>
      <c r="AO38" s="92"/>
      <c r="AP38" s="92"/>
      <c r="AQ38" s="92"/>
      <c r="AR38" s="92"/>
      <c r="AS38" s="92"/>
      <c r="AT38" s="92"/>
      <c r="AU38" s="92"/>
      <c r="AV38" s="92"/>
      <c r="AW38" s="92"/>
      <c r="AX38" s="92"/>
      <c r="AY38" s="92"/>
      <c r="AZ38" s="92"/>
      <c r="BA38" s="92"/>
      <c r="BB38" s="92"/>
    </row>
    <row r="39" spans="1:54" ht="22.5" customHeight="1" thickBot="1">
      <c r="A39" s="495"/>
      <c r="B39" s="558"/>
      <c r="C39" s="559"/>
      <c r="D39" s="560"/>
      <c r="E39" s="560"/>
      <c r="F39" s="560"/>
      <c r="G39" s="560"/>
      <c r="H39" s="560"/>
      <c r="I39" s="560" t="s">
        <v>1234</v>
      </c>
      <c r="J39" s="560" t="s">
        <v>1235</v>
      </c>
      <c r="K39" s="560" t="s">
        <v>1211</v>
      </c>
      <c r="L39" s="560" t="str">
        <f>K39</f>
        <v>기본계획(안)작성</v>
      </c>
      <c r="M39" s="560" t="str">
        <f>L39</f>
        <v>기본계획(안)작성</v>
      </c>
      <c r="N39" s="560" t="s">
        <v>1236</v>
      </c>
      <c r="O39" s="560"/>
      <c r="P39" s="567"/>
      <c r="Q39" s="495"/>
      <c r="R39" s="557"/>
      <c r="S39" s="531" t="s">
        <v>816</v>
      </c>
      <c r="T39" s="526" t="s">
        <v>817</v>
      </c>
      <c r="U39" s="527" t="e">
        <f>U38-#REF!</f>
        <v>#REF!</v>
      </c>
      <c r="V39" s="532" t="s">
        <v>818</v>
      </c>
      <c r="W39" s="529" t="e">
        <f>(#REF!+BM39)/1000000</f>
        <v>#REF!</v>
      </c>
      <c r="X39" s="533"/>
      <c r="Y39" s="533"/>
      <c r="Z39" s="261"/>
      <c r="AA39" s="261"/>
      <c r="AB39" s="80" t="s">
        <v>817</v>
      </c>
      <c r="AC39" s="81" t="e">
        <f>AC38-#REF!</f>
        <v>#REF!</v>
      </c>
      <c r="AD39" s="82" t="s">
        <v>824</v>
      </c>
      <c r="AE39" s="83"/>
    </row>
    <row r="40" spans="1:54" ht="22.5" customHeight="1">
      <c r="A40" s="490" t="s">
        <v>1237</v>
      </c>
      <c r="B40" s="554">
        <v>0</v>
      </c>
      <c r="C40" s="555">
        <f>B40+D40+E40+F40+G40+H40+I40+J40+K40+L40+M40+N40+O40</f>
        <v>0.95000000000000007</v>
      </c>
      <c r="D40" s="525"/>
      <c r="E40" s="525"/>
      <c r="F40" s="525"/>
      <c r="G40" s="525"/>
      <c r="H40" s="525"/>
      <c r="I40" s="525">
        <v>0.05</v>
      </c>
      <c r="J40" s="525">
        <v>0.2</v>
      </c>
      <c r="K40" s="525">
        <v>0.2</v>
      </c>
      <c r="L40" s="525">
        <v>0.2</v>
      </c>
      <c r="M40" s="525">
        <v>0.2</v>
      </c>
      <c r="N40" s="525">
        <v>0.1</v>
      </c>
      <c r="O40" s="525"/>
      <c r="P40" s="566" t="str">
        <f>N41</f>
        <v>최종성과품 보고</v>
      </c>
      <c r="Q40" s="490" t="s">
        <v>1240</v>
      </c>
      <c r="R40" s="553" t="s">
        <v>1238</v>
      </c>
      <c r="S40" s="537" t="s">
        <v>1239</v>
      </c>
      <c r="T40" s="521" t="s">
        <v>814</v>
      </c>
      <c r="U40" s="522">
        <f>BK40/1100000</f>
        <v>0</v>
      </c>
      <c r="V40" s="523" t="s">
        <v>832</v>
      </c>
      <c r="W40" s="524" t="e">
        <f>U40*0.75-(#REF!+W41)</f>
        <v>#REF!</v>
      </c>
      <c r="X40" s="299" t="s">
        <v>1075</v>
      </c>
      <c r="Y40" s="79" t="s">
        <v>1076</v>
      </c>
      <c r="Z40" s="260" t="s">
        <v>1147</v>
      </c>
      <c r="AA40" s="260"/>
      <c r="AB40" s="80" t="s">
        <v>814</v>
      </c>
      <c r="AC40" s="81">
        <v>20040000</v>
      </c>
      <c r="AD40" s="82" t="s">
        <v>35</v>
      </c>
      <c r="AE40" s="83">
        <f>SUM(AF40:BB40)</f>
        <v>0</v>
      </c>
      <c r="AF40" s="91" t="s">
        <v>1148</v>
      </c>
      <c r="AG40" s="92">
        <v>0</v>
      </c>
      <c r="AH40" s="92" t="s">
        <v>1079</v>
      </c>
      <c r="AI40" s="92">
        <v>0</v>
      </c>
      <c r="AJ40" s="92" t="s">
        <v>1078</v>
      </c>
      <c r="AK40" s="92">
        <v>0</v>
      </c>
      <c r="AL40" s="92" t="s">
        <v>815</v>
      </c>
      <c r="AM40" s="92">
        <v>0</v>
      </c>
      <c r="AN40" s="92" t="s">
        <v>1080</v>
      </c>
      <c r="AO40" s="92"/>
      <c r="AP40" s="92"/>
      <c r="AQ40" s="92"/>
      <c r="AR40" s="92"/>
      <c r="AS40" s="92"/>
      <c r="AT40" s="92"/>
      <c r="AU40" s="92"/>
      <c r="AV40" s="92"/>
      <c r="AW40" s="92"/>
      <c r="AX40" s="92"/>
      <c r="AY40" s="92"/>
      <c r="AZ40" s="92"/>
      <c r="BA40" s="92"/>
      <c r="BB40" s="92"/>
    </row>
    <row r="41" spans="1:54" ht="22.5" customHeight="1" thickBot="1">
      <c r="A41" s="495"/>
      <c r="B41" s="558"/>
      <c r="C41" s="559"/>
      <c r="D41" s="560"/>
      <c r="E41" s="560"/>
      <c r="F41" s="560"/>
      <c r="G41" s="560"/>
      <c r="H41" s="560"/>
      <c r="I41" s="560" t="s">
        <v>1241</v>
      </c>
      <c r="J41" s="560" t="s">
        <v>1211</v>
      </c>
      <c r="K41" s="560" t="s">
        <v>1242</v>
      </c>
      <c r="L41" s="560" t="s">
        <v>1243</v>
      </c>
      <c r="M41" s="560" t="s">
        <v>1244</v>
      </c>
      <c r="N41" s="560" t="s">
        <v>1245</v>
      </c>
      <c r="O41" s="560"/>
      <c r="P41" s="567"/>
      <c r="Q41" s="495"/>
      <c r="R41" s="557"/>
      <c r="S41" s="531" t="s">
        <v>816</v>
      </c>
      <c r="T41" s="526" t="s">
        <v>817</v>
      </c>
      <c r="U41" s="527" t="e">
        <f>U40-#REF!</f>
        <v>#REF!</v>
      </c>
      <c r="V41" s="532" t="s">
        <v>818</v>
      </c>
      <c r="W41" s="529" t="e">
        <f>(#REF!+BM41)/1000000</f>
        <v>#REF!</v>
      </c>
      <c r="X41" s="533"/>
      <c r="Y41" s="533"/>
      <c r="Z41" s="261"/>
      <c r="AA41" s="261"/>
      <c r="AB41" s="80" t="s">
        <v>817</v>
      </c>
      <c r="AC41" s="81" t="e">
        <f>AC40-#REF!</f>
        <v>#REF!</v>
      </c>
      <c r="AD41" s="82" t="s">
        <v>824</v>
      </c>
      <c r="AE41" s="83"/>
    </row>
    <row r="42" spans="1:54" ht="22.5" customHeight="1">
      <c r="A42" s="490" t="s">
        <v>1246</v>
      </c>
      <c r="B42" s="554">
        <v>0</v>
      </c>
      <c r="C42" s="555">
        <f>B42+D42+E42+F42+G42+H42+I42+J42+K42+L42+M42+N42+O42</f>
        <v>0.89999999999999991</v>
      </c>
      <c r="D42" s="525"/>
      <c r="E42" s="525"/>
      <c r="F42" s="525"/>
      <c r="G42" s="525"/>
      <c r="H42" s="525"/>
      <c r="I42" s="525">
        <v>0.1</v>
      </c>
      <c r="J42" s="525">
        <v>0.2</v>
      </c>
      <c r="K42" s="525">
        <v>0.2</v>
      </c>
      <c r="L42" s="525">
        <v>0.2</v>
      </c>
      <c r="M42" s="525">
        <v>0.1</v>
      </c>
      <c r="N42" s="525">
        <v>0.1</v>
      </c>
      <c r="O42" s="525"/>
      <c r="P42" s="566" t="str">
        <f>N43</f>
        <v>세부설계진행</v>
      </c>
      <c r="Q42" s="490" t="s">
        <v>1249</v>
      </c>
      <c r="R42" s="553" t="s">
        <v>1247</v>
      </c>
      <c r="S42" s="537" t="s">
        <v>1248</v>
      </c>
      <c r="T42" s="521" t="s">
        <v>814</v>
      </c>
      <c r="U42" s="522">
        <f>BK42/1100000</f>
        <v>0</v>
      </c>
      <c r="V42" s="523" t="s">
        <v>832</v>
      </c>
      <c r="W42" s="524" t="e">
        <f>U42*0.75-(#REF!+W43)</f>
        <v>#REF!</v>
      </c>
      <c r="X42" s="299" t="s">
        <v>1075</v>
      </c>
      <c r="Y42" s="79" t="s">
        <v>1076</v>
      </c>
      <c r="Z42" s="260" t="s">
        <v>65</v>
      </c>
      <c r="AA42" s="260"/>
      <c r="AB42" s="80" t="s">
        <v>89</v>
      </c>
      <c r="AC42" s="81">
        <v>20250000</v>
      </c>
      <c r="AD42" s="82" t="s">
        <v>98</v>
      </c>
      <c r="AE42" s="83">
        <f>SUM(AF42:BB42)</f>
        <v>0</v>
      </c>
      <c r="AF42" s="91" t="s">
        <v>482</v>
      </c>
      <c r="AG42" s="92">
        <v>0</v>
      </c>
      <c r="AH42" s="92" t="s">
        <v>1105</v>
      </c>
      <c r="AI42" s="92">
        <v>0</v>
      </c>
      <c r="AJ42" s="92" t="s">
        <v>1104</v>
      </c>
      <c r="AK42" s="92">
        <v>0</v>
      </c>
      <c r="AL42" s="92" t="s">
        <v>56</v>
      </c>
      <c r="AM42" s="92">
        <v>0</v>
      </c>
      <c r="AN42" s="92" t="s">
        <v>207</v>
      </c>
      <c r="AO42" s="92"/>
      <c r="AP42" s="92"/>
      <c r="AQ42" s="92"/>
      <c r="AR42" s="92"/>
      <c r="AS42" s="92"/>
      <c r="AT42" s="92"/>
      <c r="AU42" s="92"/>
      <c r="AV42" s="92"/>
      <c r="AW42" s="92"/>
      <c r="AX42" s="92"/>
      <c r="AY42" s="92"/>
      <c r="AZ42" s="92"/>
      <c r="BA42" s="92"/>
      <c r="BB42" s="92"/>
    </row>
    <row r="43" spans="1:54" ht="22.5" customHeight="1">
      <c r="A43" s="495"/>
      <c r="B43" s="558"/>
      <c r="C43" s="559"/>
      <c r="D43" s="560"/>
      <c r="E43" s="560"/>
      <c r="F43" s="560"/>
      <c r="G43" s="560"/>
      <c r="H43" s="560"/>
      <c r="I43" s="560" t="s">
        <v>1241</v>
      </c>
      <c r="J43" s="560" t="s">
        <v>1251</v>
      </c>
      <c r="K43" s="560" t="s">
        <v>1252</v>
      </c>
      <c r="L43" s="560" t="s">
        <v>1253</v>
      </c>
      <c r="M43" s="560" t="s">
        <v>1254</v>
      </c>
      <c r="N43" s="560" t="s">
        <v>1127</v>
      </c>
      <c r="O43" s="560"/>
      <c r="P43" s="567"/>
      <c r="Q43" s="495"/>
      <c r="R43" s="557"/>
      <c r="S43" s="531" t="s">
        <v>1250</v>
      </c>
      <c r="T43" s="526" t="s">
        <v>817</v>
      </c>
      <c r="U43" s="527" t="e">
        <f>U42-#REF!</f>
        <v>#REF!</v>
      </c>
      <c r="V43" s="532" t="s">
        <v>818</v>
      </c>
      <c r="W43" s="529" t="e">
        <f>(#REF!+BM43)/1000000</f>
        <v>#REF!</v>
      </c>
      <c r="X43" s="533"/>
      <c r="Y43" s="533"/>
      <c r="Z43" s="261"/>
      <c r="AA43" s="261"/>
      <c r="AB43" s="80" t="s">
        <v>817</v>
      </c>
      <c r="AC43" s="81" t="e">
        <f>AC42-#REF!</f>
        <v>#REF!</v>
      </c>
      <c r="AD43" s="82" t="s">
        <v>824</v>
      </c>
      <c r="AE43" s="83"/>
    </row>
    <row r="44" spans="1:54" ht="22.5" customHeight="1">
      <c r="AC44" s="538" t="s">
        <v>1255</v>
      </c>
      <c r="AD44" s="434" t="s">
        <v>1256</v>
      </c>
      <c r="AE44" s="539"/>
    </row>
    <row r="45" spans="1:54" ht="22.5" customHeight="1">
      <c r="AC45" s="540" t="e">
        <f>#REF!+AC13+AC15+AC19+#REF!+#REF!+#REF!+#REF!+#REF!+#REF!+#REF!+#REF!+#REF!+#REF!+#REF!+#REF!+#REF!</f>
        <v>#REF!</v>
      </c>
      <c r="AD45" s="434" t="s">
        <v>35</v>
      </c>
      <c r="AE45" s="539" t="e">
        <f>#REF!+#REF!+#REF!+#REF!+#REF!+#REF!+AE22+AE24+#REF!+#REF!+AE26+#REF!+#REF!+AE28+AE30+AE32</f>
        <v>#REF!</v>
      </c>
      <c r="AF45" s="77">
        <f>AE14+AE16</f>
        <v>90325000</v>
      </c>
    </row>
    <row r="46" spans="1:54" ht="22.5" customHeight="1">
      <c r="AC46" s="538"/>
      <c r="AD46" s="434" t="s">
        <v>1257</v>
      </c>
      <c r="AE46" s="539" t="e">
        <f>#REF!+#REF!+#REF!+#REF!+#REF!+#REF!+#REF!+#REF!+#REF!+#REF!+#REF!+#REF!+#REF!+#REF!+#REF!+#REF!</f>
        <v>#REF!</v>
      </c>
    </row>
    <row r="47" spans="1:54" ht="22.5" customHeight="1"/>
    <row r="48" spans="1:54" ht="22.5" customHeight="1"/>
    <row r="49" spans="1:56" ht="22.5" customHeight="1">
      <c r="S49" s="571"/>
      <c r="T49" s="572"/>
      <c r="U49" s="573"/>
      <c r="X49" s="541" t="s">
        <v>1258</v>
      </c>
      <c r="Y49" s="540" t="e">
        <f>#REF!+#REF!+#REF!+#REF!+AC22+AC24+#REF!+#REF!+AC26+#REF!+#REF!+AC28+AC30+AC32+AC34+AC36</f>
        <v>#REF!</v>
      </c>
      <c r="Z49" s="538"/>
      <c r="AA49" s="538"/>
      <c r="AB49" s="538"/>
      <c r="AC49" s="538" t="s">
        <v>1069</v>
      </c>
      <c r="AD49" s="574" t="s">
        <v>1259</v>
      </c>
      <c r="AE49" s="542">
        <v>800000000</v>
      </c>
      <c r="AF49" s="492" t="s">
        <v>1260</v>
      </c>
      <c r="AG49" s="540" t="e">
        <f>Y49-AE49</f>
        <v>#REF!</v>
      </c>
      <c r="AN49" s="538"/>
      <c r="AO49" s="543"/>
      <c r="AP49" s="538"/>
      <c r="AQ49" s="538"/>
      <c r="AR49" s="538"/>
      <c r="AS49" s="543"/>
      <c r="AT49" s="538"/>
      <c r="AU49" s="543"/>
      <c r="AV49" s="538"/>
      <c r="AW49" s="543"/>
      <c r="AX49" s="538"/>
      <c r="AY49" s="543"/>
      <c r="AZ49" s="538"/>
      <c r="BA49" s="543"/>
      <c r="BB49" s="538"/>
      <c r="BC49" s="543"/>
      <c r="BD49" s="538"/>
    </row>
    <row r="50" spans="1:56" ht="22.5" customHeight="1">
      <c r="S50" s="571"/>
      <c r="T50" s="572"/>
      <c r="U50" s="573"/>
      <c r="X50" s="541" t="s">
        <v>1261</v>
      </c>
      <c r="Y50" s="540" t="e">
        <f>#REF!+#REF!+#REF!+#REF!+#REF!+#REF!+#REF!+#REF!+#REF!+#REF!+#REF!+#REF!+#REF!+#REF!+#REF!+#REF!+#REF!+#REF!</f>
        <v>#REF!</v>
      </c>
      <c r="Z50" s="538"/>
      <c r="AA50" s="538"/>
      <c r="AB50" s="538"/>
      <c r="AC50" s="538" t="s">
        <v>1262</v>
      </c>
      <c r="AD50" s="575"/>
      <c r="AE50" s="542">
        <v>1000000000</v>
      </c>
      <c r="AF50" s="503"/>
      <c r="AG50" s="540" t="e">
        <f>Y50-AE50</f>
        <v>#REF!</v>
      </c>
      <c r="AN50" s="538"/>
      <c r="AO50" s="543"/>
      <c r="AP50" s="538"/>
      <c r="AQ50" s="538"/>
      <c r="AR50" s="538"/>
      <c r="AS50" s="543"/>
      <c r="AT50" s="538"/>
      <c r="AU50" s="543"/>
      <c r="AV50" s="538"/>
      <c r="AW50" s="543"/>
      <c r="AX50" s="538"/>
      <c r="AY50" s="543"/>
      <c r="AZ50" s="538"/>
      <c r="BA50" s="543"/>
      <c r="BB50" s="538"/>
      <c r="BC50" s="543"/>
      <c r="BD50" s="538"/>
    </row>
    <row r="51" spans="1:56" ht="22.5" customHeight="1"/>
    <row r="52" spans="1:56" ht="22.5" customHeight="1">
      <c r="Y52" s="544"/>
    </row>
    <row r="53" spans="1:56" s="77" customFormat="1" ht="30.75" customHeight="1">
      <c r="A53" s="275"/>
      <c r="B53" s="282"/>
      <c r="C53" s="282"/>
      <c r="D53" s="275"/>
      <c r="E53" s="275"/>
      <c r="F53" s="275"/>
      <c r="G53" s="275"/>
      <c r="H53" s="275"/>
      <c r="I53" s="275"/>
      <c r="J53" s="275"/>
      <c r="K53" s="275"/>
      <c r="L53" s="275"/>
      <c r="M53" s="275"/>
      <c r="N53" s="275"/>
      <c r="O53" s="275"/>
      <c r="P53" s="275"/>
      <c r="Q53" s="275"/>
      <c r="R53" s="78"/>
      <c r="S53" s="275"/>
      <c r="T53" s="275"/>
      <c r="U53" s="275"/>
      <c r="V53" s="275"/>
      <c r="W53" s="275"/>
      <c r="X53" s="576" t="s">
        <v>1263</v>
      </c>
      <c r="Y53" s="576"/>
      <c r="Z53" s="538" t="s">
        <v>1260</v>
      </c>
      <c r="AA53" s="538"/>
      <c r="AB53" s="538"/>
      <c r="AC53" s="538"/>
      <c r="AD53" s="538" t="str">
        <f>AC44</f>
        <v>준공예정수금액</v>
      </c>
      <c r="AE53" s="538"/>
      <c r="AF53" s="538" t="s">
        <v>1264</v>
      </c>
      <c r="AG53" s="275"/>
    </row>
    <row r="54" spans="1:56" s="77" customFormat="1" ht="30.75" customHeight="1">
      <c r="A54" s="275"/>
      <c r="B54" s="282"/>
      <c r="C54" s="282"/>
      <c r="D54" s="275"/>
      <c r="E54" s="275"/>
      <c r="F54" s="275"/>
      <c r="G54" s="275"/>
      <c r="H54" s="275"/>
      <c r="I54" s="275"/>
      <c r="J54" s="275"/>
      <c r="K54" s="275"/>
      <c r="L54" s="275"/>
      <c r="M54" s="275"/>
      <c r="N54" s="275"/>
      <c r="O54" s="275"/>
      <c r="P54" s="275"/>
      <c r="Q54" s="275"/>
      <c r="R54" s="78"/>
      <c r="S54" s="275"/>
      <c r="T54" s="275"/>
      <c r="U54" s="275"/>
      <c r="V54" s="275"/>
      <c r="W54" s="275"/>
      <c r="X54" s="577"/>
      <c r="Y54" s="577"/>
      <c r="Z54" s="545" t="e">
        <f>AG50</f>
        <v>#REF!</v>
      </c>
      <c r="AA54" s="545"/>
      <c r="AB54" s="545"/>
      <c r="AC54" s="545"/>
      <c r="AD54" s="545" t="e">
        <f>AC45</f>
        <v>#REF!</v>
      </c>
      <c r="AE54" s="545"/>
      <c r="AF54" s="545" t="e">
        <f>AD54-Z54</f>
        <v>#REF!</v>
      </c>
    </row>
  </sheetData>
  <phoneticPr fontId="2" type="noConversion"/>
  <printOptions horizontalCentered="1"/>
  <pageMargins left="0.15748031496062992" right="0.15748031496062992" top="0.47244094488188981" bottom="0.39370078740157483" header="0.31496062992125984" footer="0.31496062992125984"/>
  <pageSetup paperSize="9" scale="90" orientation="landscape" r:id="rId1"/>
  <rowBreaks count="3" manualBreakCount="3">
    <brk id="13" max="34" man="1"/>
    <brk id="23" max="34" man="1"/>
    <brk id="33" max="3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15"/>
  <sheetViews>
    <sheetView view="pageBreakPreview" zoomScale="85" zoomScaleNormal="115" zoomScaleSheetLayoutView="85" workbookViewId="0">
      <selection activeCell="R8" sqref="R8"/>
    </sheetView>
  </sheetViews>
  <sheetFormatPr defaultRowHeight="30.75" customHeight="1"/>
  <cols>
    <col min="1" max="1" width="12.625" style="275" customWidth="1"/>
    <col min="2" max="2" width="5.375" style="282" customWidth="1"/>
    <col min="3" max="3" width="5.25" style="282" customWidth="1"/>
    <col min="4" max="15" width="8.875" style="275" customWidth="1"/>
    <col min="16" max="16" width="18.875" style="275" customWidth="1"/>
    <col min="17" max="19" width="11" style="275" customWidth="1"/>
    <col min="20" max="20" width="19.375" style="78" customWidth="1"/>
    <col min="21" max="21" width="9.875" style="275" customWidth="1"/>
    <col min="22" max="22" width="5.125" style="275" customWidth="1"/>
    <col min="23" max="23" width="8.75" style="275" customWidth="1"/>
    <col min="24" max="24" width="5.125" style="275" customWidth="1"/>
    <col min="25" max="25" width="8.625" style="275" customWidth="1"/>
    <col min="26" max="26" width="11" style="275" customWidth="1"/>
    <col min="27" max="27" width="9" style="275"/>
    <col min="28" max="28" width="4.5" style="275" customWidth="1"/>
    <col min="29" max="29" width="6.125" style="275" customWidth="1"/>
    <col min="30" max="30" width="16" style="275" customWidth="1"/>
    <col min="31" max="31" width="14.625" style="277" customWidth="1"/>
    <col min="32" max="55" width="16" style="77" customWidth="1"/>
    <col min="56" max="16384" width="9" style="78"/>
  </cols>
  <sheetData>
    <row r="1" spans="1:62" ht="25.5" customHeight="1">
      <c r="A1" s="279" t="s">
        <v>1265</v>
      </c>
      <c r="Q1" s="393" t="s">
        <v>785</v>
      </c>
      <c r="R1" s="393"/>
      <c r="S1" s="393"/>
      <c r="Z1" s="393"/>
    </row>
    <row r="2" spans="1:62" ht="25.5" customHeight="1" thickBot="1">
      <c r="A2" s="513" t="s">
        <v>786</v>
      </c>
      <c r="B2" s="514" t="s">
        <v>22</v>
      </c>
      <c r="C2" s="514" t="s">
        <v>23</v>
      </c>
      <c r="D2" s="552" t="s">
        <v>768</v>
      </c>
      <c r="E2" s="552" t="s">
        <v>1052</v>
      </c>
      <c r="F2" s="552" t="s">
        <v>758</v>
      </c>
      <c r="G2" s="552" t="s">
        <v>759</v>
      </c>
      <c r="H2" s="552" t="s">
        <v>760</v>
      </c>
      <c r="I2" s="552" t="s">
        <v>761</v>
      </c>
      <c r="J2" s="552" t="s">
        <v>762</v>
      </c>
      <c r="K2" s="552" t="s">
        <v>763</v>
      </c>
      <c r="L2" s="552" t="s">
        <v>764</v>
      </c>
      <c r="M2" s="552" t="s">
        <v>765</v>
      </c>
      <c r="N2" s="552" t="s">
        <v>766</v>
      </c>
      <c r="O2" s="552" t="s">
        <v>767</v>
      </c>
      <c r="P2" s="513" t="s">
        <v>1008</v>
      </c>
      <c r="Q2" s="516" t="s">
        <v>1009</v>
      </c>
      <c r="R2" s="8" t="s">
        <v>770</v>
      </c>
      <c r="S2" s="8" t="s">
        <v>772</v>
      </c>
      <c r="T2" s="513" t="s">
        <v>24</v>
      </c>
      <c r="U2" s="513" t="s">
        <v>3</v>
      </c>
      <c r="V2" s="513" t="s">
        <v>1006</v>
      </c>
      <c r="W2" s="513"/>
      <c r="X2" s="551" t="s">
        <v>20</v>
      </c>
      <c r="Y2" s="552"/>
      <c r="Z2" s="517"/>
      <c r="AA2" s="281"/>
      <c r="AB2" s="291" t="s">
        <v>1</v>
      </c>
      <c r="AD2" s="275" t="s">
        <v>1266</v>
      </c>
      <c r="AF2" s="77" t="s">
        <v>1267</v>
      </c>
    </row>
    <row r="3" spans="1:62" ht="22.5" customHeight="1">
      <c r="A3" s="490" t="s">
        <v>1268</v>
      </c>
      <c r="B3" s="554">
        <v>0</v>
      </c>
      <c r="C3" s="555">
        <f>B3+D3+E3+F3+G3+H3+I3+J3+K3+L3+M3+N3+O3</f>
        <v>0</v>
      </c>
      <c r="D3" s="525"/>
      <c r="E3" s="525"/>
      <c r="F3" s="525"/>
      <c r="G3" s="525"/>
      <c r="H3" s="525"/>
      <c r="I3" s="525"/>
      <c r="J3" s="525"/>
      <c r="K3" s="525"/>
      <c r="L3" s="525"/>
      <c r="M3" s="525"/>
      <c r="N3" s="525"/>
      <c r="O3" s="525"/>
      <c r="P3" s="556" t="s">
        <v>1270</v>
      </c>
      <c r="Q3" s="490" t="s">
        <v>1271</v>
      </c>
      <c r="R3" s="490" t="s">
        <v>127</v>
      </c>
      <c r="S3" s="490">
        <v>2</v>
      </c>
      <c r="T3" s="553" t="s">
        <v>1269</v>
      </c>
      <c r="U3" s="520">
        <v>2015.06</v>
      </c>
      <c r="V3" s="521" t="s">
        <v>104</v>
      </c>
      <c r="W3" s="522">
        <f>BL3/1000000</f>
        <v>0</v>
      </c>
      <c r="X3" s="523" t="s">
        <v>7</v>
      </c>
      <c r="Y3" s="524" t="e">
        <f>W3-(#REF!+Y4)</f>
        <v>#REF!</v>
      </c>
      <c r="Z3" s="299" t="s">
        <v>1075</v>
      </c>
      <c r="AA3" s="79" t="s">
        <v>1076</v>
      </c>
      <c r="AB3" s="260"/>
      <c r="AC3" s="80" t="s">
        <v>104</v>
      </c>
      <c r="AD3" s="81">
        <v>45500000</v>
      </c>
      <c r="AE3" s="82"/>
      <c r="AF3" s="83">
        <f>SUM(AG3:BC3)</f>
        <v>0</v>
      </c>
      <c r="AG3" s="91"/>
      <c r="AH3" s="92"/>
      <c r="AI3" s="92"/>
      <c r="AJ3" s="92"/>
      <c r="AK3" s="92"/>
      <c r="AL3" s="92"/>
      <c r="AM3" s="92"/>
      <c r="AN3" s="92"/>
      <c r="AO3" s="92"/>
      <c r="AP3" s="92"/>
      <c r="AQ3" s="92"/>
      <c r="AR3" s="92"/>
      <c r="AS3" s="92"/>
      <c r="AT3" s="92"/>
      <c r="AU3" s="92"/>
      <c r="AV3" s="92"/>
      <c r="AW3" s="92"/>
      <c r="AX3" s="92"/>
      <c r="AY3" s="92"/>
      <c r="AZ3" s="92"/>
      <c r="BA3" s="92"/>
      <c r="BB3" s="92"/>
      <c r="BC3" s="92"/>
    </row>
    <row r="4" spans="1:62" ht="22.5" customHeight="1" thickBot="1">
      <c r="A4" s="495"/>
      <c r="B4" s="558"/>
      <c r="C4" s="559"/>
      <c r="D4" s="560"/>
      <c r="E4" s="560"/>
      <c r="F4" s="560"/>
      <c r="G4" s="560"/>
      <c r="H4" s="560"/>
      <c r="I4" s="560"/>
      <c r="J4" s="560"/>
      <c r="K4" s="560"/>
      <c r="L4" s="560"/>
      <c r="M4" s="560"/>
      <c r="N4" s="560"/>
      <c r="O4" s="560"/>
      <c r="P4" s="495"/>
      <c r="Q4" s="495"/>
      <c r="R4" s="495"/>
      <c r="S4" s="495"/>
      <c r="T4" s="557"/>
      <c r="U4" s="531" t="s">
        <v>67</v>
      </c>
      <c r="V4" s="578" t="s">
        <v>27</v>
      </c>
      <c r="W4" s="579"/>
      <c r="X4" s="532" t="s">
        <v>207</v>
      </c>
      <c r="Y4" s="529">
        <f t="shared" ref="Y4" si="0">BN4/1000000</f>
        <v>0</v>
      </c>
      <c r="Z4" s="533"/>
      <c r="AA4" s="281"/>
      <c r="AB4" s="261"/>
      <c r="AC4" s="80"/>
      <c r="AD4" s="81"/>
      <c r="AE4" s="82" t="s">
        <v>100</v>
      </c>
      <c r="AF4" s="83"/>
      <c r="BD4" s="68"/>
      <c r="BE4" s="68"/>
      <c r="BF4" s="68"/>
      <c r="BG4" s="68"/>
      <c r="BH4" s="68"/>
      <c r="BI4" s="68"/>
      <c r="BJ4" s="68"/>
    </row>
    <row r="5" spans="1:62" ht="22.5" customHeight="1">
      <c r="A5" s="490" t="s">
        <v>1272</v>
      </c>
      <c r="B5" s="554">
        <v>0.1</v>
      </c>
      <c r="C5" s="555">
        <f>B5+D5+E5+F5+G5+H5+I5+J5+K5+L5+M5+N5+O5</f>
        <v>0.1</v>
      </c>
      <c r="D5" s="525"/>
      <c r="E5" s="525"/>
      <c r="F5" s="525"/>
      <c r="G5" s="525"/>
      <c r="H5" s="525"/>
      <c r="I5" s="525"/>
      <c r="J5" s="525"/>
      <c r="K5" s="525"/>
      <c r="L5" s="525"/>
      <c r="M5" s="525"/>
      <c r="N5" s="525"/>
      <c r="O5" s="525"/>
      <c r="P5" s="490" t="s">
        <v>1275</v>
      </c>
      <c r="Q5" s="490" t="s">
        <v>1276</v>
      </c>
      <c r="R5" s="490" t="s">
        <v>38</v>
      </c>
      <c r="S5" s="490">
        <v>1</v>
      </c>
      <c r="T5" s="553" t="s">
        <v>1273</v>
      </c>
      <c r="U5" s="537" t="s">
        <v>1274</v>
      </c>
      <c r="V5" s="521" t="s">
        <v>799</v>
      </c>
      <c r="W5" s="522">
        <f>AZ13/1000000</f>
        <v>0</v>
      </c>
      <c r="X5" s="523" t="s">
        <v>832</v>
      </c>
      <c r="Y5" s="524" t="e">
        <f>W5-(#REF!+Y6)</f>
        <v>#REF!</v>
      </c>
      <c r="Z5" s="299" t="s">
        <v>1075</v>
      </c>
      <c r="AA5" s="79" t="s">
        <v>1076</v>
      </c>
      <c r="AB5" s="260"/>
      <c r="AC5" s="80" t="s">
        <v>799</v>
      </c>
      <c r="AD5" s="81">
        <v>175500000</v>
      </c>
      <c r="AE5" s="82"/>
      <c r="AF5" s="83">
        <f>SUM(AG5:BC5)</f>
        <v>0</v>
      </c>
      <c r="AG5" s="91"/>
      <c r="AH5" s="92"/>
      <c r="AI5" s="92"/>
      <c r="AJ5" s="92"/>
      <c r="AK5" s="92"/>
      <c r="AL5" s="92"/>
      <c r="AM5" s="92"/>
      <c r="AN5" s="92"/>
      <c r="AO5" s="92"/>
      <c r="AP5" s="92"/>
      <c r="AQ5" s="92"/>
      <c r="AR5" s="92"/>
      <c r="AS5" s="92"/>
      <c r="AT5" s="92"/>
      <c r="AU5" s="92"/>
      <c r="AV5" s="92"/>
      <c r="AW5" s="92"/>
      <c r="AX5" s="92"/>
      <c r="AY5" s="92"/>
      <c r="AZ5" s="92"/>
      <c r="BA5" s="92"/>
      <c r="BB5" s="92"/>
      <c r="BC5" s="92"/>
    </row>
    <row r="6" spans="1:62" ht="22.5" customHeight="1" thickBot="1">
      <c r="A6" s="495"/>
      <c r="B6" s="558"/>
      <c r="C6" s="559"/>
      <c r="D6" s="560"/>
      <c r="E6" s="560"/>
      <c r="F6" s="560"/>
      <c r="G6" s="560"/>
      <c r="H6" s="560"/>
      <c r="I6" s="560"/>
      <c r="J6" s="560"/>
      <c r="K6" s="560"/>
      <c r="L6" s="560"/>
      <c r="M6" s="560"/>
      <c r="N6" s="560"/>
      <c r="O6" s="560"/>
      <c r="P6" s="495"/>
      <c r="Q6" s="495"/>
      <c r="R6" s="495"/>
      <c r="S6" s="495"/>
      <c r="T6" s="557"/>
      <c r="U6" s="531" t="s">
        <v>816</v>
      </c>
      <c r="V6" s="578" t="s">
        <v>1277</v>
      </c>
      <c r="W6" s="579"/>
      <c r="X6" s="532" t="s">
        <v>1080</v>
      </c>
      <c r="Y6" s="529">
        <f t="shared" ref="Y6" si="1">BN6/1000000</f>
        <v>0</v>
      </c>
      <c r="Z6" s="533"/>
      <c r="AA6" s="281"/>
      <c r="AB6" s="261"/>
      <c r="AC6" s="80"/>
      <c r="AD6" s="81"/>
      <c r="AE6" s="82" t="s">
        <v>824</v>
      </c>
      <c r="AF6" s="83"/>
      <c r="BD6" s="68"/>
      <c r="BE6" s="68"/>
      <c r="BF6" s="68"/>
      <c r="BG6" s="68"/>
      <c r="BH6" s="68"/>
      <c r="BI6" s="68"/>
      <c r="BJ6" s="68"/>
    </row>
    <row r="7" spans="1:62" ht="22.5" customHeight="1">
      <c r="A7" s="490" t="s">
        <v>1278</v>
      </c>
      <c r="B7" s="554">
        <v>0.98</v>
      </c>
      <c r="C7" s="555">
        <f>B7+D7+E7+F7+G7+H7+I7+J7+K7+L7+M7+N7+O7</f>
        <v>1</v>
      </c>
      <c r="D7" s="525"/>
      <c r="E7" s="525"/>
      <c r="F7" s="525"/>
      <c r="G7" s="525">
        <v>0.02</v>
      </c>
      <c r="H7" s="525"/>
      <c r="I7" s="525"/>
      <c r="J7" s="525"/>
      <c r="K7" s="525"/>
      <c r="L7" s="525"/>
      <c r="M7" s="525"/>
      <c r="N7" s="525"/>
      <c r="O7" s="525"/>
      <c r="P7" s="490" t="s">
        <v>1281</v>
      </c>
      <c r="Q7" s="490" t="s">
        <v>1282</v>
      </c>
      <c r="R7" s="490" t="s">
        <v>127</v>
      </c>
      <c r="S7" s="490">
        <v>316</v>
      </c>
      <c r="T7" s="553" t="s">
        <v>1279</v>
      </c>
      <c r="U7" s="537" t="s">
        <v>1280</v>
      </c>
      <c r="V7" s="521" t="s">
        <v>799</v>
      </c>
      <c r="W7" s="522">
        <f>BL7/1000000</f>
        <v>0</v>
      </c>
      <c r="X7" s="523" t="s">
        <v>832</v>
      </c>
      <c r="Y7" s="524" t="e">
        <f>W7-(#REF!+Y8)</f>
        <v>#REF!</v>
      </c>
      <c r="Z7" s="299" t="s">
        <v>1075</v>
      </c>
      <c r="AA7" s="79" t="s">
        <v>1076</v>
      </c>
      <c r="AB7" s="260"/>
      <c r="AC7" s="80" t="s">
        <v>799</v>
      </c>
      <c r="AD7" s="81">
        <v>10000000</v>
      </c>
      <c r="AE7" s="82"/>
      <c r="AF7" s="83">
        <f>SUM(AG7:BC7)</f>
        <v>0</v>
      </c>
      <c r="AG7" s="91"/>
      <c r="AH7" s="92"/>
      <c r="AI7" s="92"/>
      <c r="AJ7" s="92"/>
      <c r="AK7" s="92"/>
      <c r="AL7" s="92"/>
      <c r="AM7" s="92"/>
      <c r="AN7" s="92"/>
      <c r="AO7" s="92"/>
      <c r="AP7" s="92"/>
      <c r="AQ7" s="92"/>
      <c r="AR7" s="92"/>
      <c r="AS7" s="92"/>
      <c r="AT7" s="92"/>
      <c r="AU7" s="92"/>
      <c r="AV7" s="92"/>
      <c r="AW7" s="92"/>
      <c r="AX7" s="92"/>
      <c r="AY7" s="92"/>
      <c r="AZ7" s="92"/>
      <c r="BA7" s="92"/>
      <c r="BB7" s="92"/>
      <c r="BC7" s="92"/>
    </row>
    <row r="8" spans="1:62" ht="22.5" customHeight="1">
      <c r="A8" s="495"/>
      <c r="B8" s="558"/>
      <c r="C8" s="559"/>
      <c r="D8" s="560"/>
      <c r="E8" s="560"/>
      <c r="F8" s="560"/>
      <c r="G8" s="560"/>
      <c r="H8" s="560"/>
      <c r="I8" s="560"/>
      <c r="J8" s="560"/>
      <c r="K8" s="560"/>
      <c r="L8" s="560"/>
      <c r="M8" s="560"/>
      <c r="N8" s="560"/>
      <c r="O8" s="560"/>
      <c r="P8" s="495"/>
      <c r="Q8" s="495"/>
      <c r="R8" s="495"/>
      <c r="S8" s="495"/>
      <c r="T8" s="557"/>
      <c r="U8" s="531" t="s">
        <v>816</v>
      </c>
      <c r="V8" s="578" t="s">
        <v>1277</v>
      </c>
      <c r="W8" s="579"/>
      <c r="X8" s="532" t="s">
        <v>1080</v>
      </c>
      <c r="Y8" s="529">
        <f t="shared" ref="Y8" si="2">BN8/1000000</f>
        <v>0</v>
      </c>
      <c r="Z8" s="533"/>
      <c r="AA8" s="281"/>
      <c r="AB8" s="261"/>
      <c r="AC8" s="80"/>
      <c r="AD8" s="81"/>
      <c r="AE8" s="82" t="s">
        <v>824</v>
      </c>
      <c r="AF8" s="83"/>
      <c r="BD8" s="68"/>
      <c r="BE8" s="68"/>
      <c r="BF8" s="68"/>
      <c r="BG8" s="68"/>
      <c r="BH8" s="68"/>
      <c r="BI8" s="68"/>
      <c r="BJ8" s="68"/>
    </row>
    <row r="10" spans="1:62" s="275" customFormat="1" ht="30.75" customHeight="1">
      <c r="B10" s="282"/>
      <c r="C10" s="282" t="s">
        <v>1284</v>
      </c>
      <c r="P10" s="275" t="s">
        <v>1285</v>
      </c>
      <c r="T10" s="78"/>
      <c r="W10" s="580">
        <v>1100000000</v>
      </c>
      <c r="X10" s="580"/>
      <c r="Y10" s="580"/>
      <c r="Z10" s="275" t="s">
        <v>1286</v>
      </c>
      <c r="AE10" s="277"/>
      <c r="AF10" s="77"/>
      <c r="AG10" s="77"/>
      <c r="AH10" s="77"/>
      <c r="AI10" s="77"/>
      <c r="AJ10" s="77"/>
      <c r="AK10" s="77"/>
      <c r="AL10" s="77"/>
      <c r="AM10" s="77"/>
      <c r="AN10" s="77"/>
      <c r="AO10" s="77"/>
      <c r="AP10" s="77"/>
      <c r="AQ10" s="77"/>
      <c r="AR10" s="77"/>
      <c r="AS10" s="77"/>
      <c r="AT10" s="77"/>
      <c r="AU10" s="77"/>
      <c r="AV10" s="77"/>
      <c r="AW10" s="77"/>
      <c r="AX10" s="77"/>
      <c r="AY10" s="77"/>
      <c r="AZ10" s="77"/>
      <c r="BA10" s="77"/>
      <c r="BB10" s="77"/>
      <c r="BC10" s="77"/>
      <c r="BD10" s="78"/>
      <c r="BE10" s="78"/>
      <c r="BF10" s="78"/>
      <c r="BG10" s="78"/>
      <c r="BH10" s="78"/>
      <c r="BI10" s="78"/>
      <c r="BJ10" s="78"/>
    </row>
    <row r="11" spans="1:62" s="275" customFormat="1" ht="30.75" customHeight="1">
      <c r="B11" s="580">
        <v>156000000</v>
      </c>
      <c r="C11" s="580"/>
      <c r="P11" s="544" t="e">
        <f>B11*#REF!</f>
        <v>#REF!</v>
      </c>
      <c r="T11" s="78"/>
      <c r="U11" s="275" t="s">
        <v>1287</v>
      </c>
      <c r="W11" s="580">
        <v>430000000</v>
      </c>
      <c r="X11" s="580"/>
      <c r="Y11" s="580"/>
      <c r="Z11" s="544" t="e">
        <f>B11-P11</f>
        <v>#REF!</v>
      </c>
      <c r="AA11" s="544"/>
      <c r="AE11" s="277"/>
      <c r="AF11" s="77"/>
      <c r="AG11" s="77"/>
      <c r="AH11" s="77"/>
      <c r="AI11" s="77"/>
      <c r="AJ11" s="77"/>
      <c r="AK11" s="77"/>
      <c r="AL11" s="77"/>
      <c r="AM11" s="77"/>
      <c r="AN11" s="77"/>
      <c r="AO11" s="77"/>
      <c r="AP11" s="77"/>
      <c r="AQ11" s="77"/>
      <c r="AR11" s="77"/>
      <c r="AS11" s="77"/>
      <c r="AT11" s="77"/>
      <c r="AU11" s="77"/>
      <c r="AV11" s="77"/>
      <c r="AW11" s="77"/>
      <c r="AX11" s="77"/>
      <c r="AY11" s="77"/>
      <c r="AZ11" s="77"/>
      <c r="BA11" s="77"/>
      <c r="BB11" s="77"/>
      <c r="BC11" s="77"/>
      <c r="BD11" s="78"/>
      <c r="BE11" s="78"/>
      <c r="BF11" s="78"/>
      <c r="BG11" s="78"/>
      <c r="BH11" s="78"/>
      <c r="BI11" s="78"/>
      <c r="BJ11" s="78"/>
    </row>
    <row r="12" spans="1:62" s="275" customFormat="1" ht="30.75" customHeight="1">
      <c r="B12" s="580">
        <v>19500000</v>
      </c>
      <c r="C12" s="580"/>
      <c r="P12" s="544">
        <f>B12</f>
        <v>19500000</v>
      </c>
      <c r="T12" s="78"/>
      <c r="W12" s="275">
        <f>W11/W10</f>
        <v>0.39090909090909093</v>
      </c>
      <c r="Z12" s="544" t="e">
        <f>#REF!</f>
        <v>#REF!</v>
      </c>
      <c r="AE12" s="2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8"/>
      <c r="BE12" s="78"/>
      <c r="BF12" s="78"/>
      <c r="BG12" s="78"/>
      <c r="BH12" s="78"/>
      <c r="BI12" s="78"/>
      <c r="BJ12" s="78"/>
    </row>
    <row r="13" spans="1:62" s="275" customFormat="1" ht="30.75" customHeight="1">
      <c r="B13" s="580">
        <f>B11+B12</f>
        <v>175500000</v>
      </c>
      <c r="C13" s="580"/>
      <c r="P13" s="544" t="e">
        <f>P11+P12</f>
        <v>#REF!</v>
      </c>
      <c r="T13" s="78"/>
      <c r="Z13" s="544" t="e">
        <f>Z11+Z12</f>
        <v>#REF!</v>
      </c>
      <c r="AA13" s="544"/>
      <c r="AE13" s="2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7"/>
      <c r="BD13" s="78"/>
      <c r="BE13" s="78"/>
      <c r="BF13" s="78"/>
      <c r="BG13" s="78"/>
      <c r="BH13" s="78"/>
      <c r="BI13" s="78"/>
      <c r="BJ13" s="78"/>
    </row>
    <row r="14" spans="1:62" s="275" customFormat="1" ht="30.75" customHeight="1">
      <c r="B14" s="282"/>
      <c r="C14" s="282"/>
      <c r="T14" s="78"/>
      <c r="U14" s="275" t="s">
        <v>1288</v>
      </c>
      <c r="AE14" s="277"/>
      <c r="AF14" s="77"/>
      <c r="AG14" s="77"/>
      <c r="AH14" s="77"/>
      <c r="AI14" s="77"/>
      <c r="AJ14" s="77"/>
      <c r="AK14" s="77"/>
      <c r="AL14" s="77"/>
      <c r="AM14" s="77"/>
      <c r="AN14" s="77"/>
      <c r="AO14" s="77"/>
      <c r="AP14" s="77"/>
      <c r="AQ14" s="77"/>
      <c r="AR14" s="77"/>
      <c r="AS14" s="77"/>
      <c r="AT14" s="77"/>
      <c r="AU14" s="77"/>
      <c r="AV14" s="77"/>
      <c r="AW14" s="77"/>
      <c r="AX14" s="77"/>
      <c r="AY14" s="77"/>
      <c r="AZ14" s="77"/>
      <c r="BA14" s="77"/>
      <c r="BB14" s="77"/>
      <c r="BC14" s="77"/>
      <c r="BD14" s="78"/>
      <c r="BE14" s="78"/>
      <c r="BF14" s="78"/>
      <c r="BG14" s="78"/>
      <c r="BH14" s="78"/>
      <c r="BI14" s="78"/>
      <c r="BJ14" s="78"/>
    </row>
    <row r="15" spans="1:62" s="275" customFormat="1" ht="30.75" customHeight="1">
      <c r="B15" s="282"/>
      <c r="C15" s="282"/>
      <c r="P15" s="544"/>
      <c r="T15" s="78"/>
      <c r="Z15" s="581"/>
      <c r="AA15" s="581"/>
      <c r="AE15" s="277"/>
      <c r="AF15" s="77"/>
      <c r="AG15" s="77"/>
      <c r="AH15" s="77"/>
      <c r="AI15" s="77"/>
      <c r="AJ15" s="77"/>
      <c r="AK15" s="77"/>
      <c r="AL15" s="77"/>
      <c r="AM15" s="77"/>
      <c r="AN15" s="77"/>
      <c r="AO15" s="77"/>
      <c r="AP15" s="77"/>
      <c r="AQ15" s="77"/>
      <c r="AR15" s="77"/>
      <c r="AS15" s="77"/>
      <c r="AT15" s="77"/>
      <c r="AU15" s="77"/>
      <c r="AV15" s="77"/>
      <c r="AW15" s="77"/>
      <c r="AX15" s="77"/>
      <c r="AY15" s="77"/>
      <c r="AZ15" s="77"/>
      <c r="BA15" s="77"/>
      <c r="BB15" s="77"/>
      <c r="BC15" s="77"/>
      <c r="BD15" s="78"/>
      <c r="BE15" s="78"/>
      <c r="BF15" s="78"/>
      <c r="BG15" s="78"/>
      <c r="BH15" s="78"/>
      <c r="BI15" s="78"/>
      <c r="BJ15" s="78"/>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49"/>
  <sheetViews>
    <sheetView view="pageBreakPreview" topLeftCell="A13" zoomScale="85" zoomScaleNormal="100" zoomScaleSheetLayoutView="85" workbookViewId="0">
      <selection activeCell="A4" sqref="A4:XFD43"/>
    </sheetView>
  </sheetViews>
  <sheetFormatPr defaultColWidth="10.25" defaultRowHeight="30.75" customHeight="1"/>
  <cols>
    <col min="1" max="1" width="12.625" style="275" customWidth="1"/>
    <col min="2" max="2" width="7.25" style="282" customWidth="1"/>
    <col min="3" max="3" width="7" style="282" customWidth="1"/>
    <col min="4" max="15" width="8.875" style="275" customWidth="1"/>
    <col min="16" max="16" width="13.125" style="283" customWidth="1"/>
    <col min="17" max="17" width="9.375" style="275" customWidth="1"/>
    <col min="18" max="18" width="19.5" style="1" customWidth="1"/>
    <col min="19" max="19" width="9.875" style="280" customWidth="1"/>
    <col min="20" max="20" width="7.75" style="275" bestFit="1" customWidth="1"/>
    <col min="21" max="21" width="9.5" style="275" customWidth="1"/>
    <col min="22" max="22" width="8" style="275" bestFit="1" customWidth="1"/>
    <col min="23" max="23" width="10.125" style="281" customWidth="1"/>
    <col min="24" max="24" width="10.25" style="275"/>
    <col min="25" max="25" width="13.25" style="275" bestFit="1" customWidth="1"/>
    <col min="26" max="26" width="10.25" style="275"/>
    <col min="27" max="27" width="4.5" style="275" customWidth="1"/>
    <col min="28" max="28" width="6.125" style="275" customWidth="1"/>
    <col min="29" max="29" width="17.125" style="275" customWidth="1"/>
    <col min="30" max="30" width="10.25" style="277"/>
    <col min="31" max="31" width="19.375" style="77" bestFit="1" customWidth="1"/>
    <col min="32" max="54" width="16.5" style="278" customWidth="1"/>
    <col min="55" max="16384" width="10.25" style="78"/>
  </cols>
  <sheetData>
    <row r="1" spans="1:61" ht="24" customHeight="1">
      <c r="A1" s="441" t="s">
        <v>784</v>
      </c>
      <c r="B1" s="441"/>
      <c r="C1" s="441"/>
      <c r="D1" s="441"/>
      <c r="E1" s="441"/>
      <c r="F1" s="441"/>
      <c r="G1" s="441"/>
      <c r="H1" s="441"/>
      <c r="I1" s="441"/>
      <c r="J1" s="441"/>
      <c r="K1" s="441"/>
      <c r="L1" s="441"/>
      <c r="M1" s="441"/>
      <c r="N1" s="441"/>
      <c r="O1" s="441"/>
      <c r="P1" s="441"/>
      <c r="Q1" s="441"/>
      <c r="R1" s="441"/>
      <c r="S1" s="441"/>
      <c r="T1" s="441"/>
      <c r="U1" s="441"/>
      <c r="V1" s="441"/>
      <c r="W1" s="441"/>
      <c r="X1" s="273"/>
      <c r="Y1" s="274"/>
      <c r="AA1" s="276"/>
    </row>
    <row r="2" spans="1:61" ht="21" customHeight="1">
      <c r="A2" s="279" t="s">
        <v>19</v>
      </c>
      <c r="Q2" s="284" t="s">
        <v>785</v>
      </c>
      <c r="Y2" s="285"/>
      <c r="Z2" s="285"/>
    </row>
    <row r="3" spans="1:61" ht="27" customHeight="1" thickBot="1">
      <c r="A3" s="286" t="s">
        <v>786</v>
      </c>
      <c r="B3" s="287" t="s">
        <v>22</v>
      </c>
      <c r="C3" s="288" t="s">
        <v>23</v>
      </c>
      <c r="D3" s="443" t="s">
        <v>768</v>
      </c>
      <c r="E3" s="443" t="s">
        <v>1052</v>
      </c>
      <c r="F3" s="443" t="s">
        <v>758</v>
      </c>
      <c r="G3" s="443" t="s">
        <v>759</v>
      </c>
      <c r="H3" s="443" t="s">
        <v>760</v>
      </c>
      <c r="I3" s="443" t="s">
        <v>761</v>
      </c>
      <c r="J3" s="443" t="s">
        <v>762</v>
      </c>
      <c r="K3" s="443" t="s">
        <v>763</v>
      </c>
      <c r="L3" s="443" t="s">
        <v>764</v>
      </c>
      <c r="M3" s="443" t="s">
        <v>765</v>
      </c>
      <c r="N3" s="443" t="s">
        <v>766</v>
      </c>
      <c r="O3" s="443" t="s">
        <v>767</v>
      </c>
      <c r="P3" s="289" t="s">
        <v>789</v>
      </c>
      <c r="Q3" s="10" t="s">
        <v>5</v>
      </c>
      <c r="R3" s="286" t="s">
        <v>787</v>
      </c>
      <c r="S3" s="286" t="s">
        <v>3</v>
      </c>
      <c r="T3" s="286" t="s">
        <v>788</v>
      </c>
      <c r="U3" s="286"/>
      <c r="V3" s="442" t="s">
        <v>20</v>
      </c>
      <c r="W3" s="443"/>
      <c r="X3" s="290"/>
      <c r="Y3" s="290"/>
      <c r="Z3" s="290"/>
      <c r="AA3" s="291" t="s">
        <v>1</v>
      </c>
    </row>
    <row r="4" spans="1:61" ht="22.5" customHeight="1" thickBot="1">
      <c r="A4" s="247" t="s">
        <v>736</v>
      </c>
      <c r="B4" s="445">
        <v>0.95000000000000018</v>
      </c>
      <c r="C4" s="446">
        <f>B4+D4+E4+F4+G4+H4+I4+J4+K4+N4</f>
        <v>0.98600000000000021</v>
      </c>
      <c r="D4" s="297">
        <v>1E-3</v>
      </c>
      <c r="E4" s="297">
        <v>5.0000000000000001E-3</v>
      </c>
      <c r="F4" s="297">
        <v>5.0000000000000001E-3</v>
      </c>
      <c r="G4" s="297">
        <v>0.01</v>
      </c>
      <c r="H4" s="297">
        <v>0</v>
      </c>
      <c r="I4" s="297">
        <v>5.0000000000000001E-3</v>
      </c>
      <c r="J4" s="297">
        <v>0.01</v>
      </c>
      <c r="K4" s="297">
        <v>0</v>
      </c>
      <c r="L4" s="297">
        <v>0</v>
      </c>
      <c r="M4" s="297">
        <v>0</v>
      </c>
      <c r="N4" s="297">
        <v>0</v>
      </c>
      <c r="O4" s="297"/>
      <c r="P4" s="298" t="s">
        <v>791</v>
      </c>
      <c r="Q4" s="447" t="s">
        <v>792</v>
      </c>
      <c r="R4" s="444" t="s">
        <v>790</v>
      </c>
      <c r="S4" s="292" t="s">
        <v>465</v>
      </c>
      <c r="T4" s="293" t="s">
        <v>89</v>
      </c>
      <c r="U4" s="294">
        <f>AZ4/1100000</f>
        <v>0</v>
      </c>
      <c r="V4" s="295" t="s">
        <v>7</v>
      </c>
      <c r="W4" s="296" t="e">
        <f>U4*0.75-(#REF!+W5)</f>
        <v>#REF!</v>
      </c>
      <c r="X4" s="299" t="s">
        <v>90</v>
      </c>
      <c r="Y4" s="79" t="s">
        <v>34</v>
      </c>
      <c r="AA4" s="260" t="s">
        <v>194</v>
      </c>
      <c r="AB4" s="80" t="s">
        <v>89</v>
      </c>
      <c r="AC4" s="81">
        <v>1100000000</v>
      </c>
      <c r="AD4" s="82" t="s">
        <v>98</v>
      </c>
      <c r="AE4" s="83">
        <f>SUM(AF4:BB4)</f>
        <v>405000000</v>
      </c>
      <c r="AF4" s="300" t="s">
        <v>793</v>
      </c>
      <c r="AG4" s="301">
        <f>68604000</f>
        <v>68604000</v>
      </c>
      <c r="AH4" s="301" t="s">
        <v>794</v>
      </c>
      <c r="AI4" s="301">
        <f>106896000</f>
        <v>106896000</v>
      </c>
      <c r="AJ4" s="301" t="s">
        <v>795</v>
      </c>
      <c r="AK4" s="301">
        <f>14500000</f>
        <v>14500000</v>
      </c>
      <c r="AL4" s="301" t="s">
        <v>796</v>
      </c>
      <c r="AM4" s="301">
        <f>65000000</f>
        <v>65000000</v>
      </c>
      <c r="AN4" s="301" t="s">
        <v>797</v>
      </c>
      <c r="AO4" s="301">
        <f>150000000</f>
        <v>150000000</v>
      </c>
      <c r="AP4" s="301"/>
      <c r="AQ4" s="301"/>
      <c r="AR4" s="301"/>
      <c r="AS4" s="301"/>
      <c r="AT4" s="301"/>
      <c r="AU4" s="301"/>
      <c r="AV4" s="301"/>
      <c r="AW4" s="301"/>
      <c r="AX4" s="301"/>
      <c r="AY4" s="301"/>
      <c r="AZ4" s="301"/>
      <c r="BA4" s="301"/>
      <c r="BB4" s="301"/>
    </row>
    <row r="5" spans="1:61" ht="22.5" customHeight="1" thickBot="1">
      <c r="A5" s="248"/>
      <c r="B5" s="448"/>
      <c r="C5" s="449"/>
      <c r="D5" s="451" t="s">
        <v>802</v>
      </c>
      <c r="E5" s="451" t="s">
        <v>803</v>
      </c>
      <c r="F5" s="451" t="s">
        <v>804</v>
      </c>
      <c r="G5" s="451" t="s">
        <v>805</v>
      </c>
      <c r="H5" s="451" t="s">
        <v>806</v>
      </c>
      <c r="I5" s="451" t="s">
        <v>805</v>
      </c>
      <c r="J5" s="451" t="s">
        <v>805</v>
      </c>
      <c r="K5" s="451" t="s">
        <v>806</v>
      </c>
      <c r="L5" s="451" t="s">
        <v>806</v>
      </c>
      <c r="M5" s="451" t="s">
        <v>807</v>
      </c>
      <c r="N5" s="451" t="s">
        <v>806</v>
      </c>
      <c r="O5" s="451"/>
      <c r="P5" s="311"/>
      <c r="Q5" s="450"/>
      <c r="R5" s="433"/>
      <c r="S5" s="309" t="s">
        <v>67</v>
      </c>
      <c r="T5" s="303" t="s">
        <v>196</v>
      </c>
      <c r="U5" s="304" t="e">
        <f>U4-#REF!</f>
        <v>#REF!</v>
      </c>
      <c r="V5" s="310" t="s">
        <v>15</v>
      </c>
      <c r="W5" s="306" t="e">
        <f>(#REF!+BB5)/1100000</f>
        <v>#REF!</v>
      </c>
      <c r="X5" s="85"/>
      <c r="Y5" s="69"/>
      <c r="Z5" s="285"/>
      <c r="AA5" s="261"/>
      <c r="AB5" s="80" t="s">
        <v>196</v>
      </c>
      <c r="AC5" s="81">
        <v>300000000</v>
      </c>
      <c r="AD5" s="82" t="s">
        <v>100</v>
      </c>
      <c r="AE5" s="83"/>
      <c r="BC5" s="68"/>
      <c r="BD5" s="68"/>
      <c r="BE5" s="68"/>
      <c r="BF5" s="68"/>
      <c r="BG5" s="68"/>
      <c r="BH5" s="68"/>
      <c r="BI5" s="68"/>
    </row>
    <row r="6" spans="1:61" ht="22.5" customHeight="1" thickBot="1">
      <c r="A6" s="247" t="s">
        <v>808</v>
      </c>
      <c r="B6" s="445">
        <v>0.99200000000000033</v>
      </c>
      <c r="C6" s="446">
        <f>B6+D6+E6+F6+G6+H6+I6+J6+K6+N6</f>
        <v>0.99600000000000033</v>
      </c>
      <c r="D6" s="297">
        <v>1E-3</v>
      </c>
      <c r="E6" s="297">
        <v>1E-3</v>
      </c>
      <c r="F6" s="297">
        <v>1E-3</v>
      </c>
      <c r="G6" s="297">
        <v>1E-3</v>
      </c>
      <c r="H6" s="297">
        <v>0</v>
      </c>
      <c r="I6" s="297">
        <v>0</v>
      </c>
      <c r="J6" s="297">
        <v>0</v>
      </c>
      <c r="K6" s="297">
        <v>0</v>
      </c>
      <c r="L6" s="297">
        <v>0</v>
      </c>
      <c r="M6" s="297">
        <v>0</v>
      </c>
      <c r="N6" s="297">
        <v>0</v>
      </c>
      <c r="O6" s="297">
        <v>1E-3</v>
      </c>
      <c r="P6" s="319" t="s">
        <v>800</v>
      </c>
      <c r="Q6" s="447" t="s">
        <v>811</v>
      </c>
      <c r="R6" s="444" t="s">
        <v>809</v>
      </c>
      <c r="S6" s="292" t="s">
        <v>810</v>
      </c>
      <c r="T6" s="293" t="s">
        <v>89</v>
      </c>
      <c r="U6" s="294">
        <f>AZ6/1100000</f>
        <v>0</v>
      </c>
      <c r="V6" s="295" t="s">
        <v>7</v>
      </c>
      <c r="W6" s="296" t="e">
        <f>U6*0.75-(#REF!+W7)</f>
        <v>#REF!</v>
      </c>
      <c r="X6" s="299" t="s">
        <v>812</v>
      </c>
      <c r="Y6" s="53" t="s">
        <v>813</v>
      </c>
      <c r="AA6" s="260"/>
      <c r="AB6" s="80" t="s">
        <v>814</v>
      </c>
      <c r="AC6" s="81">
        <v>99000000</v>
      </c>
      <c r="AD6" s="82" t="s">
        <v>35</v>
      </c>
      <c r="AE6" s="83">
        <f>SUM(AF6:BB6)</f>
        <v>15000000</v>
      </c>
      <c r="AF6" s="300" t="s">
        <v>815</v>
      </c>
      <c r="AG6" s="301">
        <v>15000000</v>
      </c>
      <c r="AH6" s="301"/>
      <c r="AI6" s="301"/>
      <c r="AJ6" s="301"/>
      <c r="AK6" s="301"/>
      <c r="AL6" s="301"/>
      <c r="AM6" s="301"/>
      <c r="AN6" s="301"/>
      <c r="AO6" s="301"/>
      <c r="AP6" s="301"/>
      <c r="AQ6" s="301"/>
      <c r="AR6" s="301"/>
      <c r="AS6" s="301"/>
      <c r="AT6" s="301"/>
      <c r="AU6" s="301"/>
      <c r="AV6" s="301"/>
      <c r="AW6" s="301"/>
      <c r="AX6" s="301"/>
      <c r="AY6" s="301"/>
      <c r="AZ6" s="301"/>
      <c r="BA6" s="301"/>
      <c r="BB6" s="301"/>
    </row>
    <row r="7" spans="1:61" ht="22.5" customHeight="1" thickBot="1">
      <c r="A7" s="248"/>
      <c r="B7" s="448"/>
      <c r="C7" s="449"/>
      <c r="D7" s="451" t="s">
        <v>820</v>
      </c>
      <c r="E7" s="451" t="s">
        <v>820</v>
      </c>
      <c r="F7" s="451" t="s">
        <v>820</v>
      </c>
      <c r="G7" s="451"/>
      <c r="H7" s="451" t="s">
        <v>821</v>
      </c>
      <c r="I7" s="451" t="s">
        <v>822</v>
      </c>
      <c r="J7" s="451" t="s">
        <v>823</v>
      </c>
      <c r="K7" s="451" t="s">
        <v>821</v>
      </c>
      <c r="L7" s="451" t="s">
        <v>821</v>
      </c>
      <c r="M7" s="451" t="s">
        <v>821</v>
      </c>
      <c r="N7" s="451" t="s">
        <v>821</v>
      </c>
      <c r="O7" s="451" t="s">
        <v>819</v>
      </c>
      <c r="P7" s="321"/>
      <c r="Q7" s="450"/>
      <c r="R7" s="433"/>
      <c r="S7" s="309" t="s">
        <v>816</v>
      </c>
      <c r="T7" s="303" t="s">
        <v>817</v>
      </c>
      <c r="U7" s="304" t="e">
        <f>U6-#REF!</f>
        <v>#REF!</v>
      </c>
      <c r="V7" s="310" t="s">
        <v>818</v>
      </c>
      <c r="W7" s="306" t="e">
        <f>(#REF!+BB7)/1100000</f>
        <v>#REF!</v>
      </c>
      <c r="X7" s="85"/>
      <c r="Y7" s="75"/>
      <c r="AA7" s="261"/>
      <c r="AB7" s="80" t="s">
        <v>817</v>
      </c>
      <c r="AC7" s="81">
        <v>27808000</v>
      </c>
      <c r="AD7" s="82" t="s">
        <v>824</v>
      </c>
      <c r="AE7" s="83"/>
      <c r="BC7" s="68"/>
      <c r="BD7" s="68"/>
      <c r="BE7" s="68"/>
      <c r="BF7" s="68"/>
      <c r="BG7" s="68"/>
      <c r="BH7" s="68"/>
      <c r="BI7" s="68"/>
    </row>
    <row r="8" spans="1:61" s="329" customFormat="1" ht="22.5" customHeight="1" thickBot="1">
      <c r="A8" s="247" t="s">
        <v>829</v>
      </c>
      <c r="B8" s="445">
        <v>0.11000000000000001</v>
      </c>
      <c r="C8" s="446">
        <f>B8+D8+E8+F8+G8+H8+I8+J8+K8+N8</f>
        <v>0.24000000000000002</v>
      </c>
      <c r="D8" s="297">
        <v>0.02</v>
      </c>
      <c r="E8" s="297">
        <v>0.01</v>
      </c>
      <c r="F8" s="297">
        <v>0.01</v>
      </c>
      <c r="G8" s="297">
        <v>0.02</v>
      </c>
      <c r="H8" s="297">
        <v>0.02</v>
      </c>
      <c r="I8" s="297">
        <v>0.02</v>
      </c>
      <c r="J8" s="297">
        <v>0.01</v>
      </c>
      <c r="K8" s="297">
        <v>0.01</v>
      </c>
      <c r="L8" s="297">
        <v>0.01</v>
      </c>
      <c r="M8" s="297">
        <v>0.01</v>
      </c>
      <c r="N8" s="297">
        <v>0.01</v>
      </c>
      <c r="O8" s="297"/>
      <c r="P8" s="319" t="s">
        <v>833</v>
      </c>
      <c r="Q8" s="447" t="s">
        <v>834</v>
      </c>
      <c r="R8" s="444" t="s">
        <v>830</v>
      </c>
      <c r="S8" s="292" t="s">
        <v>831</v>
      </c>
      <c r="T8" s="293" t="s">
        <v>814</v>
      </c>
      <c r="U8" s="294">
        <f>AZ8/1100000</f>
        <v>0</v>
      </c>
      <c r="V8" s="295" t="s">
        <v>832</v>
      </c>
      <c r="W8" s="296" t="e">
        <f>U8*0.75-(#REF!+W9)</f>
        <v>#REF!</v>
      </c>
      <c r="X8" s="299" t="s">
        <v>812</v>
      </c>
      <c r="Y8" s="79" t="s">
        <v>813</v>
      </c>
      <c r="Z8" s="322"/>
      <c r="AA8" s="456"/>
      <c r="AB8" s="323" t="s">
        <v>814</v>
      </c>
      <c r="AC8" s="324">
        <v>1738000000</v>
      </c>
      <c r="AD8" s="325" t="s">
        <v>35</v>
      </c>
      <c r="AE8" s="326">
        <f>SUM(AF8:BB8)</f>
        <v>942800000</v>
      </c>
      <c r="AF8" s="327" t="s">
        <v>835</v>
      </c>
      <c r="AG8" s="328">
        <v>452800000</v>
      </c>
      <c r="AH8" s="328" t="s">
        <v>836</v>
      </c>
      <c r="AI8" s="328">
        <v>112000000</v>
      </c>
      <c r="AJ8" s="328" t="s">
        <v>837</v>
      </c>
      <c r="AK8" s="328">
        <v>44000000</v>
      </c>
      <c r="AL8" s="328" t="s">
        <v>838</v>
      </c>
      <c r="AM8" s="328">
        <v>76500000</v>
      </c>
      <c r="AN8" s="328" t="s">
        <v>839</v>
      </c>
      <c r="AO8" s="328">
        <v>88000000</v>
      </c>
      <c r="AP8" s="328" t="s">
        <v>840</v>
      </c>
      <c r="AQ8" s="328">
        <v>81000000</v>
      </c>
      <c r="AR8" s="328" t="s">
        <v>841</v>
      </c>
      <c r="AS8" s="328">
        <v>88500000</v>
      </c>
      <c r="AT8" s="328"/>
      <c r="AU8" s="328"/>
      <c r="AV8" s="328"/>
      <c r="AW8" s="328"/>
      <c r="AX8" s="328"/>
      <c r="AY8" s="328"/>
      <c r="AZ8" s="328"/>
      <c r="BA8" s="328"/>
      <c r="BB8" s="328"/>
    </row>
    <row r="9" spans="1:61" s="329" customFormat="1" ht="22.5" customHeight="1" thickBot="1">
      <c r="A9" s="248"/>
      <c r="B9" s="448"/>
      <c r="C9" s="449"/>
      <c r="D9" s="451" t="s">
        <v>843</v>
      </c>
      <c r="E9" s="451" t="s">
        <v>844</v>
      </c>
      <c r="F9" s="451" t="s">
        <v>821</v>
      </c>
      <c r="G9" s="451" t="s">
        <v>821</v>
      </c>
      <c r="H9" s="451" t="s">
        <v>845</v>
      </c>
      <c r="I9" s="451" t="s">
        <v>819</v>
      </c>
      <c r="J9" s="451" t="s">
        <v>846</v>
      </c>
      <c r="K9" s="451" t="s">
        <v>847</v>
      </c>
      <c r="L9" s="451" t="s">
        <v>847</v>
      </c>
      <c r="M9" s="451" t="s">
        <v>833</v>
      </c>
      <c r="N9" s="451" t="s">
        <v>833</v>
      </c>
      <c r="O9" s="451" t="s">
        <v>842</v>
      </c>
      <c r="P9" s="321"/>
      <c r="Q9" s="450"/>
      <c r="R9" s="433"/>
      <c r="S9" s="309" t="s">
        <v>816</v>
      </c>
      <c r="T9" s="303" t="s">
        <v>817</v>
      </c>
      <c r="U9" s="304" t="e">
        <f>U8-#REF!</f>
        <v>#REF!</v>
      </c>
      <c r="V9" s="310" t="s">
        <v>818</v>
      </c>
      <c r="W9" s="306" t="e">
        <f>(#REF!+BB9)/1100000</f>
        <v>#REF!</v>
      </c>
      <c r="X9" s="85"/>
      <c r="Y9" s="75"/>
      <c r="Z9" s="322"/>
      <c r="AA9" s="457"/>
      <c r="AB9" s="323" t="s">
        <v>817</v>
      </c>
      <c r="AC9" s="324">
        <v>1267200000</v>
      </c>
      <c r="AD9" s="325" t="s">
        <v>824</v>
      </c>
      <c r="AE9" s="326"/>
      <c r="AF9" s="331"/>
      <c r="AG9" s="331"/>
      <c r="AH9" s="331"/>
      <c r="AI9" s="331"/>
      <c r="AJ9" s="331"/>
      <c r="AK9" s="331"/>
      <c r="AL9" s="331"/>
      <c r="AM9" s="331"/>
      <c r="AN9" s="331"/>
      <c r="AO9" s="331"/>
      <c r="AP9" s="331"/>
      <c r="AQ9" s="331"/>
      <c r="AR9" s="331"/>
      <c r="AS9" s="331"/>
      <c r="AT9" s="331"/>
      <c r="AU9" s="331"/>
      <c r="AV9" s="331"/>
      <c r="AW9" s="331"/>
      <c r="AX9" s="331"/>
      <c r="AY9" s="331"/>
      <c r="AZ9" s="331"/>
      <c r="BA9" s="331"/>
      <c r="BB9" s="331"/>
      <c r="BC9" s="330"/>
      <c r="BD9" s="330"/>
      <c r="BE9" s="330"/>
      <c r="BF9" s="330"/>
      <c r="BG9" s="330"/>
      <c r="BH9" s="330"/>
      <c r="BI9" s="330"/>
    </row>
    <row r="10" spans="1:61" ht="22.5" customHeight="1" thickBot="1">
      <c r="A10" s="247" t="s">
        <v>848</v>
      </c>
      <c r="B10" s="445">
        <v>1.0500000000000003</v>
      </c>
      <c r="C10" s="446">
        <f>B10+D10+E10+F10+G10+H10+I10+J10+K10+N10</f>
        <v>1.0650000000000002</v>
      </c>
      <c r="D10" s="297">
        <v>0.01</v>
      </c>
      <c r="E10" s="297">
        <v>5.0000000000000001E-3</v>
      </c>
      <c r="F10" s="297">
        <v>0</v>
      </c>
      <c r="G10" s="297">
        <v>0</v>
      </c>
      <c r="H10" s="297">
        <v>0</v>
      </c>
      <c r="I10" s="297">
        <v>0</v>
      </c>
      <c r="J10" s="297">
        <v>0</v>
      </c>
      <c r="K10" s="297">
        <v>0</v>
      </c>
      <c r="L10" s="297">
        <v>0</v>
      </c>
      <c r="M10" s="297">
        <v>0</v>
      </c>
      <c r="N10" s="297">
        <v>0</v>
      </c>
      <c r="O10" s="297">
        <v>0.02</v>
      </c>
      <c r="P10" s="319" t="s">
        <v>821</v>
      </c>
      <c r="Q10" s="447" t="s">
        <v>851</v>
      </c>
      <c r="R10" s="444" t="s">
        <v>849</v>
      </c>
      <c r="S10" s="292" t="s">
        <v>850</v>
      </c>
      <c r="T10" s="293" t="s">
        <v>814</v>
      </c>
      <c r="U10" s="294">
        <f>AZ10/1100000</f>
        <v>0</v>
      </c>
      <c r="V10" s="295" t="s">
        <v>832</v>
      </c>
      <c r="W10" s="296" t="e">
        <f>U10*0.75-(#REF!+W11)</f>
        <v>#REF!</v>
      </c>
      <c r="X10" s="299" t="s">
        <v>812</v>
      </c>
      <c r="Y10" s="79" t="s">
        <v>813</v>
      </c>
      <c r="AA10" s="260"/>
      <c r="AB10" s="80" t="s">
        <v>814</v>
      </c>
      <c r="AC10" s="81">
        <v>605000000</v>
      </c>
      <c r="AD10" s="82" t="s">
        <v>35</v>
      </c>
      <c r="AE10" s="83">
        <f>SUM(AF10:BB10)</f>
        <v>238700000</v>
      </c>
      <c r="AF10" s="300" t="s">
        <v>794</v>
      </c>
      <c r="AG10" s="301">
        <v>88550000</v>
      </c>
      <c r="AH10" s="301" t="s">
        <v>815</v>
      </c>
      <c r="AI10" s="301">
        <v>73150000</v>
      </c>
      <c r="AJ10" s="301" t="s">
        <v>853</v>
      </c>
      <c r="AK10" s="301">
        <v>19250000</v>
      </c>
      <c r="AL10" s="301" t="s">
        <v>796</v>
      </c>
      <c r="AM10" s="301">
        <v>57750000</v>
      </c>
      <c r="AN10" s="301"/>
      <c r="AO10" s="301"/>
      <c r="AP10" s="301"/>
      <c r="AQ10" s="301"/>
      <c r="AR10" s="301"/>
      <c r="AS10" s="301"/>
      <c r="AT10" s="301"/>
      <c r="AU10" s="301"/>
      <c r="AV10" s="301"/>
      <c r="AW10" s="301"/>
      <c r="AX10" s="301"/>
      <c r="AY10" s="301"/>
      <c r="AZ10" s="301"/>
      <c r="BA10" s="301"/>
      <c r="BB10" s="301"/>
    </row>
    <row r="11" spans="1:61" ht="22.5" customHeight="1" thickBot="1">
      <c r="A11" s="248"/>
      <c r="B11" s="448"/>
      <c r="C11" s="449"/>
      <c r="D11" s="451" t="s">
        <v>858</v>
      </c>
      <c r="E11" s="451" t="s">
        <v>859</v>
      </c>
      <c r="F11" s="451" t="s">
        <v>860</v>
      </c>
      <c r="G11" s="451" t="s">
        <v>860</v>
      </c>
      <c r="H11" s="451" t="s">
        <v>861</v>
      </c>
      <c r="I11" s="451" t="s">
        <v>861</v>
      </c>
      <c r="J11" s="451" t="s">
        <v>862</v>
      </c>
      <c r="K11" s="451" t="s">
        <v>861</v>
      </c>
      <c r="L11" s="451" t="s">
        <v>861</v>
      </c>
      <c r="M11" s="451" t="s">
        <v>861</v>
      </c>
      <c r="N11" s="451" t="s">
        <v>861</v>
      </c>
      <c r="O11" s="451" t="s">
        <v>857</v>
      </c>
      <c r="P11" s="321"/>
      <c r="Q11" s="450"/>
      <c r="R11" s="433"/>
      <c r="S11" s="309" t="s">
        <v>854</v>
      </c>
      <c r="T11" s="303" t="s">
        <v>855</v>
      </c>
      <c r="U11" s="304" t="e">
        <f>U10-#REF!</f>
        <v>#REF!</v>
      </c>
      <c r="V11" s="310" t="s">
        <v>856</v>
      </c>
      <c r="W11" s="306" t="e">
        <f>(#REF!+BB11)/1100000</f>
        <v>#REF!</v>
      </c>
      <c r="X11" s="85"/>
      <c r="Y11" s="75"/>
      <c r="AA11" s="261"/>
      <c r="AB11" s="80" t="s">
        <v>855</v>
      </c>
      <c r="AC11" s="81">
        <v>44000000</v>
      </c>
      <c r="AD11" s="82" t="s">
        <v>863</v>
      </c>
      <c r="AE11" s="83"/>
      <c r="BC11" s="68"/>
      <c r="BD11" s="68"/>
      <c r="BE11" s="68"/>
      <c r="BF11" s="68"/>
      <c r="BG11" s="68"/>
      <c r="BH11" s="68"/>
      <c r="BI11" s="68"/>
    </row>
    <row r="12" spans="1:61" ht="22.5" customHeight="1" thickBot="1">
      <c r="A12" s="247" t="s">
        <v>864</v>
      </c>
      <c r="B12" s="445">
        <v>0.39000000000000007</v>
      </c>
      <c r="C12" s="446">
        <f>B12+D12+E12+F12+G12+H12+I12+J12+K12+N12</f>
        <v>0.54000000000000015</v>
      </c>
      <c r="D12" s="297">
        <v>0.01</v>
      </c>
      <c r="E12" s="297">
        <v>0.01</v>
      </c>
      <c r="F12" s="297">
        <v>0.01</v>
      </c>
      <c r="G12" s="297">
        <v>0.02</v>
      </c>
      <c r="H12" s="297">
        <v>0.02</v>
      </c>
      <c r="I12" s="297">
        <v>0.03</v>
      </c>
      <c r="J12" s="297">
        <v>0.03</v>
      </c>
      <c r="K12" s="297">
        <v>0.01</v>
      </c>
      <c r="L12" s="297">
        <v>0</v>
      </c>
      <c r="M12" s="297">
        <v>0.01</v>
      </c>
      <c r="N12" s="297">
        <v>0.01</v>
      </c>
      <c r="O12" s="297">
        <v>0.01</v>
      </c>
      <c r="P12" s="319" t="s">
        <v>869</v>
      </c>
      <c r="Q12" s="447" t="s">
        <v>870</v>
      </c>
      <c r="R12" s="444" t="s">
        <v>865</v>
      </c>
      <c r="S12" s="292" t="s">
        <v>866</v>
      </c>
      <c r="T12" s="293" t="s">
        <v>867</v>
      </c>
      <c r="U12" s="294">
        <f>AZ12/1100000</f>
        <v>0</v>
      </c>
      <c r="V12" s="295" t="s">
        <v>868</v>
      </c>
      <c r="W12" s="296" t="e">
        <f>U12*0.75-(#REF!+W13)</f>
        <v>#REF!</v>
      </c>
      <c r="X12" s="299" t="s">
        <v>871</v>
      </c>
      <c r="Y12" s="79" t="s">
        <v>872</v>
      </c>
      <c r="AA12" s="260"/>
      <c r="AB12" s="80" t="s">
        <v>867</v>
      </c>
      <c r="AC12" s="81">
        <v>2112000000</v>
      </c>
      <c r="AD12" s="82" t="s">
        <v>873</v>
      </c>
      <c r="AE12" s="83">
        <f>SUM(AF12:BB12)</f>
        <v>139000000</v>
      </c>
      <c r="AF12" s="300" t="s">
        <v>874</v>
      </c>
      <c r="AG12" s="301">
        <f>61000000</f>
        <v>61000000</v>
      </c>
      <c r="AH12" s="301" t="s">
        <v>875</v>
      </c>
      <c r="AI12" s="301">
        <f>78000000</f>
        <v>78000000</v>
      </c>
      <c r="AJ12" s="301"/>
      <c r="AK12" s="301"/>
      <c r="AL12" s="301"/>
      <c r="AM12" s="301"/>
      <c r="AN12" s="301"/>
      <c r="AO12" s="301"/>
      <c r="AP12" s="301"/>
      <c r="AQ12" s="301"/>
      <c r="AR12" s="301"/>
      <c r="AS12" s="301"/>
      <c r="AT12" s="301"/>
      <c r="AU12" s="301"/>
      <c r="AV12" s="301"/>
      <c r="AW12" s="301"/>
      <c r="AX12" s="301"/>
      <c r="AY12" s="301"/>
      <c r="AZ12" s="301"/>
      <c r="BA12" s="301"/>
      <c r="BB12" s="301"/>
    </row>
    <row r="13" spans="1:61" ht="22.5" customHeight="1" thickBot="1">
      <c r="A13" s="248"/>
      <c r="B13" s="448"/>
      <c r="C13" s="449"/>
      <c r="D13" s="451" t="s">
        <v>878</v>
      </c>
      <c r="E13" s="451" t="s">
        <v>878</v>
      </c>
      <c r="F13" s="451" t="s">
        <v>879</v>
      </c>
      <c r="G13" s="451" t="s">
        <v>847</v>
      </c>
      <c r="H13" s="451" t="s">
        <v>880</v>
      </c>
      <c r="I13" s="451" t="s">
        <v>880</v>
      </c>
      <c r="J13" s="451" t="s">
        <v>881</v>
      </c>
      <c r="K13" s="451" t="s">
        <v>882</v>
      </c>
      <c r="L13" s="451" t="s">
        <v>821</v>
      </c>
      <c r="M13" s="451" t="s">
        <v>883</v>
      </c>
      <c r="N13" s="451" t="s">
        <v>881</v>
      </c>
      <c r="O13" s="451" t="s">
        <v>884</v>
      </c>
      <c r="P13" s="321"/>
      <c r="Q13" s="450"/>
      <c r="R13" s="433"/>
      <c r="S13" s="309" t="s">
        <v>816</v>
      </c>
      <c r="T13" s="303" t="s">
        <v>817</v>
      </c>
      <c r="U13" s="304" t="e">
        <f>U12-#REF!</f>
        <v>#REF!</v>
      </c>
      <c r="V13" s="310" t="s">
        <v>818</v>
      </c>
      <c r="W13" s="306" t="e">
        <f>(#REF!+BB13)/1100000</f>
        <v>#REF!</v>
      </c>
      <c r="X13" s="85"/>
      <c r="Y13" s="75"/>
      <c r="AA13" s="261"/>
      <c r="AB13" s="80" t="s">
        <v>817</v>
      </c>
      <c r="AC13" s="81" t="e">
        <f>AC12-#REF!</f>
        <v>#REF!</v>
      </c>
      <c r="AD13" s="82" t="s">
        <v>824</v>
      </c>
      <c r="AE13" s="83">
        <v>45000000</v>
      </c>
      <c r="BC13" s="68"/>
      <c r="BD13" s="68"/>
      <c r="BE13" s="68"/>
      <c r="BF13" s="68"/>
      <c r="BG13" s="68"/>
      <c r="BH13" s="68"/>
      <c r="BI13" s="68"/>
    </row>
    <row r="14" spans="1:61" ht="22.5" customHeight="1" thickBot="1">
      <c r="A14" s="247" t="s">
        <v>885</v>
      </c>
      <c r="B14" s="445">
        <v>0.27700000000000002</v>
      </c>
      <c r="C14" s="446">
        <f>B14+D14+E14+F14+G14+H14+I14+J14+K14+N14</f>
        <v>0.75700000000000012</v>
      </c>
      <c r="D14" s="297">
        <v>0.08</v>
      </c>
      <c r="E14" s="297">
        <v>0.08</v>
      </c>
      <c r="F14" s="297">
        <v>0.08</v>
      </c>
      <c r="G14" s="297">
        <v>0.08</v>
      </c>
      <c r="H14" s="297">
        <v>0.05</v>
      </c>
      <c r="I14" s="297">
        <v>0.05</v>
      </c>
      <c r="J14" s="297">
        <v>0.02</v>
      </c>
      <c r="K14" s="297">
        <v>0.02</v>
      </c>
      <c r="L14" s="297">
        <v>0.02</v>
      </c>
      <c r="M14" s="297">
        <v>0.02</v>
      </c>
      <c r="N14" s="297">
        <v>0.02</v>
      </c>
      <c r="O14" s="297">
        <v>0.08</v>
      </c>
      <c r="P14" s="319" t="s">
        <v>881</v>
      </c>
      <c r="Q14" s="447" t="s">
        <v>889</v>
      </c>
      <c r="R14" s="444" t="s">
        <v>886</v>
      </c>
      <c r="S14" s="292" t="s">
        <v>887</v>
      </c>
      <c r="T14" s="293" t="s">
        <v>814</v>
      </c>
      <c r="U14" s="294">
        <f>AZ14/1100000</f>
        <v>0</v>
      </c>
      <c r="V14" s="295" t="s">
        <v>832</v>
      </c>
      <c r="W14" s="296" t="e">
        <f>U14*0.75-(#REF!+W15)</f>
        <v>#REF!</v>
      </c>
      <c r="X14" s="299" t="s">
        <v>812</v>
      </c>
      <c r="Y14" s="79" t="s">
        <v>813</v>
      </c>
      <c r="AA14" s="260"/>
      <c r="AB14" s="80" t="s">
        <v>814</v>
      </c>
      <c r="AC14" s="81">
        <v>532238000</v>
      </c>
      <c r="AD14" s="82" t="s">
        <v>35</v>
      </c>
      <c r="AE14" s="83">
        <f>SUM(AF14:BB14)</f>
        <v>101387000</v>
      </c>
      <c r="AF14" s="300" t="s">
        <v>815</v>
      </c>
      <c r="AG14" s="301">
        <v>101387000</v>
      </c>
      <c r="AH14" s="301"/>
      <c r="AI14" s="301"/>
      <c r="AJ14" s="301"/>
      <c r="AK14" s="301"/>
      <c r="AL14" s="301"/>
      <c r="AM14" s="301"/>
      <c r="AN14" s="301"/>
      <c r="AO14" s="301"/>
      <c r="AP14" s="301"/>
      <c r="AQ14" s="301"/>
      <c r="AR14" s="301"/>
      <c r="AS14" s="301"/>
      <c r="AT14" s="301"/>
      <c r="AU14" s="301"/>
      <c r="AV14" s="301"/>
      <c r="AW14" s="301"/>
      <c r="AX14" s="301"/>
      <c r="AY14" s="301"/>
      <c r="AZ14" s="301"/>
      <c r="BA14" s="301"/>
      <c r="BB14" s="301"/>
    </row>
    <row r="15" spans="1:61" ht="22.5" customHeight="1" thickBot="1">
      <c r="A15" s="248"/>
      <c r="B15" s="448"/>
      <c r="C15" s="449"/>
      <c r="D15" s="451" t="s">
        <v>892</v>
      </c>
      <c r="E15" s="451" t="s">
        <v>893</v>
      </c>
      <c r="F15" s="451" t="s">
        <v>893</v>
      </c>
      <c r="G15" s="451" t="s">
        <v>893</v>
      </c>
      <c r="H15" s="451" t="s">
        <v>894</v>
      </c>
      <c r="I15" s="451" t="s">
        <v>895</v>
      </c>
      <c r="J15" s="451" t="s">
        <v>897</v>
      </c>
      <c r="K15" s="451" t="s">
        <v>898</v>
      </c>
      <c r="L15" s="451" t="s">
        <v>899</v>
      </c>
      <c r="M15" s="451" t="s">
        <v>877</v>
      </c>
      <c r="N15" s="451" t="s">
        <v>881</v>
      </c>
      <c r="O15" s="451" t="s">
        <v>891</v>
      </c>
      <c r="P15" s="321"/>
      <c r="Q15" s="450"/>
      <c r="R15" s="433"/>
      <c r="S15" s="309" t="s">
        <v>816</v>
      </c>
      <c r="T15" s="303" t="s">
        <v>817</v>
      </c>
      <c r="U15" s="304" t="e">
        <f>U14-#REF!</f>
        <v>#REF!</v>
      </c>
      <c r="V15" s="310" t="s">
        <v>818</v>
      </c>
      <c r="W15" s="306" t="e">
        <f>(#REF!+BB15)/1100000</f>
        <v>#REF!</v>
      </c>
      <c r="X15" s="85"/>
      <c r="Y15" s="75"/>
      <c r="AA15" s="261"/>
      <c r="AB15" s="80" t="s">
        <v>817</v>
      </c>
      <c r="AC15" s="81">
        <f>425870000-120532000</f>
        <v>305338000</v>
      </c>
      <c r="AD15" s="82" t="s">
        <v>824</v>
      </c>
      <c r="AE15" s="83"/>
      <c r="BC15" s="68"/>
      <c r="BD15" s="68"/>
      <c r="BE15" s="68"/>
      <c r="BF15" s="68"/>
      <c r="BG15" s="68"/>
      <c r="BH15" s="68"/>
      <c r="BI15" s="68"/>
    </row>
    <row r="16" spans="1:61" ht="22.5" customHeight="1" thickBot="1">
      <c r="A16" s="247" t="s">
        <v>901</v>
      </c>
      <c r="B16" s="445">
        <v>0.90000000000000013</v>
      </c>
      <c r="C16" s="446">
        <f>B16+D16+E16+F16+G16+H16+I16+J16+K16+N16</f>
        <v>0.98500000000000021</v>
      </c>
      <c r="D16" s="297">
        <v>0.02</v>
      </c>
      <c r="E16" s="297">
        <v>0.02</v>
      </c>
      <c r="F16" s="297">
        <v>0.02</v>
      </c>
      <c r="G16" s="297">
        <v>0.02</v>
      </c>
      <c r="H16" s="297">
        <v>0</v>
      </c>
      <c r="I16" s="297">
        <v>0</v>
      </c>
      <c r="J16" s="297">
        <v>0</v>
      </c>
      <c r="K16" s="297">
        <v>5.0000000000000001E-3</v>
      </c>
      <c r="L16" s="297">
        <v>5.0000000000000001E-3</v>
      </c>
      <c r="M16" s="297">
        <v>5.0000000000000001E-3</v>
      </c>
      <c r="N16" s="297">
        <v>0</v>
      </c>
      <c r="O16" s="297">
        <v>0.02</v>
      </c>
      <c r="P16" s="319" t="s">
        <v>904</v>
      </c>
      <c r="Q16" s="447" t="s">
        <v>905</v>
      </c>
      <c r="R16" s="444" t="s">
        <v>902</v>
      </c>
      <c r="S16" s="332" t="s">
        <v>903</v>
      </c>
      <c r="T16" s="293" t="s">
        <v>814</v>
      </c>
      <c r="U16" s="294">
        <f>AZ16/1100000</f>
        <v>0</v>
      </c>
      <c r="V16" s="295" t="s">
        <v>832</v>
      </c>
      <c r="W16" s="296" t="e">
        <f>U16*0.75-(#REF!+W17)</f>
        <v>#REF!</v>
      </c>
      <c r="X16" s="299" t="s">
        <v>812</v>
      </c>
      <c r="Y16" s="79" t="s">
        <v>813</v>
      </c>
      <c r="AA16" s="260"/>
      <c r="AB16" s="80" t="s">
        <v>814</v>
      </c>
      <c r="AC16" s="81">
        <v>88000000</v>
      </c>
      <c r="AD16" s="325" t="s">
        <v>35</v>
      </c>
      <c r="AE16" s="326">
        <f>SUM(AF16:BB16)</f>
        <v>31000000</v>
      </c>
      <c r="AF16" s="327" t="s">
        <v>794</v>
      </c>
      <c r="AG16" s="328">
        <f>26000000</f>
        <v>26000000</v>
      </c>
      <c r="AH16" s="328" t="s">
        <v>815</v>
      </c>
      <c r="AI16" s="328">
        <f>5000000</f>
        <v>5000000</v>
      </c>
      <c r="AJ16" s="328" t="s">
        <v>853</v>
      </c>
      <c r="AK16" s="328"/>
      <c r="AL16" s="328"/>
      <c r="AM16" s="328"/>
      <c r="AN16" s="328"/>
      <c r="AO16" s="301"/>
      <c r="AP16" s="301"/>
      <c r="AQ16" s="301"/>
      <c r="AR16" s="301"/>
      <c r="AS16" s="301"/>
      <c r="AT16" s="301"/>
      <c r="AU16" s="301"/>
      <c r="AV16" s="301"/>
      <c r="AW16" s="301"/>
      <c r="AX16" s="301"/>
      <c r="AY16" s="301"/>
      <c r="AZ16" s="301"/>
      <c r="BA16" s="301"/>
      <c r="BB16" s="301"/>
    </row>
    <row r="17" spans="1:61" ht="22.5" customHeight="1" thickBot="1">
      <c r="A17" s="248"/>
      <c r="B17" s="448"/>
      <c r="C17" s="449"/>
      <c r="D17" s="451" t="s">
        <v>907</v>
      </c>
      <c r="E17" s="451" t="s">
        <v>908</v>
      </c>
      <c r="F17" s="451" t="s">
        <v>909</v>
      </c>
      <c r="G17" s="451" t="s">
        <v>910</v>
      </c>
      <c r="H17" s="451" t="s">
        <v>821</v>
      </c>
      <c r="I17" s="451" t="s">
        <v>821</v>
      </c>
      <c r="J17" s="451" t="s">
        <v>821</v>
      </c>
      <c r="K17" s="451" t="s">
        <v>911</v>
      </c>
      <c r="L17" s="451" t="s">
        <v>912</v>
      </c>
      <c r="M17" s="451" t="s">
        <v>913</v>
      </c>
      <c r="N17" s="451" t="s">
        <v>914</v>
      </c>
      <c r="O17" s="451" t="s">
        <v>906</v>
      </c>
      <c r="P17" s="321"/>
      <c r="Q17" s="450"/>
      <c r="R17" s="433"/>
      <c r="S17" s="309" t="s">
        <v>816</v>
      </c>
      <c r="T17" s="303" t="s">
        <v>817</v>
      </c>
      <c r="U17" s="304" t="e">
        <f>U16-#REF!</f>
        <v>#REF!</v>
      </c>
      <c r="V17" s="310" t="s">
        <v>818</v>
      </c>
      <c r="W17" s="306" t="e">
        <f>(#REF!+BB17)/1100000</f>
        <v>#REF!</v>
      </c>
      <c r="X17" s="85"/>
      <c r="Y17" s="75"/>
      <c r="AA17" s="261"/>
      <c r="AB17" s="80" t="s">
        <v>817</v>
      </c>
      <c r="AC17" s="81">
        <v>48000000</v>
      </c>
      <c r="AD17" s="82" t="s">
        <v>824</v>
      </c>
      <c r="AE17" s="83"/>
      <c r="BC17" s="68"/>
      <c r="BD17" s="68"/>
      <c r="BE17" s="68"/>
      <c r="BF17" s="68"/>
      <c r="BG17" s="68"/>
      <c r="BH17" s="68"/>
      <c r="BI17" s="68"/>
    </row>
    <row r="18" spans="1:61" ht="22.5" customHeight="1" thickBot="1">
      <c r="A18" s="247" t="s">
        <v>915</v>
      </c>
      <c r="B18" s="445">
        <v>0.28499999999999998</v>
      </c>
      <c r="C18" s="446">
        <f>B18+D18+E18+F18+G18+H18+I18+J18+K18+N18</f>
        <v>0.71</v>
      </c>
      <c r="D18" s="297">
        <v>0.1</v>
      </c>
      <c r="E18" s="297">
        <v>0.1</v>
      </c>
      <c r="F18" s="297">
        <v>0.09</v>
      </c>
      <c r="G18" s="297">
        <v>5.0000000000000001E-3</v>
      </c>
      <c r="H18" s="297">
        <v>5.0000000000000001E-3</v>
      </c>
      <c r="I18" s="297">
        <v>5.0000000000000001E-3</v>
      </c>
      <c r="J18" s="297">
        <v>0.01</v>
      </c>
      <c r="K18" s="297">
        <v>0.01</v>
      </c>
      <c r="L18" s="297">
        <v>0.02</v>
      </c>
      <c r="M18" s="297">
        <v>0.1</v>
      </c>
      <c r="N18" s="297">
        <v>0.1</v>
      </c>
      <c r="O18" s="297">
        <v>0.05</v>
      </c>
      <c r="P18" s="319" t="s">
        <v>881</v>
      </c>
      <c r="Q18" s="447" t="s">
        <v>918</v>
      </c>
      <c r="R18" s="444" t="s">
        <v>916</v>
      </c>
      <c r="S18" s="292" t="s">
        <v>917</v>
      </c>
      <c r="T18" s="293" t="s">
        <v>814</v>
      </c>
      <c r="U18" s="294">
        <f>AZ18/1100000</f>
        <v>0</v>
      </c>
      <c r="V18" s="295" t="s">
        <v>832</v>
      </c>
      <c r="W18" s="296" t="e">
        <f>U18*0.75-(#REF!+W19)</f>
        <v>#REF!</v>
      </c>
      <c r="X18" s="299" t="s">
        <v>812</v>
      </c>
      <c r="Y18" s="79" t="s">
        <v>813</v>
      </c>
      <c r="AA18" s="260"/>
      <c r="AB18" s="80" t="s">
        <v>814</v>
      </c>
      <c r="AC18" s="81">
        <v>152321230</v>
      </c>
      <c r="AD18" s="325" t="s">
        <v>35</v>
      </c>
      <c r="AE18" s="326">
        <f>SUM(AF18:BB18)</f>
        <v>68068895</v>
      </c>
      <c r="AF18" s="327" t="s">
        <v>794</v>
      </c>
      <c r="AG18" s="328">
        <v>27412542</v>
      </c>
      <c r="AH18" s="328" t="s">
        <v>875</v>
      </c>
      <c r="AI18" s="328">
        <v>40656353</v>
      </c>
      <c r="AJ18" s="328"/>
      <c r="AK18" s="328"/>
      <c r="AL18" s="328"/>
      <c r="AM18" s="328"/>
      <c r="AN18" s="328"/>
      <c r="AO18" s="301"/>
      <c r="AP18" s="301"/>
      <c r="AQ18" s="301"/>
      <c r="AR18" s="301"/>
      <c r="AS18" s="301"/>
      <c r="AT18" s="301"/>
      <c r="AU18" s="301"/>
      <c r="AV18" s="301"/>
      <c r="AW18" s="301"/>
      <c r="AX18" s="301"/>
      <c r="AY18" s="301"/>
      <c r="AZ18" s="301"/>
      <c r="BA18" s="301"/>
      <c r="BB18" s="301"/>
    </row>
    <row r="19" spans="1:61" ht="22.5" customHeight="1" thickBot="1">
      <c r="A19" s="248"/>
      <c r="B19" s="448"/>
      <c r="C19" s="449"/>
      <c r="D19" s="451" t="s">
        <v>919</v>
      </c>
      <c r="E19" s="451" t="s">
        <v>882</v>
      </c>
      <c r="F19" s="451"/>
      <c r="G19" s="451" t="s">
        <v>920</v>
      </c>
      <c r="H19" s="451" t="s">
        <v>894</v>
      </c>
      <c r="I19" s="451" t="s">
        <v>894</v>
      </c>
      <c r="J19" s="451" t="s">
        <v>893</v>
      </c>
      <c r="K19" s="451" t="s">
        <v>921</v>
      </c>
      <c r="L19" s="451" t="s">
        <v>922</v>
      </c>
      <c r="M19" s="451" t="s">
        <v>923</v>
      </c>
      <c r="N19" s="451" t="s">
        <v>923</v>
      </c>
      <c r="O19" s="451" t="s">
        <v>919</v>
      </c>
      <c r="P19" s="321"/>
      <c r="Q19" s="450"/>
      <c r="R19" s="433"/>
      <c r="S19" s="309" t="s">
        <v>816</v>
      </c>
      <c r="T19" s="303" t="s">
        <v>817</v>
      </c>
      <c r="U19" s="304" t="e">
        <f>U18-#REF!</f>
        <v>#REF!</v>
      </c>
      <c r="V19" s="310" t="s">
        <v>818</v>
      </c>
      <c r="W19" s="306" t="e">
        <f>(#REF!+BB19)/1100000</f>
        <v>#REF!</v>
      </c>
      <c r="X19" s="85"/>
      <c r="Y19" s="75"/>
      <c r="AA19" s="261"/>
      <c r="AB19" s="80" t="s">
        <v>817</v>
      </c>
      <c r="AC19" s="81">
        <v>42335000</v>
      </c>
      <c r="AD19" s="82" t="s">
        <v>824</v>
      </c>
      <c r="AE19" s="83"/>
      <c r="BC19" s="68"/>
      <c r="BD19" s="68"/>
      <c r="BE19" s="68"/>
      <c r="BF19" s="68"/>
      <c r="BG19" s="68"/>
      <c r="BH19" s="68"/>
      <c r="BI19" s="68"/>
    </row>
    <row r="20" spans="1:61" ht="22.5" customHeight="1" thickBot="1">
      <c r="A20" s="247" t="s">
        <v>924</v>
      </c>
      <c r="B20" s="445">
        <v>0.43500000000000005</v>
      </c>
      <c r="C20" s="446">
        <f>B20+D20+E20+F20+G20+H20+I20+J20+K20+N20</f>
        <v>0.91500000000000015</v>
      </c>
      <c r="D20" s="297">
        <v>0.1</v>
      </c>
      <c r="E20" s="297">
        <v>0.1</v>
      </c>
      <c r="F20" s="297">
        <v>0.1</v>
      </c>
      <c r="G20" s="297">
        <v>0.05</v>
      </c>
      <c r="H20" s="297">
        <v>0.05</v>
      </c>
      <c r="I20" s="297">
        <v>0.01</v>
      </c>
      <c r="J20" s="297">
        <v>0.01</v>
      </c>
      <c r="K20" s="297">
        <v>0.01</v>
      </c>
      <c r="L20" s="297">
        <v>0.01</v>
      </c>
      <c r="M20" s="297">
        <v>0.01</v>
      </c>
      <c r="N20" s="297">
        <v>0.05</v>
      </c>
      <c r="O20" s="297">
        <v>0.1</v>
      </c>
      <c r="P20" s="319" t="s">
        <v>927</v>
      </c>
      <c r="Q20" s="447" t="s">
        <v>928</v>
      </c>
      <c r="R20" s="444" t="s">
        <v>925</v>
      </c>
      <c r="S20" s="292" t="s">
        <v>926</v>
      </c>
      <c r="T20" s="293" t="s">
        <v>814</v>
      </c>
      <c r="U20" s="294">
        <f>AZ20/1100000</f>
        <v>0</v>
      </c>
      <c r="V20" s="295" t="s">
        <v>832</v>
      </c>
      <c r="W20" s="296" t="e">
        <f>U20*0.75-(#REF!+W21)</f>
        <v>#REF!</v>
      </c>
      <c r="X20" s="299" t="s">
        <v>812</v>
      </c>
      <c r="Y20" s="79" t="s">
        <v>813</v>
      </c>
      <c r="AA20" s="260"/>
      <c r="AB20" s="80" t="s">
        <v>814</v>
      </c>
      <c r="AC20" s="81">
        <v>173467000</v>
      </c>
      <c r="AD20" s="325" t="s">
        <v>35</v>
      </c>
      <c r="AE20" s="326">
        <f>SUM(AF20:BB20)</f>
        <v>16625800</v>
      </c>
      <c r="AF20" s="327" t="s">
        <v>794</v>
      </c>
      <c r="AG20" s="328">
        <v>12048969</v>
      </c>
      <c r="AH20" s="328" t="s">
        <v>815</v>
      </c>
      <c r="AI20" s="328">
        <v>4576831</v>
      </c>
      <c r="AJ20" s="328"/>
      <c r="AK20" s="328"/>
      <c r="AL20" s="328"/>
      <c r="AM20" s="328"/>
      <c r="AN20" s="328"/>
      <c r="AO20" s="301"/>
      <c r="AP20" s="301"/>
      <c r="AQ20" s="301"/>
      <c r="AR20" s="301"/>
      <c r="AS20" s="301"/>
      <c r="AT20" s="301"/>
      <c r="AU20" s="301"/>
      <c r="AV20" s="301"/>
      <c r="AW20" s="301"/>
      <c r="AX20" s="301"/>
      <c r="AY20" s="301"/>
      <c r="AZ20" s="301"/>
      <c r="BA20" s="301"/>
      <c r="BB20" s="301"/>
    </row>
    <row r="21" spans="1:61" ht="22.5" customHeight="1" thickBot="1">
      <c r="A21" s="248"/>
      <c r="B21" s="448"/>
      <c r="C21" s="449"/>
      <c r="D21" s="451" t="s">
        <v>919</v>
      </c>
      <c r="E21" s="451" t="s">
        <v>882</v>
      </c>
      <c r="F21" s="451"/>
      <c r="G21" s="451" t="s">
        <v>930</v>
      </c>
      <c r="H21" s="451" t="s">
        <v>930</v>
      </c>
      <c r="I21" s="451" t="s">
        <v>881</v>
      </c>
      <c r="J21" s="451" t="s">
        <v>881</v>
      </c>
      <c r="K21" s="451" t="s">
        <v>931</v>
      </c>
      <c r="L21" s="451" t="s">
        <v>927</v>
      </c>
      <c r="M21" s="451" t="s">
        <v>894</v>
      </c>
      <c r="N21" s="451" t="s">
        <v>932</v>
      </c>
      <c r="O21" s="451" t="s">
        <v>894</v>
      </c>
      <c r="P21" s="321"/>
      <c r="Q21" s="450"/>
      <c r="R21" s="433"/>
      <c r="S21" s="309" t="s">
        <v>929</v>
      </c>
      <c r="T21" s="303" t="s">
        <v>817</v>
      </c>
      <c r="U21" s="304" t="e">
        <f>U20-#REF!</f>
        <v>#REF!</v>
      </c>
      <c r="V21" s="310" t="s">
        <v>818</v>
      </c>
      <c r="W21" s="306" t="e">
        <f>(#REF!+BB21)/1100000</f>
        <v>#REF!</v>
      </c>
      <c r="X21" s="85"/>
      <c r="Y21" s="75"/>
      <c r="AA21" s="261"/>
      <c r="AB21" s="80" t="s">
        <v>817</v>
      </c>
      <c r="AC21" s="81">
        <f>86734000-66000000</f>
        <v>20734000</v>
      </c>
      <c r="AD21" s="82" t="s">
        <v>824</v>
      </c>
      <c r="AE21" s="83"/>
      <c r="BC21" s="68"/>
      <c r="BD21" s="68"/>
      <c r="BE21" s="68"/>
      <c r="BF21" s="68"/>
      <c r="BG21" s="68"/>
      <c r="BH21" s="68"/>
      <c r="BI21" s="68"/>
    </row>
    <row r="22" spans="1:61" s="350" customFormat="1" ht="22.5" customHeight="1" thickBot="1">
      <c r="A22" s="458" t="s">
        <v>933</v>
      </c>
      <c r="B22" s="460">
        <v>0.78</v>
      </c>
      <c r="C22" s="446">
        <f>B22+D22+E22+F22+G22+H22+I22+J22+K22+N22</f>
        <v>1</v>
      </c>
      <c r="D22" s="338">
        <v>0.2</v>
      </c>
      <c r="E22" s="338">
        <v>0.01</v>
      </c>
      <c r="F22" s="338">
        <v>5.0000000000000001E-3</v>
      </c>
      <c r="G22" s="338">
        <v>5.0000000000000001E-3</v>
      </c>
      <c r="H22" s="338">
        <v>0</v>
      </c>
      <c r="I22" s="338">
        <v>0</v>
      </c>
      <c r="J22" s="338">
        <v>0</v>
      </c>
      <c r="K22" s="338">
        <v>0</v>
      </c>
      <c r="L22" s="338"/>
      <c r="M22" s="338"/>
      <c r="N22" s="338"/>
      <c r="O22" s="338">
        <v>0.2</v>
      </c>
      <c r="P22" s="339" t="s">
        <v>936</v>
      </c>
      <c r="Q22" s="461" t="s">
        <v>937</v>
      </c>
      <c r="R22" s="459" t="s">
        <v>934</v>
      </c>
      <c r="S22" s="333" t="s">
        <v>935</v>
      </c>
      <c r="T22" s="334" t="s">
        <v>89</v>
      </c>
      <c r="U22" s="335">
        <f>AZ22/1100000</f>
        <v>0</v>
      </c>
      <c r="V22" s="336" t="s">
        <v>7</v>
      </c>
      <c r="W22" s="337" t="e">
        <f>U22*0.75-(#REF!+W23)</f>
        <v>#REF!</v>
      </c>
      <c r="X22" s="340" t="s">
        <v>90</v>
      </c>
      <c r="Y22" s="341" t="s">
        <v>34</v>
      </c>
      <c r="Z22" s="342"/>
      <c r="AA22" s="462"/>
      <c r="AB22" s="343" t="s">
        <v>89</v>
      </c>
      <c r="AC22" s="344">
        <v>242000000</v>
      </c>
      <c r="AD22" s="345" t="s">
        <v>98</v>
      </c>
      <c r="AE22" s="346">
        <f>SUM(AF22:BB22)</f>
        <v>65000000</v>
      </c>
      <c r="AF22" s="347" t="s">
        <v>56</v>
      </c>
      <c r="AG22" s="348">
        <v>15000000</v>
      </c>
      <c r="AH22" s="348" t="s">
        <v>57</v>
      </c>
      <c r="AI22" s="348">
        <v>50000000</v>
      </c>
      <c r="AJ22" s="348"/>
      <c r="AK22" s="348"/>
      <c r="AL22" s="348"/>
      <c r="AM22" s="348"/>
      <c r="AN22" s="348"/>
      <c r="AO22" s="349"/>
      <c r="AP22" s="349"/>
      <c r="AQ22" s="349"/>
      <c r="AR22" s="349"/>
      <c r="AS22" s="349"/>
      <c r="AT22" s="349"/>
      <c r="AU22" s="349"/>
      <c r="AV22" s="349"/>
      <c r="AW22" s="349"/>
      <c r="AX22" s="349"/>
      <c r="AY22" s="349"/>
      <c r="AZ22" s="349"/>
      <c r="BA22" s="349"/>
      <c r="BB22" s="349"/>
    </row>
    <row r="23" spans="1:61" s="350" customFormat="1" ht="22.5" customHeight="1" thickBot="1">
      <c r="A23" s="463"/>
      <c r="B23" s="464"/>
      <c r="C23" s="449"/>
      <c r="D23" s="467" t="s">
        <v>939</v>
      </c>
      <c r="E23" s="467" t="s">
        <v>939</v>
      </c>
      <c r="F23" s="467"/>
      <c r="G23" s="467" t="s">
        <v>940</v>
      </c>
      <c r="H23" s="467" t="s">
        <v>941</v>
      </c>
      <c r="I23" s="467" t="s">
        <v>936</v>
      </c>
      <c r="J23" s="467"/>
      <c r="K23" s="467"/>
      <c r="L23" s="467"/>
      <c r="M23" s="467"/>
      <c r="N23" s="467"/>
      <c r="O23" s="467" t="s">
        <v>938</v>
      </c>
      <c r="P23" s="356"/>
      <c r="Q23" s="465"/>
      <c r="R23" s="438"/>
      <c r="S23" s="354" t="s">
        <v>67</v>
      </c>
      <c r="T23" s="351" t="s">
        <v>196</v>
      </c>
      <c r="U23" s="352" t="e">
        <f>U22-#REF!</f>
        <v>#REF!</v>
      </c>
      <c r="V23" s="355" t="s">
        <v>15</v>
      </c>
      <c r="W23" s="353" t="e">
        <f>(#REF!+BB23)/1100000</f>
        <v>#REF!</v>
      </c>
      <c r="X23" s="357"/>
      <c r="Y23" s="358"/>
      <c r="Z23" s="342"/>
      <c r="AA23" s="466"/>
      <c r="AB23" s="343" t="s">
        <v>196</v>
      </c>
      <c r="AC23" s="344">
        <v>0</v>
      </c>
      <c r="AD23" s="359" t="s">
        <v>100</v>
      </c>
      <c r="AE23" s="360"/>
      <c r="AF23" s="361"/>
      <c r="AG23" s="361"/>
      <c r="AH23" s="361"/>
      <c r="AI23" s="361"/>
      <c r="AJ23" s="361"/>
      <c r="AK23" s="361"/>
      <c r="AL23" s="361"/>
      <c r="AM23" s="361"/>
      <c r="AN23" s="361"/>
      <c r="AO23" s="361"/>
      <c r="AP23" s="361"/>
      <c r="AQ23" s="361"/>
      <c r="AR23" s="361"/>
      <c r="AS23" s="361"/>
      <c r="AT23" s="361"/>
      <c r="AU23" s="361"/>
      <c r="AV23" s="361"/>
      <c r="AW23" s="361"/>
      <c r="AX23" s="361"/>
      <c r="AY23" s="361"/>
      <c r="AZ23" s="361"/>
      <c r="BA23" s="361"/>
      <c r="BB23" s="361"/>
    </row>
    <row r="24" spans="1:61" ht="22.5" customHeight="1" thickBot="1">
      <c r="A24" s="247" t="s">
        <v>942</v>
      </c>
      <c r="B24" s="445">
        <v>0.17</v>
      </c>
      <c r="C24" s="446">
        <f>B24+D24+E24+F24+G24+H24+I24+J24+K24+N24</f>
        <v>0.52000000000000013</v>
      </c>
      <c r="D24" s="297">
        <v>0.05</v>
      </c>
      <c r="E24" s="297">
        <v>0.05</v>
      </c>
      <c r="F24" s="297">
        <v>0.05</v>
      </c>
      <c r="G24" s="297">
        <v>0.03</v>
      </c>
      <c r="H24" s="297">
        <v>0.03</v>
      </c>
      <c r="I24" s="297">
        <v>0.03</v>
      </c>
      <c r="J24" s="297">
        <v>0.03</v>
      </c>
      <c r="K24" s="297">
        <v>0.03</v>
      </c>
      <c r="L24" s="297">
        <v>0.05</v>
      </c>
      <c r="M24" s="297">
        <v>0.05</v>
      </c>
      <c r="N24" s="297">
        <v>0.05</v>
      </c>
      <c r="O24" s="297">
        <v>0.05</v>
      </c>
      <c r="P24" s="319" t="s">
        <v>888</v>
      </c>
      <c r="Q24" s="447" t="s">
        <v>945</v>
      </c>
      <c r="R24" s="444" t="s">
        <v>943</v>
      </c>
      <c r="S24" s="292" t="s">
        <v>944</v>
      </c>
      <c r="T24" s="293" t="s">
        <v>89</v>
      </c>
      <c r="U24" s="294">
        <f>AZ24/1100000</f>
        <v>0</v>
      </c>
      <c r="V24" s="295" t="s">
        <v>7</v>
      </c>
      <c r="W24" s="296" t="e">
        <f>U24*0.75-(#REF!+W25)</f>
        <v>#REF!</v>
      </c>
      <c r="X24" s="299" t="s">
        <v>90</v>
      </c>
      <c r="Y24" s="79" t="s">
        <v>34</v>
      </c>
      <c r="AA24" s="260"/>
      <c r="AB24" s="80" t="s">
        <v>89</v>
      </c>
      <c r="AC24" s="81">
        <v>1320000000</v>
      </c>
      <c r="AD24" s="325" t="s">
        <v>98</v>
      </c>
      <c r="AE24" s="326">
        <f>SUM(AF24:BB24)</f>
        <v>340000000</v>
      </c>
      <c r="AF24" s="327" t="s">
        <v>852</v>
      </c>
      <c r="AG24" s="328">
        <v>150000000</v>
      </c>
      <c r="AH24" s="328" t="s">
        <v>56</v>
      </c>
      <c r="AI24" s="328">
        <v>80000000</v>
      </c>
      <c r="AJ24" s="328" t="s">
        <v>57</v>
      </c>
      <c r="AK24" s="328">
        <v>60000000</v>
      </c>
      <c r="AL24" s="328" t="s">
        <v>946</v>
      </c>
      <c r="AM24" s="328">
        <v>50000000</v>
      </c>
      <c r="AN24" s="328"/>
      <c r="AO24" s="301"/>
      <c r="AP24" s="301"/>
      <c r="AQ24" s="301"/>
      <c r="AR24" s="301"/>
      <c r="AS24" s="301"/>
      <c r="AT24" s="301"/>
      <c r="AU24" s="301"/>
      <c r="AV24" s="301"/>
      <c r="AW24" s="301"/>
      <c r="AX24" s="301"/>
      <c r="AY24" s="301"/>
      <c r="AZ24" s="301"/>
      <c r="BA24" s="301"/>
      <c r="BB24" s="301"/>
    </row>
    <row r="25" spans="1:61" ht="22.5" customHeight="1" thickBot="1">
      <c r="A25" s="248"/>
      <c r="B25" s="448"/>
      <c r="C25" s="449"/>
      <c r="D25" s="451" t="s">
        <v>948</v>
      </c>
      <c r="E25" s="451" t="s">
        <v>949</v>
      </c>
      <c r="F25" s="451"/>
      <c r="G25" s="451" t="s">
        <v>950</v>
      </c>
      <c r="H25" s="451" t="s">
        <v>950</v>
      </c>
      <c r="I25" s="451" t="s">
        <v>888</v>
      </c>
      <c r="J25" s="451" t="s">
        <v>888</v>
      </c>
      <c r="K25" s="451" t="s">
        <v>888</v>
      </c>
      <c r="L25" s="451" t="s">
        <v>888</v>
      </c>
      <c r="M25" s="451" t="s">
        <v>951</v>
      </c>
      <c r="N25" s="451" t="s">
        <v>888</v>
      </c>
      <c r="O25" s="451" t="s">
        <v>900</v>
      </c>
      <c r="P25" s="321"/>
      <c r="Q25" s="450"/>
      <c r="R25" s="433"/>
      <c r="S25" s="309" t="s">
        <v>67</v>
      </c>
      <c r="T25" s="303" t="s">
        <v>196</v>
      </c>
      <c r="U25" s="304" t="e">
        <f>U24-#REF!</f>
        <v>#REF!</v>
      </c>
      <c r="V25" s="310" t="s">
        <v>15</v>
      </c>
      <c r="W25" s="306" t="e">
        <f>(#REF!+BB25)/1100000</f>
        <v>#REF!</v>
      </c>
      <c r="X25" s="85"/>
      <c r="Y25" s="75"/>
      <c r="AA25" s="261"/>
      <c r="AB25" s="80" t="s">
        <v>196</v>
      </c>
      <c r="AC25" s="81" t="e">
        <f>AC24-#REF!</f>
        <v>#REF!</v>
      </c>
      <c r="AD25" s="82" t="s">
        <v>100</v>
      </c>
      <c r="AE25" s="83"/>
      <c r="BC25" s="68"/>
      <c r="BD25" s="68"/>
      <c r="BE25" s="68"/>
      <c r="BF25" s="68"/>
      <c r="BG25" s="68"/>
      <c r="BH25" s="68"/>
      <c r="BI25" s="68"/>
    </row>
    <row r="26" spans="1:61" ht="22.5" customHeight="1" thickBot="1">
      <c r="A26" s="247" t="s">
        <v>952</v>
      </c>
      <c r="B26" s="445">
        <v>0.17</v>
      </c>
      <c r="C26" s="446">
        <f>B26+D26+E26+F26+G26+H26+I26+J26+K26+N26</f>
        <v>0.38</v>
      </c>
      <c r="D26" s="297">
        <v>0.02</v>
      </c>
      <c r="E26" s="297">
        <v>0.02</v>
      </c>
      <c r="F26" s="297">
        <v>0.02</v>
      </c>
      <c r="G26" s="297">
        <v>0.02</v>
      </c>
      <c r="H26" s="297">
        <v>0.02</v>
      </c>
      <c r="I26" s="297">
        <v>0.02</v>
      </c>
      <c r="J26" s="297">
        <v>0.02</v>
      </c>
      <c r="K26" s="297">
        <v>0.04</v>
      </c>
      <c r="L26" s="297">
        <v>0.04</v>
      </c>
      <c r="M26" s="297">
        <v>0.03</v>
      </c>
      <c r="N26" s="297">
        <v>0.03</v>
      </c>
      <c r="O26" s="297">
        <v>0.02</v>
      </c>
      <c r="P26" s="319" t="s">
        <v>941</v>
      </c>
      <c r="Q26" s="447" t="s">
        <v>953</v>
      </c>
      <c r="R26" s="444" t="s">
        <v>755</v>
      </c>
      <c r="S26" s="292" t="s">
        <v>944</v>
      </c>
      <c r="T26" s="293" t="s">
        <v>89</v>
      </c>
      <c r="U26" s="294">
        <f>AZ26/1100000</f>
        <v>0</v>
      </c>
      <c r="V26" s="295" t="s">
        <v>7</v>
      </c>
      <c r="W26" s="296" t="e">
        <f>U26*0.75-(#REF!+W27)</f>
        <v>#REF!</v>
      </c>
      <c r="X26" s="299" t="s">
        <v>90</v>
      </c>
      <c r="Y26" s="79" t="s">
        <v>34</v>
      </c>
      <c r="AA26" s="260"/>
      <c r="AB26" s="80" t="s">
        <v>89</v>
      </c>
      <c r="AC26" s="81">
        <v>1320000000</v>
      </c>
      <c r="AD26" s="325" t="s">
        <v>98</v>
      </c>
      <c r="AE26" s="326">
        <f>SUM(AF26:BB26)</f>
        <v>340000000</v>
      </c>
      <c r="AF26" s="327" t="s">
        <v>852</v>
      </c>
      <c r="AG26" s="328">
        <v>150000000</v>
      </c>
      <c r="AH26" s="328" t="s">
        <v>56</v>
      </c>
      <c r="AI26" s="328">
        <v>80000000</v>
      </c>
      <c r="AJ26" s="328" t="s">
        <v>57</v>
      </c>
      <c r="AK26" s="328">
        <v>60000000</v>
      </c>
      <c r="AL26" s="328" t="s">
        <v>946</v>
      </c>
      <c r="AM26" s="328">
        <v>50000000</v>
      </c>
      <c r="AN26" s="328"/>
      <c r="AO26" s="301"/>
      <c r="AP26" s="301"/>
      <c r="AQ26" s="301"/>
      <c r="AR26" s="301"/>
      <c r="AS26" s="301"/>
      <c r="AT26" s="301"/>
      <c r="AU26" s="301"/>
      <c r="AV26" s="301"/>
      <c r="AW26" s="301"/>
      <c r="AX26" s="301"/>
      <c r="AY26" s="301"/>
      <c r="AZ26" s="301"/>
      <c r="BA26" s="301"/>
      <c r="BB26" s="301"/>
    </row>
    <row r="27" spans="1:61" ht="22.5" customHeight="1" thickBot="1">
      <c r="A27" s="248"/>
      <c r="B27" s="448"/>
      <c r="C27" s="449"/>
      <c r="D27" s="451" t="s">
        <v>951</v>
      </c>
      <c r="E27" s="451" t="s">
        <v>951</v>
      </c>
      <c r="F27" s="451"/>
      <c r="G27" s="451" t="s">
        <v>954</v>
      </c>
      <c r="H27" s="451" t="s">
        <v>955</v>
      </c>
      <c r="I27" s="451" t="s">
        <v>956</v>
      </c>
      <c r="J27" s="451" t="s">
        <v>957</v>
      </c>
      <c r="K27" s="451" t="s">
        <v>958</v>
      </c>
      <c r="L27" s="451" t="s">
        <v>957</v>
      </c>
      <c r="M27" s="451" t="s">
        <v>888</v>
      </c>
      <c r="N27" s="451" t="s">
        <v>888</v>
      </c>
      <c r="O27" s="451" t="s">
        <v>951</v>
      </c>
      <c r="P27" s="321"/>
      <c r="Q27" s="450"/>
      <c r="R27" s="433"/>
      <c r="S27" s="309" t="s">
        <v>67</v>
      </c>
      <c r="T27" s="303" t="s">
        <v>196</v>
      </c>
      <c r="U27" s="304" t="e">
        <f>U26-#REF!</f>
        <v>#REF!</v>
      </c>
      <c r="V27" s="310" t="s">
        <v>15</v>
      </c>
      <c r="W27" s="306" t="e">
        <f>(#REF!+BB27)/1100000</f>
        <v>#REF!</v>
      </c>
      <c r="X27" s="85"/>
      <c r="Y27" s="75"/>
      <c r="AA27" s="261"/>
      <c r="AB27" s="80" t="s">
        <v>196</v>
      </c>
      <c r="AC27" s="81" t="e">
        <f>AC26-#REF!</f>
        <v>#REF!</v>
      </c>
      <c r="AD27" s="82" t="s">
        <v>100</v>
      </c>
      <c r="AE27" s="83"/>
      <c r="BC27" s="68"/>
      <c r="BD27" s="68"/>
      <c r="BE27" s="68"/>
      <c r="BF27" s="68"/>
      <c r="BG27" s="68"/>
      <c r="BH27" s="68"/>
      <c r="BI27" s="68"/>
    </row>
    <row r="28" spans="1:61" ht="22.5" customHeight="1" thickBot="1">
      <c r="A28" s="247" t="s">
        <v>959</v>
      </c>
      <c r="B28" s="445">
        <v>0.01</v>
      </c>
      <c r="C28" s="446">
        <f>B28+D28+E28+F28+G28+H28+I28+J28+K28+N28</f>
        <v>0.36</v>
      </c>
      <c r="D28" s="297">
        <v>0.01</v>
      </c>
      <c r="E28" s="297">
        <v>0.03</v>
      </c>
      <c r="F28" s="297">
        <v>0.03</v>
      </c>
      <c r="G28" s="297">
        <v>0.03</v>
      </c>
      <c r="H28" s="297">
        <v>0.05</v>
      </c>
      <c r="I28" s="297">
        <v>0.05</v>
      </c>
      <c r="J28" s="297">
        <v>0.05</v>
      </c>
      <c r="K28" s="297">
        <v>0.05</v>
      </c>
      <c r="L28" s="297">
        <v>0.05</v>
      </c>
      <c r="M28" s="297">
        <v>0.05</v>
      </c>
      <c r="N28" s="297">
        <v>0.05</v>
      </c>
      <c r="O28" s="297">
        <v>0.01</v>
      </c>
      <c r="P28" s="319" t="s">
        <v>941</v>
      </c>
      <c r="Q28" s="447" t="s">
        <v>961</v>
      </c>
      <c r="R28" s="444" t="s">
        <v>960</v>
      </c>
      <c r="S28" s="292" t="s">
        <v>475</v>
      </c>
      <c r="T28" s="293" t="s">
        <v>89</v>
      </c>
      <c r="U28" s="294">
        <f>AZ28/1100000</f>
        <v>0</v>
      </c>
      <c r="V28" s="295" t="s">
        <v>7</v>
      </c>
      <c r="W28" s="296" t="e">
        <f>U28*0.75-(#REF!+W29)</f>
        <v>#REF!</v>
      </c>
      <c r="X28" s="299" t="s">
        <v>90</v>
      </c>
      <c r="Y28" s="79" t="s">
        <v>34</v>
      </c>
      <c r="AA28" s="260"/>
      <c r="AB28" s="80" t="s">
        <v>89</v>
      </c>
      <c r="AC28" s="81">
        <f>1375000000+463100000</f>
        <v>1838100000</v>
      </c>
      <c r="AD28" s="325" t="s">
        <v>98</v>
      </c>
      <c r="AE28" s="326">
        <f>SUM(AF28:BB28)</f>
        <v>340000000</v>
      </c>
      <c r="AF28" s="327" t="s">
        <v>852</v>
      </c>
      <c r="AG28" s="328">
        <v>150000000</v>
      </c>
      <c r="AH28" s="328" t="s">
        <v>56</v>
      </c>
      <c r="AI28" s="328">
        <v>80000000</v>
      </c>
      <c r="AJ28" s="328" t="s">
        <v>57</v>
      </c>
      <c r="AK28" s="328">
        <v>60000000</v>
      </c>
      <c r="AL28" s="328" t="s">
        <v>946</v>
      </c>
      <c r="AM28" s="328">
        <v>50000000</v>
      </c>
      <c r="AN28" s="328"/>
      <c r="AO28" s="301"/>
      <c r="AP28" s="301"/>
      <c r="AQ28" s="301"/>
      <c r="AR28" s="301"/>
      <c r="AS28" s="301"/>
      <c r="AT28" s="301"/>
      <c r="AU28" s="301"/>
      <c r="AV28" s="301"/>
      <c r="AW28" s="301"/>
      <c r="AX28" s="301"/>
      <c r="AY28" s="301"/>
      <c r="AZ28" s="301"/>
      <c r="BA28" s="301"/>
      <c r="BB28" s="301"/>
    </row>
    <row r="29" spans="1:61" ht="22.5" customHeight="1" thickBot="1">
      <c r="A29" s="248"/>
      <c r="B29" s="448"/>
      <c r="C29" s="449"/>
      <c r="D29" s="451" t="s">
        <v>962</v>
      </c>
      <c r="E29" s="451" t="s">
        <v>962</v>
      </c>
      <c r="F29" s="451"/>
      <c r="G29" s="451" t="s">
        <v>963</v>
      </c>
      <c r="H29" s="451" t="s">
        <v>963</v>
      </c>
      <c r="I29" s="451" t="s">
        <v>964</v>
      </c>
      <c r="J29" s="451" t="s">
        <v>965</v>
      </c>
      <c r="K29" s="451" t="s">
        <v>965</v>
      </c>
      <c r="L29" s="451" t="s">
        <v>965</v>
      </c>
      <c r="M29" s="451" t="s">
        <v>965</v>
      </c>
      <c r="N29" s="451" t="s">
        <v>966</v>
      </c>
      <c r="O29" s="451" t="s">
        <v>888</v>
      </c>
      <c r="P29" s="321"/>
      <c r="Q29" s="450"/>
      <c r="R29" s="433"/>
      <c r="S29" s="309" t="s">
        <v>67</v>
      </c>
      <c r="T29" s="303" t="s">
        <v>196</v>
      </c>
      <c r="U29" s="304" t="e">
        <f>U28-#REF!</f>
        <v>#REF!</v>
      </c>
      <c r="V29" s="310" t="s">
        <v>15</v>
      </c>
      <c r="W29" s="306" t="e">
        <f>(#REF!+BB29)/1100000</f>
        <v>#REF!</v>
      </c>
      <c r="X29" s="85"/>
      <c r="Y29" s="75"/>
      <c r="AA29" s="261"/>
      <c r="AB29" s="80" t="s">
        <v>196</v>
      </c>
      <c r="AC29" s="81" t="e">
        <f>AC28-#REF!</f>
        <v>#REF!</v>
      </c>
      <c r="AD29" s="82" t="s">
        <v>100</v>
      </c>
      <c r="AE29" s="83"/>
      <c r="BC29" s="68"/>
      <c r="BD29" s="68"/>
      <c r="BE29" s="68"/>
      <c r="BF29" s="68"/>
      <c r="BG29" s="68"/>
      <c r="BH29" s="68"/>
      <c r="BI29" s="68"/>
    </row>
    <row r="30" spans="1:61" ht="22.5" customHeight="1">
      <c r="A30" s="247" t="s">
        <v>967</v>
      </c>
      <c r="B30" s="445">
        <v>0.01</v>
      </c>
      <c r="C30" s="446">
        <f>B30+D30+E30+F30+G30+H30+I30+J30+K30+N30</f>
        <v>0.16999999999999998</v>
      </c>
      <c r="D30" s="297">
        <v>0.01</v>
      </c>
      <c r="E30" s="297">
        <v>0.03</v>
      </c>
      <c r="F30" s="297">
        <v>0.03</v>
      </c>
      <c r="G30" s="297">
        <v>0.02</v>
      </c>
      <c r="H30" s="297">
        <v>0.01</v>
      </c>
      <c r="I30" s="297">
        <v>0</v>
      </c>
      <c r="J30" s="297">
        <v>0.01</v>
      </c>
      <c r="K30" s="297">
        <v>0</v>
      </c>
      <c r="L30" s="297">
        <v>0.05</v>
      </c>
      <c r="M30" s="297">
        <v>0.05</v>
      </c>
      <c r="N30" s="297">
        <v>0.05</v>
      </c>
      <c r="O30" s="297">
        <v>0.01</v>
      </c>
      <c r="P30" s="319" t="s">
        <v>941</v>
      </c>
      <c r="Q30" s="447" t="s">
        <v>970</v>
      </c>
      <c r="R30" s="444" t="s">
        <v>968</v>
      </c>
      <c r="S30" s="292" t="s">
        <v>969</v>
      </c>
      <c r="T30" s="293" t="s">
        <v>89</v>
      </c>
      <c r="U30" s="294">
        <f>AZ30/1100000</f>
        <v>0</v>
      </c>
      <c r="V30" s="295" t="s">
        <v>7</v>
      </c>
      <c r="W30" s="296">
        <f>U30*0.75-(W31+W32)</f>
        <v>0</v>
      </c>
      <c r="X30" s="299" t="s">
        <v>90</v>
      </c>
      <c r="Y30" s="79" t="s">
        <v>34</v>
      </c>
      <c r="AA30" s="260"/>
      <c r="AB30" s="80" t="s">
        <v>89</v>
      </c>
      <c r="AC30" s="81">
        <v>605000000</v>
      </c>
      <c r="AD30" s="325" t="s">
        <v>98</v>
      </c>
      <c r="AE30" s="326">
        <f>SUM(AF30:BB30)</f>
        <v>150000000</v>
      </c>
      <c r="AF30" s="327" t="s">
        <v>852</v>
      </c>
      <c r="AG30" s="328">
        <v>60000000</v>
      </c>
      <c r="AH30" s="328" t="s">
        <v>56</v>
      </c>
      <c r="AI30" s="328">
        <v>20000000</v>
      </c>
      <c r="AJ30" s="328" t="s">
        <v>57</v>
      </c>
      <c r="AK30" s="328">
        <v>20000000</v>
      </c>
      <c r="AL30" s="328" t="s">
        <v>946</v>
      </c>
      <c r="AM30" s="328">
        <v>50000000</v>
      </c>
      <c r="AN30" s="328"/>
      <c r="AO30" s="301"/>
      <c r="AP30" s="301"/>
      <c r="AQ30" s="301"/>
      <c r="AR30" s="301"/>
      <c r="AS30" s="301"/>
      <c r="AT30" s="301"/>
      <c r="AU30" s="301"/>
      <c r="AV30" s="301"/>
      <c r="AW30" s="301"/>
      <c r="AX30" s="301"/>
      <c r="AY30" s="301"/>
      <c r="AZ30" s="301"/>
      <c r="BA30" s="301"/>
      <c r="BB30" s="301"/>
    </row>
    <row r="31" spans="1:61" ht="22.5" customHeight="1" thickBot="1">
      <c r="A31" s="248"/>
      <c r="B31" s="448"/>
      <c r="C31" s="449"/>
      <c r="D31" s="307" t="e">
        <f>#REF!*D30</f>
        <v>#REF!</v>
      </c>
      <c r="E31" s="307" t="e">
        <f>#REF!*E30</f>
        <v>#REF!</v>
      </c>
      <c r="F31" s="307" t="e">
        <f>#REF!*F30</f>
        <v>#REF!</v>
      </c>
      <c r="G31" s="307" t="e">
        <f>#REF!*G30</f>
        <v>#REF!</v>
      </c>
      <c r="H31" s="307" t="e">
        <f>#REF!*H30</f>
        <v>#REF!</v>
      </c>
      <c r="I31" s="307" t="e">
        <f>#REF!*I30</f>
        <v>#REF!</v>
      </c>
      <c r="J31" s="307" t="e">
        <f>#REF!*J30</f>
        <v>#REF!</v>
      </c>
      <c r="K31" s="307" t="e">
        <f>#REF!*K30</f>
        <v>#REF!</v>
      </c>
      <c r="L31" s="307" t="e">
        <f>#REF!*L30</f>
        <v>#REF!</v>
      </c>
      <c r="M31" s="307" t="e">
        <f>#REF!*M30</f>
        <v>#REF!</v>
      </c>
      <c r="N31" s="307" t="e">
        <f>#REF!*N30</f>
        <v>#REF!</v>
      </c>
      <c r="O31" s="307" t="e">
        <f>#REF!*O30</f>
        <v>#REF!</v>
      </c>
      <c r="P31" s="320"/>
      <c r="Q31" s="450"/>
      <c r="R31" s="433"/>
      <c r="S31" s="302" t="s">
        <v>876</v>
      </c>
      <c r="T31" s="303" t="s">
        <v>10</v>
      </c>
      <c r="U31" s="304">
        <f>AZ31/1100000</f>
        <v>0</v>
      </c>
      <c r="V31" s="305" t="s">
        <v>104</v>
      </c>
      <c r="W31" s="306">
        <f>BB30/1000000</f>
        <v>0</v>
      </c>
      <c r="X31" s="308" t="e">
        <f>(C30-B30)*#REF!</f>
        <v>#REF!</v>
      </c>
      <c r="Y31" s="84" t="e">
        <f>(1-C30)*#REF!</f>
        <v>#REF!</v>
      </c>
      <c r="Z31" s="285" t="e">
        <f>D31-X31</f>
        <v>#REF!</v>
      </c>
      <c r="AA31" s="261"/>
      <c r="AB31" s="80" t="s">
        <v>10</v>
      </c>
      <c r="AC31" s="81">
        <v>165000000</v>
      </c>
      <c r="AD31" s="325" t="s">
        <v>95</v>
      </c>
      <c r="AE31" s="326">
        <f>SUM(AF31:BB31)</f>
        <v>90000000</v>
      </c>
      <c r="AF31" s="327" t="s">
        <v>947</v>
      </c>
      <c r="AG31" s="328">
        <v>50000000</v>
      </c>
      <c r="AH31" s="328" t="s">
        <v>12</v>
      </c>
      <c r="AI31" s="328">
        <v>20000000</v>
      </c>
      <c r="AJ31" s="328"/>
      <c r="AK31" s="328"/>
      <c r="AL31" s="328" t="s">
        <v>47</v>
      </c>
      <c r="AM31" s="328">
        <v>20000000</v>
      </c>
      <c r="AN31" s="328"/>
      <c r="AO31" s="301"/>
      <c r="AP31" s="301"/>
      <c r="AQ31" s="301"/>
      <c r="AR31" s="301"/>
      <c r="AS31" s="301"/>
      <c r="AT31" s="301"/>
      <c r="AU31" s="301"/>
      <c r="AV31" s="301"/>
      <c r="AW31" s="301"/>
      <c r="AX31" s="301"/>
      <c r="AY31" s="301"/>
      <c r="AZ31" s="301"/>
      <c r="BA31" s="301"/>
      <c r="BB31" s="301"/>
      <c r="BC31" s="68"/>
      <c r="BD31" s="68"/>
      <c r="BE31" s="68"/>
      <c r="BF31" s="68"/>
      <c r="BG31" s="68"/>
      <c r="BH31" s="68"/>
      <c r="BI31" s="68"/>
    </row>
    <row r="32" spans="1:61" ht="22.5" customHeight="1">
      <c r="A32" s="248"/>
      <c r="B32" s="448"/>
      <c r="C32" s="449"/>
      <c r="D32" s="451" t="s">
        <v>971</v>
      </c>
      <c r="E32" s="451" t="s">
        <v>951</v>
      </c>
      <c r="F32" s="451"/>
      <c r="G32" s="451" t="s">
        <v>950</v>
      </c>
      <c r="H32" s="451" t="s">
        <v>972</v>
      </c>
      <c r="I32" s="451" t="s">
        <v>806</v>
      </c>
      <c r="J32" s="451" t="s">
        <v>973</v>
      </c>
      <c r="K32" s="451" t="s">
        <v>806</v>
      </c>
      <c r="L32" s="451" t="s">
        <v>951</v>
      </c>
      <c r="M32" s="451" t="s">
        <v>951</v>
      </c>
      <c r="N32" s="451" t="s">
        <v>951</v>
      </c>
      <c r="O32" s="451" t="s">
        <v>888</v>
      </c>
      <c r="P32" s="321"/>
      <c r="Q32" s="450"/>
      <c r="R32" s="433"/>
      <c r="S32" s="309" t="s">
        <v>67</v>
      </c>
      <c r="T32" s="303" t="s">
        <v>196</v>
      </c>
      <c r="U32" s="304">
        <f>U30-U31</f>
        <v>0</v>
      </c>
      <c r="V32" s="310" t="s">
        <v>15</v>
      </c>
      <c r="W32" s="306">
        <f>(BB31+BB32)/1100000</f>
        <v>0</v>
      </c>
      <c r="X32" s="85"/>
      <c r="Y32" s="75"/>
      <c r="AA32" s="261"/>
      <c r="AB32" s="80" t="s">
        <v>196</v>
      </c>
      <c r="AC32" s="81">
        <f>AC30-AC31</f>
        <v>440000000</v>
      </c>
      <c r="AD32" s="82" t="s">
        <v>100</v>
      </c>
      <c r="AE32" s="83"/>
      <c r="BC32" s="68"/>
      <c r="BD32" s="68"/>
      <c r="BE32" s="68"/>
      <c r="BF32" s="68"/>
      <c r="BG32" s="68"/>
      <c r="BH32" s="68"/>
      <c r="BI32" s="68"/>
    </row>
    <row r="33" spans="1:61" ht="22.5" customHeight="1" thickBot="1">
      <c r="A33" s="249"/>
      <c r="B33" s="452"/>
      <c r="C33" s="453"/>
      <c r="D33" s="454"/>
      <c r="E33" s="454"/>
      <c r="F33" s="454"/>
      <c r="G33" s="454"/>
      <c r="H33" s="454"/>
      <c r="I33" s="454"/>
      <c r="J33" s="454"/>
      <c r="K33" s="454"/>
      <c r="L33" s="454"/>
      <c r="M33" s="454"/>
      <c r="N33" s="454"/>
      <c r="O33" s="454"/>
      <c r="P33" s="316" t="e">
        <f>(C30-#REF!)*#REF!</f>
        <v>#REF!</v>
      </c>
      <c r="Q33" s="455"/>
      <c r="R33" s="312" t="s">
        <v>974</v>
      </c>
      <c r="S33" s="313" t="s">
        <v>75</v>
      </c>
      <c r="T33" s="314" t="s">
        <v>17</v>
      </c>
      <c r="U33" s="315" t="e">
        <f>U31/U30</f>
        <v>#DIV/0!</v>
      </c>
      <c r="V33" s="314" t="s">
        <v>88</v>
      </c>
      <c r="W33" s="315" t="e">
        <f>(U30-(W31+W32)/0.7)/U30</f>
        <v>#DIV/0!</v>
      </c>
      <c r="X33" s="86"/>
      <c r="Y33" s="71"/>
      <c r="Z33" s="317"/>
      <c r="AA33" s="262"/>
      <c r="AB33" s="80"/>
      <c r="AC33" s="87">
        <f>AC31/AC30</f>
        <v>0.27272727272727271</v>
      </c>
      <c r="AD33" s="88" t="s">
        <v>103</v>
      </c>
      <c r="AE33" s="318">
        <f>SUM(AE30:AE32)</f>
        <v>240000000</v>
      </c>
    </row>
    <row r="34" spans="1:61" s="375" customFormat="1" ht="22.5" customHeight="1" thickBot="1">
      <c r="A34" s="468" t="s">
        <v>975</v>
      </c>
      <c r="B34" s="446">
        <v>0.01</v>
      </c>
      <c r="C34" s="446">
        <f>B34+D34+E34+F34+G34+H34+I34+J34+K34+N34</f>
        <v>0.97000000000000008</v>
      </c>
      <c r="D34" s="367"/>
      <c r="E34" s="367">
        <v>0.01</v>
      </c>
      <c r="F34" s="367">
        <v>0.1</v>
      </c>
      <c r="G34" s="367">
        <v>0.1</v>
      </c>
      <c r="H34" s="367">
        <v>0.1</v>
      </c>
      <c r="I34" s="367">
        <v>0.3</v>
      </c>
      <c r="J34" s="367">
        <v>0.2</v>
      </c>
      <c r="K34" s="367">
        <v>0.15</v>
      </c>
      <c r="L34" s="367">
        <v>0.03</v>
      </c>
      <c r="M34" s="367"/>
      <c r="N34" s="367"/>
      <c r="O34" s="367">
        <v>0.01</v>
      </c>
      <c r="P34" s="368" t="s">
        <v>978</v>
      </c>
      <c r="Q34" s="470" t="s">
        <v>979</v>
      </c>
      <c r="R34" s="469" t="s">
        <v>976</v>
      </c>
      <c r="S34" s="362" t="s">
        <v>977</v>
      </c>
      <c r="T34" s="363" t="s">
        <v>89</v>
      </c>
      <c r="U34" s="364">
        <f>AZ34/1100000</f>
        <v>0</v>
      </c>
      <c r="V34" s="365" t="s">
        <v>7</v>
      </c>
      <c r="W34" s="366" t="e">
        <f>U34*0.75-(#REF!+W35)</f>
        <v>#REF!</v>
      </c>
      <c r="X34" s="299" t="s">
        <v>90</v>
      </c>
      <c r="Y34" s="369" t="s">
        <v>34</v>
      </c>
      <c r="Z34" s="370"/>
      <c r="AA34" s="471"/>
      <c r="AB34" s="371" t="s">
        <v>89</v>
      </c>
      <c r="AC34" s="372">
        <v>22500000</v>
      </c>
      <c r="AD34" s="373" t="s">
        <v>98</v>
      </c>
      <c r="AE34" s="374"/>
      <c r="AF34" s="327"/>
      <c r="AG34" s="328"/>
      <c r="AH34" s="328" t="s">
        <v>56</v>
      </c>
      <c r="AI34" s="328">
        <v>8000000</v>
      </c>
      <c r="AJ34" s="328" t="s">
        <v>57</v>
      </c>
      <c r="AK34" s="328"/>
      <c r="AL34" s="328" t="s">
        <v>946</v>
      </c>
      <c r="AM34" s="328"/>
      <c r="AN34" s="328"/>
      <c r="AO34" s="301"/>
      <c r="AP34" s="301"/>
      <c r="AQ34" s="301"/>
      <c r="AR34" s="301"/>
      <c r="AS34" s="301"/>
      <c r="AT34" s="301"/>
      <c r="AU34" s="301"/>
      <c r="AV34" s="301"/>
      <c r="AW34" s="301"/>
      <c r="AX34" s="301"/>
      <c r="AY34" s="301"/>
      <c r="AZ34" s="301"/>
      <c r="BA34" s="301"/>
      <c r="BB34" s="301"/>
    </row>
    <row r="35" spans="1:61" s="375" customFormat="1" ht="22.5" customHeight="1" thickBot="1">
      <c r="A35" s="472"/>
      <c r="B35" s="449"/>
      <c r="C35" s="449"/>
      <c r="D35" s="476"/>
      <c r="E35" s="476" t="s">
        <v>971</v>
      </c>
      <c r="F35" s="476"/>
      <c r="G35" s="476" t="s">
        <v>950</v>
      </c>
      <c r="H35" s="476" t="s">
        <v>954</v>
      </c>
      <c r="I35" s="476" t="s">
        <v>980</v>
      </c>
      <c r="J35" s="476" t="s">
        <v>978</v>
      </c>
      <c r="K35" s="476" t="s">
        <v>981</v>
      </c>
      <c r="L35" s="476" t="s">
        <v>982</v>
      </c>
      <c r="M35" s="476"/>
      <c r="N35" s="476"/>
      <c r="O35" s="476" t="s">
        <v>888</v>
      </c>
      <c r="P35" s="381"/>
      <c r="Q35" s="474"/>
      <c r="R35" s="473"/>
      <c r="S35" s="379" t="s">
        <v>67</v>
      </c>
      <c r="T35" s="376" t="s">
        <v>196</v>
      </c>
      <c r="U35" s="377" t="e">
        <f>U34-#REF!</f>
        <v>#REF!</v>
      </c>
      <c r="V35" s="380" t="s">
        <v>15</v>
      </c>
      <c r="W35" s="378" t="e">
        <f>(#REF!+BB35)/1100000</f>
        <v>#REF!</v>
      </c>
      <c r="X35" s="382"/>
      <c r="Y35" s="383"/>
      <c r="Z35" s="370"/>
      <c r="AA35" s="475"/>
      <c r="AB35" s="371" t="s">
        <v>196</v>
      </c>
      <c r="AC35" s="372">
        <v>30000000</v>
      </c>
      <c r="AD35" s="384" t="s">
        <v>100</v>
      </c>
      <c r="AE35" s="92"/>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row>
    <row r="36" spans="1:61" ht="22.5" customHeight="1" thickBot="1">
      <c r="A36" s="247" t="s">
        <v>983</v>
      </c>
      <c r="B36" s="445"/>
      <c r="C36" s="446">
        <f>B36+D36+E36+F36+G36+H36+I36+J36+K36+N36</f>
        <v>0.25</v>
      </c>
      <c r="D36" s="297"/>
      <c r="E36" s="297"/>
      <c r="F36" s="297"/>
      <c r="G36" s="297">
        <v>0.1</v>
      </c>
      <c r="H36" s="297">
        <v>0.1</v>
      </c>
      <c r="I36" s="297">
        <v>0.05</v>
      </c>
      <c r="J36" s="297">
        <v>0</v>
      </c>
      <c r="K36" s="297">
        <v>0</v>
      </c>
      <c r="L36" s="297">
        <v>0</v>
      </c>
      <c r="M36" s="297">
        <v>0</v>
      </c>
      <c r="N36" s="297">
        <v>0</v>
      </c>
      <c r="O36" s="297">
        <v>0.01</v>
      </c>
      <c r="P36" s="319" t="s">
        <v>986</v>
      </c>
      <c r="Q36" s="447" t="s">
        <v>987</v>
      </c>
      <c r="R36" s="444" t="s">
        <v>984</v>
      </c>
      <c r="S36" s="386" t="s">
        <v>985</v>
      </c>
      <c r="T36" s="293" t="s">
        <v>814</v>
      </c>
      <c r="U36" s="294">
        <f>AZ36/1100000</f>
        <v>0</v>
      </c>
      <c r="V36" s="295" t="s">
        <v>832</v>
      </c>
      <c r="W36" s="296" t="e">
        <f>U36*0.75-(#REF!+W37)</f>
        <v>#REF!</v>
      </c>
      <c r="X36" s="299" t="s">
        <v>812</v>
      </c>
      <c r="Y36" s="79" t="s">
        <v>813</v>
      </c>
      <c r="AA36" s="260"/>
      <c r="AB36" s="80" t="s">
        <v>814</v>
      </c>
      <c r="AC36" s="81">
        <v>19570000</v>
      </c>
      <c r="AD36" s="325" t="s">
        <v>35</v>
      </c>
      <c r="AE36" s="326"/>
      <c r="AF36" s="327"/>
      <c r="AG36" s="328"/>
      <c r="AH36" s="328" t="s">
        <v>815</v>
      </c>
      <c r="AI36" s="328">
        <v>8000000</v>
      </c>
      <c r="AJ36" s="328" t="s">
        <v>853</v>
      </c>
      <c r="AK36" s="328"/>
      <c r="AL36" s="328" t="s">
        <v>988</v>
      </c>
      <c r="AM36" s="328"/>
      <c r="AN36" s="328"/>
      <c r="AO36" s="301"/>
      <c r="AP36" s="301"/>
      <c r="AQ36" s="301"/>
      <c r="AR36" s="301"/>
      <c r="AS36" s="301"/>
      <c r="AT36" s="301"/>
      <c r="AU36" s="301"/>
      <c r="AV36" s="301"/>
      <c r="AW36" s="301"/>
      <c r="AX36" s="301"/>
      <c r="AY36" s="301"/>
      <c r="AZ36" s="301"/>
      <c r="BA36" s="301"/>
      <c r="BB36" s="301"/>
    </row>
    <row r="37" spans="1:61" ht="22.5" customHeight="1" thickBot="1">
      <c r="A37" s="248"/>
      <c r="B37" s="448"/>
      <c r="C37" s="449"/>
      <c r="D37" s="451"/>
      <c r="E37" s="451" t="s">
        <v>989</v>
      </c>
      <c r="F37" s="451"/>
      <c r="G37" s="451" t="s">
        <v>894</v>
      </c>
      <c r="H37" s="451" t="s">
        <v>990</v>
      </c>
      <c r="I37" s="451" t="s">
        <v>986</v>
      </c>
      <c r="J37" s="451" t="s">
        <v>986</v>
      </c>
      <c r="K37" s="451" t="s">
        <v>821</v>
      </c>
      <c r="L37" s="451" t="s">
        <v>821</v>
      </c>
      <c r="M37" s="451" t="s">
        <v>821</v>
      </c>
      <c r="N37" s="451" t="s">
        <v>821</v>
      </c>
      <c r="O37" s="451" t="s">
        <v>881</v>
      </c>
      <c r="P37" s="321"/>
      <c r="Q37" s="450"/>
      <c r="R37" s="433"/>
      <c r="S37" s="309" t="s">
        <v>816</v>
      </c>
      <c r="T37" s="303" t="s">
        <v>817</v>
      </c>
      <c r="U37" s="304" t="e">
        <f>U36-#REF!</f>
        <v>#REF!</v>
      </c>
      <c r="V37" s="310" t="s">
        <v>818</v>
      </c>
      <c r="W37" s="306" t="e">
        <f>(#REF!+BB37)/1100000</f>
        <v>#REF!</v>
      </c>
      <c r="X37" s="85"/>
      <c r="Y37" s="75"/>
      <c r="AA37" s="261"/>
      <c r="AB37" s="80" t="s">
        <v>817</v>
      </c>
      <c r="AC37" s="81" t="e">
        <f>AC36-#REF!</f>
        <v>#REF!</v>
      </c>
      <c r="AD37" s="82" t="s">
        <v>824</v>
      </c>
      <c r="AE37" s="83"/>
      <c r="BC37" s="68"/>
      <c r="BD37" s="68"/>
      <c r="BE37" s="68"/>
      <c r="BF37" s="68"/>
      <c r="BG37" s="68"/>
      <c r="BH37" s="68"/>
      <c r="BI37" s="68"/>
    </row>
    <row r="38" spans="1:61" ht="22.5" customHeight="1" thickBot="1">
      <c r="A38" s="247" t="s">
        <v>992</v>
      </c>
      <c r="B38" s="445"/>
      <c r="C38" s="446">
        <f>B38+D38+E38+F38+G38+H38+I38+J38+K38+N38</f>
        <v>0.24</v>
      </c>
      <c r="D38" s="297"/>
      <c r="E38" s="297"/>
      <c r="F38" s="297"/>
      <c r="G38" s="297"/>
      <c r="H38" s="297"/>
      <c r="I38" s="297">
        <v>0.02</v>
      </c>
      <c r="J38" s="297">
        <v>0.02</v>
      </c>
      <c r="K38" s="297">
        <v>0.05</v>
      </c>
      <c r="L38" s="297">
        <v>0.05</v>
      </c>
      <c r="M38" s="297">
        <v>0.05</v>
      </c>
      <c r="N38" s="297">
        <v>0.15</v>
      </c>
      <c r="O38" s="297">
        <v>0.01</v>
      </c>
      <c r="P38" s="319" t="s">
        <v>881</v>
      </c>
      <c r="Q38" s="447" t="s">
        <v>995</v>
      </c>
      <c r="R38" s="444" t="s">
        <v>993</v>
      </c>
      <c r="S38" s="386" t="s">
        <v>994</v>
      </c>
      <c r="T38" s="293" t="s">
        <v>814</v>
      </c>
      <c r="U38" s="294">
        <f>AZ38/1100000</f>
        <v>0</v>
      </c>
      <c r="V38" s="295" t="s">
        <v>832</v>
      </c>
      <c r="W38" s="296" t="e">
        <f>U38*0.75-(#REF!+W39)</f>
        <v>#REF!</v>
      </c>
      <c r="X38" s="299" t="s">
        <v>812</v>
      </c>
      <c r="Y38" s="79" t="s">
        <v>813</v>
      </c>
      <c r="AA38" s="260"/>
      <c r="AB38" s="80" t="s">
        <v>814</v>
      </c>
      <c r="AC38" s="81">
        <v>92228000</v>
      </c>
      <c r="AD38" s="325" t="s">
        <v>35</v>
      </c>
      <c r="AE38" s="326"/>
      <c r="AF38" s="327"/>
      <c r="AG38" s="328"/>
      <c r="AH38" s="328" t="s">
        <v>815</v>
      </c>
      <c r="AI38" s="328">
        <v>8000000</v>
      </c>
      <c r="AJ38" s="328" t="s">
        <v>853</v>
      </c>
      <c r="AK38" s="328"/>
      <c r="AL38" s="328" t="s">
        <v>988</v>
      </c>
      <c r="AM38" s="328"/>
      <c r="AN38" s="328"/>
      <c r="AO38" s="301"/>
      <c r="AP38" s="301"/>
      <c r="AQ38" s="301"/>
      <c r="AR38" s="301"/>
      <c r="AS38" s="301"/>
      <c r="AT38" s="301"/>
      <c r="AU38" s="301"/>
      <c r="AV38" s="301"/>
      <c r="AW38" s="301"/>
      <c r="AX38" s="301"/>
      <c r="AY38" s="301"/>
      <c r="AZ38" s="301"/>
      <c r="BA38" s="301"/>
      <c r="BB38" s="301"/>
    </row>
    <row r="39" spans="1:61" ht="22.5" customHeight="1" thickBot="1">
      <c r="A39" s="248"/>
      <c r="B39" s="448"/>
      <c r="C39" s="449"/>
      <c r="D39" s="451"/>
      <c r="E39" s="451" t="s">
        <v>989</v>
      </c>
      <c r="F39" s="451"/>
      <c r="G39" s="451"/>
      <c r="H39" s="451"/>
      <c r="I39" s="451" t="s">
        <v>996</v>
      </c>
      <c r="J39" s="451" t="s">
        <v>893</v>
      </c>
      <c r="K39" s="451" t="s">
        <v>997</v>
      </c>
      <c r="L39" s="451" t="s">
        <v>998</v>
      </c>
      <c r="M39" s="451" t="s">
        <v>892</v>
      </c>
      <c r="N39" s="451" t="s">
        <v>881</v>
      </c>
      <c r="O39" s="451" t="s">
        <v>881</v>
      </c>
      <c r="P39" s="321"/>
      <c r="Q39" s="450"/>
      <c r="R39" s="433"/>
      <c r="S39" s="309" t="s">
        <v>816</v>
      </c>
      <c r="T39" s="303" t="s">
        <v>817</v>
      </c>
      <c r="U39" s="304" t="e">
        <f>U38-#REF!</f>
        <v>#REF!</v>
      </c>
      <c r="V39" s="310" t="s">
        <v>818</v>
      </c>
      <c r="W39" s="306" t="e">
        <f>(#REF!+BB39)/1100000</f>
        <v>#REF!</v>
      </c>
      <c r="X39" s="85"/>
      <c r="Y39" s="75"/>
      <c r="AA39" s="261"/>
      <c r="AB39" s="80" t="s">
        <v>817</v>
      </c>
      <c r="AC39" s="81" t="e">
        <f>AC38-#REF!</f>
        <v>#REF!</v>
      </c>
      <c r="AD39" s="82" t="s">
        <v>824</v>
      </c>
      <c r="AE39" s="83"/>
      <c r="BC39" s="68"/>
      <c r="BD39" s="68"/>
      <c r="BE39" s="68"/>
      <c r="BF39" s="68"/>
      <c r="BG39" s="68"/>
      <c r="BH39" s="68"/>
      <c r="BI39" s="68"/>
    </row>
    <row r="40" spans="1:61" ht="22.5" customHeight="1" thickBot="1">
      <c r="A40" s="247" t="s">
        <v>999</v>
      </c>
      <c r="B40" s="445"/>
      <c r="C40" s="446">
        <f>B40+D40+E40+F40+G40+H40+I40+J40+K40+N40</f>
        <v>0.12000000000000001</v>
      </c>
      <c r="D40" s="297"/>
      <c r="E40" s="297"/>
      <c r="F40" s="297"/>
      <c r="G40" s="297"/>
      <c r="H40" s="297"/>
      <c r="I40" s="297">
        <v>0.02</v>
      </c>
      <c r="J40" s="297"/>
      <c r="K40" s="297">
        <v>0.1</v>
      </c>
      <c r="L40" s="297">
        <v>0.1</v>
      </c>
      <c r="M40" s="297">
        <v>0</v>
      </c>
      <c r="N40" s="297">
        <v>0</v>
      </c>
      <c r="O40" s="297">
        <v>0.01</v>
      </c>
      <c r="P40" s="319" t="s">
        <v>882</v>
      </c>
      <c r="Q40" s="447" t="s">
        <v>1001</v>
      </c>
      <c r="R40" s="444" t="s">
        <v>1000</v>
      </c>
      <c r="S40" s="386">
        <v>44426</v>
      </c>
      <c r="T40" s="293" t="s">
        <v>814</v>
      </c>
      <c r="U40" s="294">
        <f>AZ40/1100000</f>
        <v>0</v>
      </c>
      <c r="V40" s="295" t="s">
        <v>832</v>
      </c>
      <c r="W40" s="296" t="e">
        <f>U40*0.75-(#REF!+W41)</f>
        <v>#REF!</v>
      </c>
      <c r="X40" s="299" t="s">
        <v>812</v>
      </c>
      <c r="Y40" s="79" t="s">
        <v>813</v>
      </c>
      <c r="AA40" s="260"/>
      <c r="AB40" s="80" t="s">
        <v>814</v>
      </c>
      <c r="AC40" s="81">
        <v>9482000</v>
      </c>
      <c r="AD40" s="325" t="s">
        <v>35</v>
      </c>
      <c r="AE40" s="326"/>
      <c r="AF40" s="327"/>
      <c r="AG40" s="328"/>
      <c r="AH40" s="328" t="s">
        <v>815</v>
      </c>
      <c r="AI40" s="328">
        <v>8000000</v>
      </c>
      <c r="AJ40" s="328" t="s">
        <v>853</v>
      </c>
      <c r="AK40" s="328"/>
      <c r="AL40" s="328" t="s">
        <v>988</v>
      </c>
      <c r="AM40" s="328"/>
      <c r="AN40" s="328"/>
      <c r="AO40" s="301"/>
      <c r="AP40" s="301"/>
      <c r="AQ40" s="301"/>
      <c r="AR40" s="301"/>
      <c r="AS40" s="301"/>
      <c r="AT40" s="301"/>
      <c r="AU40" s="301"/>
      <c r="AV40" s="301"/>
      <c r="AW40" s="301"/>
      <c r="AX40" s="301"/>
      <c r="AY40" s="301"/>
      <c r="AZ40" s="301"/>
      <c r="BA40" s="301"/>
      <c r="BB40" s="301"/>
    </row>
    <row r="41" spans="1:61" ht="22.5" customHeight="1" thickBot="1">
      <c r="A41" s="248"/>
      <c r="B41" s="448"/>
      <c r="C41" s="449"/>
      <c r="D41" s="451"/>
      <c r="E41" s="451" t="s">
        <v>989</v>
      </c>
      <c r="F41" s="451"/>
      <c r="G41" s="451"/>
      <c r="H41" s="451"/>
      <c r="I41" s="451" t="s">
        <v>996</v>
      </c>
      <c r="J41" s="451"/>
      <c r="K41" s="451" t="s">
        <v>997</v>
      </c>
      <c r="L41" s="451" t="s">
        <v>997</v>
      </c>
      <c r="M41" s="451" t="s">
        <v>986</v>
      </c>
      <c r="N41" s="451" t="s">
        <v>986</v>
      </c>
      <c r="O41" s="451" t="s">
        <v>881</v>
      </c>
      <c r="P41" s="321"/>
      <c r="Q41" s="450"/>
      <c r="R41" s="433"/>
      <c r="S41" s="309" t="s">
        <v>816</v>
      </c>
      <c r="T41" s="303" t="s">
        <v>817</v>
      </c>
      <c r="U41" s="304" t="e">
        <f>U40-#REF!</f>
        <v>#REF!</v>
      </c>
      <c r="V41" s="310" t="s">
        <v>818</v>
      </c>
      <c r="W41" s="306" t="e">
        <f>(#REF!+BB41)/1100000</f>
        <v>#REF!</v>
      </c>
      <c r="X41" s="85"/>
      <c r="Y41" s="75"/>
      <c r="AA41" s="261"/>
      <c r="AB41" s="80" t="s">
        <v>817</v>
      </c>
      <c r="AC41" s="81" t="e">
        <f>AC40-#REF!</f>
        <v>#REF!</v>
      </c>
      <c r="AD41" s="82" t="s">
        <v>824</v>
      </c>
      <c r="AE41" s="83"/>
      <c r="BC41" s="68"/>
      <c r="BD41" s="68"/>
      <c r="BE41" s="68"/>
      <c r="BF41" s="68"/>
      <c r="BG41" s="68"/>
      <c r="BH41" s="68"/>
      <c r="BI41" s="68"/>
    </row>
    <row r="42" spans="1:61" ht="22.5" customHeight="1" thickBot="1">
      <c r="A42" s="247" t="s">
        <v>1002</v>
      </c>
      <c r="B42" s="445"/>
      <c r="C42" s="446">
        <f>N42</f>
        <v>0</v>
      </c>
      <c r="D42" s="297"/>
      <c r="E42" s="297"/>
      <c r="F42" s="297"/>
      <c r="G42" s="297"/>
      <c r="H42" s="297"/>
      <c r="I42" s="297">
        <v>0.02</v>
      </c>
      <c r="J42" s="297"/>
      <c r="K42" s="297">
        <v>0.1</v>
      </c>
      <c r="L42" s="297">
        <v>0.1</v>
      </c>
      <c r="M42" s="297"/>
      <c r="N42" s="297">
        <v>0</v>
      </c>
      <c r="O42" s="297">
        <v>0.01</v>
      </c>
      <c r="P42" s="319" t="s">
        <v>957</v>
      </c>
      <c r="Q42" s="447" t="s">
        <v>1004</v>
      </c>
      <c r="R42" s="444" t="s">
        <v>1003</v>
      </c>
      <c r="S42" s="386">
        <v>44501</v>
      </c>
      <c r="T42" s="293" t="s">
        <v>814</v>
      </c>
      <c r="U42" s="294">
        <f>AZ42/1100000</f>
        <v>0</v>
      </c>
      <c r="V42" s="295" t="s">
        <v>832</v>
      </c>
      <c r="W42" s="296" t="e">
        <f>U42*0.75-(#REF!+W43)</f>
        <v>#REF!</v>
      </c>
      <c r="X42" s="299" t="s">
        <v>90</v>
      </c>
      <c r="Y42" s="79" t="s">
        <v>34</v>
      </c>
      <c r="AA42" s="260"/>
      <c r="AB42" s="80" t="s">
        <v>89</v>
      </c>
      <c r="AC42" s="81">
        <v>1100000000</v>
      </c>
      <c r="AD42" s="325" t="s">
        <v>98</v>
      </c>
      <c r="AE42" s="326"/>
      <c r="AF42" s="327"/>
      <c r="AG42" s="328"/>
      <c r="AH42" s="328" t="s">
        <v>56</v>
      </c>
      <c r="AI42" s="328">
        <v>8000000</v>
      </c>
      <c r="AJ42" s="328" t="s">
        <v>57</v>
      </c>
      <c r="AK42" s="328"/>
      <c r="AL42" s="328" t="s">
        <v>946</v>
      </c>
      <c r="AM42" s="328"/>
      <c r="AN42" s="328"/>
      <c r="AO42" s="301"/>
      <c r="AP42" s="301"/>
      <c r="AQ42" s="301"/>
      <c r="AR42" s="301"/>
      <c r="AS42" s="301"/>
      <c r="AT42" s="301"/>
      <c r="AU42" s="301"/>
      <c r="AV42" s="301"/>
      <c r="AW42" s="301"/>
      <c r="AX42" s="301"/>
      <c r="AY42" s="301"/>
      <c r="AZ42" s="301"/>
      <c r="BA42" s="301"/>
      <c r="BB42" s="301"/>
    </row>
    <row r="43" spans="1:61" ht="22.5" customHeight="1">
      <c r="A43" s="248"/>
      <c r="B43" s="448"/>
      <c r="C43" s="449"/>
      <c r="D43" s="451"/>
      <c r="E43" s="451" t="s">
        <v>971</v>
      </c>
      <c r="F43" s="451"/>
      <c r="G43" s="451"/>
      <c r="H43" s="451"/>
      <c r="I43" s="451" t="s">
        <v>78</v>
      </c>
      <c r="J43" s="451"/>
      <c r="K43" s="451" t="s">
        <v>958</v>
      </c>
      <c r="L43" s="451" t="s">
        <v>958</v>
      </c>
      <c r="M43" s="451"/>
      <c r="N43" s="451" t="s">
        <v>991</v>
      </c>
      <c r="O43" s="451" t="s">
        <v>888</v>
      </c>
      <c r="P43" s="321"/>
      <c r="Q43" s="450"/>
      <c r="R43" s="433"/>
      <c r="S43" s="309" t="s">
        <v>67</v>
      </c>
      <c r="T43" s="303" t="s">
        <v>196</v>
      </c>
      <c r="U43" s="304" t="e">
        <f>U42-#REF!</f>
        <v>#REF!</v>
      </c>
      <c r="V43" s="310" t="s">
        <v>15</v>
      </c>
      <c r="W43" s="306" t="e">
        <f>(#REF!+BB43)/1100000</f>
        <v>#REF!</v>
      </c>
      <c r="X43" s="85"/>
      <c r="Y43" s="75"/>
      <c r="AA43" s="261"/>
      <c r="AB43" s="80" t="s">
        <v>196</v>
      </c>
      <c r="AC43" s="81" t="e">
        <f>AC42-#REF!</f>
        <v>#REF!</v>
      </c>
      <c r="AD43" s="82" t="s">
        <v>100</v>
      </c>
      <c r="AE43" s="83"/>
      <c r="BC43" s="68"/>
      <c r="BD43" s="68"/>
      <c r="BE43" s="68"/>
      <c r="BF43" s="68"/>
      <c r="BG43" s="68"/>
      <c r="BH43" s="68"/>
      <c r="BI43" s="68"/>
    </row>
    <row r="44" spans="1:61" ht="30.75" customHeight="1">
      <c r="R44" s="55"/>
      <c r="S44" s="387"/>
      <c r="U44" s="388"/>
    </row>
    <row r="45" spans="1:61" ht="30.75" customHeight="1">
      <c r="M45" s="390" t="e">
        <f>#REF!-#REF!</f>
        <v>#REF!</v>
      </c>
      <c r="S45" s="389"/>
    </row>
    <row r="46" spans="1:61" ht="30.75" customHeight="1">
      <c r="J46" s="391"/>
    </row>
    <row r="47" spans="1:61" ht="30.75" customHeight="1">
      <c r="S47" s="392"/>
    </row>
    <row r="48" spans="1:61" ht="30.75" customHeight="1">
      <c r="S48" s="392"/>
    </row>
    <row r="49" spans="5:5" ht="30.75" customHeight="1">
      <c r="E49" s="285"/>
    </row>
  </sheetData>
  <phoneticPr fontId="2" type="noConversion"/>
  <printOptions horizontalCentered="1"/>
  <pageMargins left="0.15748031496062992" right="0.15748031496062992" top="0.47244094488188981" bottom="0.39370078740157483" header="0.31496062992125984" footer="0.31496062992125984"/>
  <pageSetup paperSize="9" orientation="landscape" r:id="rId1"/>
  <rowBreaks count="4" manualBreakCount="4">
    <brk id="11" max="36" man="1"/>
    <brk id="19" max="36" man="1"/>
    <brk id="29" max="36" man="1"/>
    <brk id="41" max="3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58"/>
  <sheetViews>
    <sheetView view="pageBreakPreview" zoomScaleNormal="85" zoomScaleSheetLayoutView="100" workbookViewId="0">
      <selection activeCell="R2" sqref="R2:S2"/>
    </sheetView>
  </sheetViews>
  <sheetFormatPr defaultColWidth="10.25" defaultRowHeight="30.75" customHeight="1"/>
  <cols>
    <col min="1" max="1" width="12.625" style="275" customWidth="1"/>
    <col min="2" max="2" width="4.875" style="282" customWidth="1"/>
    <col min="3" max="3" width="5.25" style="282" customWidth="1"/>
    <col min="4" max="12" width="8.875" style="275" customWidth="1"/>
    <col min="13" max="13" width="9.375" style="275" customWidth="1"/>
    <col min="14" max="15" width="8.875" style="275" customWidth="1"/>
    <col min="16" max="16" width="12.375" style="275" customWidth="1"/>
    <col min="17" max="17" width="11" style="275" customWidth="1"/>
    <col min="18" max="19" width="11" style="2" customWidth="1"/>
    <col min="20" max="20" width="19.375" style="78" customWidth="1"/>
    <col min="21" max="21" width="9.875" style="275" customWidth="1"/>
    <col min="22" max="22" width="7.75" style="275" bestFit="1" customWidth="1"/>
    <col min="23" max="23" width="7.125" style="275" bestFit="1" customWidth="1"/>
    <col min="24" max="24" width="8" style="275" bestFit="1" customWidth="1"/>
    <col min="25" max="25" width="9.875" style="275" bestFit="1" customWidth="1"/>
    <col min="26" max="26" width="10.25" style="275"/>
    <col min="27" max="27" width="9" style="275" bestFit="1" customWidth="1"/>
    <col min="28" max="28" width="16" style="275" customWidth="1"/>
    <col min="29" max="29" width="14.625" style="277" customWidth="1"/>
    <col min="30" max="53" width="16" style="77" customWidth="1"/>
    <col min="54" max="16384" width="10.25" style="78"/>
  </cols>
  <sheetData>
    <row r="1" spans="1:62" ht="25.5" customHeight="1">
      <c r="A1" s="279" t="s">
        <v>1005</v>
      </c>
      <c r="Q1" s="393" t="s">
        <v>785</v>
      </c>
      <c r="R1" s="263"/>
      <c r="S1" s="263"/>
    </row>
    <row r="2" spans="1:62" ht="27" customHeight="1" thickBot="1">
      <c r="A2" s="394" t="s">
        <v>786</v>
      </c>
      <c r="B2" s="395" t="s">
        <v>22</v>
      </c>
      <c r="C2" s="396" t="s">
        <v>23</v>
      </c>
      <c r="D2" s="478" t="s">
        <v>1053</v>
      </c>
      <c r="E2" s="478" t="s">
        <v>1054</v>
      </c>
      <c r="F2" s="478" t="s">
        <v>1058</v>
      </c>
      <c r="G2" s="478" t="s">
        <v>1059</v>
      </c>
      <c r="H2" s="478" t="s">
        <v>1007</v>
      </c>
      <c r="I2" s="478" t="s">
        <v>1060</v>
      </c>
      <c r="J2" s="478" t="s">
        <v>1057</v>
      </c>
      <c r="K2" s="478" t="s">
        <v>1056</v>
      </c>
      <c r="L2" s="478" t="s">
        <v>1055</v>
      </c>
      <c r="M2" s="478" t="s">
        <v>1053</v>
      </c>
      <c r="N2" s="478" t="s">
        <v>1055</v>
      </c>
      <c r="O2" s="478" t="s">
        <v>1053</v>
      </c>
      <c r="P2" s="394" t="s">
        <v>1008</v>
      </c>
      <c r="Q2" s="291" t="s">
        <v>1009</v>
      </c>
      <c r="R2" s="8" t="s">
        <v>770</v>
      </c>
      <c r="S2" s="8" t="s">
        <v>772</v>
      </c>
      <c r="T2" s="394" t="s">
        <v>24</v>
      </c>
      <c r="U2" s="394" t="s">
        <v>3</v>
      </c>
      <c r="V2" s="394" t="s">
        <v>1006</v>
      </c>
      <c r="W2" s="394"/>
      <c r="X2" s="477" t="s">
        <v>20</v>
      </c>
      <c r="Y2" s="478"/>
      <c r="AA2" s="291" t="s">
        <v>1</v>
      </c>
    </row>
    <row r="3" spans="1:62" ht="22.5" customHeight="1" thickBot="1">
      <c r="A3" s="479" t="s">
        <v>1010</v>
      </c>
      <c r="B3" s="481">
        <v>0</v>
      </c>
      <c r="C3" s="481">
        <f>B3+D3+E3+F3+G3+H3+I3+J3+K3+L3+M3+N3+O3</f>
        <v>0</v>
      </c>
      <c r="D3" s="402"/>
      <c r="E3" s="402"/>
      <c r="F3" s="402"/>
      <c r="G3" s="402"/>
      <c r="H3" s="402"/>
      <c r="I3" s="402"/>
      <c r="J3" s="402"/>
      <c r="K3" s="402"/>
      <c r="L3" s="402"/>
      <c r="M3" s="402">
        <v>0</v>
      </c>
      <c r="N3" s="402">
        <v>0</v>
      </c>
      <c r="O3" s="402">
        <v>0</v>
      </c>
      <c r="P3" s="403" t="s">
        <v>982</v>
      </c>
      <c r="Q3" s="482" t="s">
        <v>1013</v>
      </c>
      <c r="R3" s="204" t="s">
        <v>474</v>
      </c>
      <c r="S3" s="204">
        <v>242</v>
      </c>
      <c r="T3" s="480" t="s">
        <v>1011</v>
      </c>
      <c r="U3" s="397" t="s">
        <v>1012</v>
      </c>
      <c r="V3" s="398" t="s">
        <v>104</v>
      </c>
      <c r="W3" s="399">
        <f>BP3/1000000</f>
        <v>0</v>
      </c>
      <c r="X3" s="400" t="s">
        <v>7</v>
      </c>
      <c r="Y3" s="401" t="e">
        <f>W3-#REF!/1.1+Y4</f>
        <v>#REF!</v>
      </c>
      <c r="Z3" s="299" t="s">
        <v>90</v>
      </c>
      <c r="AA3" s="79" t="s">
        <v>34</v>
      </c>
      <c r="AB3" s="260" t="s">
        <v>194</v>
      </c>
      <c r="AC3" s="80" t="s">
        <v>104</v>
      </c>
      <c r="AD3" s="81">
        <v>3750000</v>
      </c>
      <c r="AE3" s="82"/>
      <c r="AF3" s="83"/>
      <c r="AG3" s="91"/>
      <c r="AH3" s="92"/>
      <c r="AI3" s="92"/>
      <c r="AJ3" s="92"/>
      <c r="AK3" s="92"/>
      <c r="AL3" s="92"/>
      <c r="AM3" s="92"/>
      <c r="AN3" s="92"/>
      <c r="AO3" s="92"/>
      <c r="AP3" s="92"/>
      <c r="AQ3" s="92"/>
      <c r="AR3" s="92"/>
      <c r="AS3" s="92"/>
      <c r="AT3" s="92"/>
      <c r="AU3" s="92"/>
      <c r="AV3" s="92"/>
      <c r="AW3" s="92"/>
      <c r="AX3" s="92"/>
      <c r="AY3" s="92"/>
      <c r="AZ3" s="92"/>
      <c r="BA3" s="92"/>
      <c r="BB3" s="92"/>
      <c r="BC3" s="92"/>
    </row>
    <row r="4" spans="1:62" ht="22.5" customHeight="1" thickBot="1">
      <c r="A4" s="483"/>
      <c r="B4" s="485"/>
      <c r="C4" s="485"/>
      <c r="D4" s="489"/>
      <c r="E4" s="489"/>
      <c r="F4" s="489"/>
      <c r="G4" s="489"/>
      <c r="H4" s="489" t="s">
        <v>982</v>
      </c>
      <c r="I4" s="489"/>
      <c r="J4" s="489"/>
      <c r="K4" s="489"/>
      <c r="L4" s="489" t="s">
        <v>1014</v>
      </c>
      <c r="M4" s="489"/>
      <c r="N4" s="489"/>
      <c r="O4" s="489"/>
      <c r="P4" s="408"/>
      <c r="Q4" s="486"/>
      <c r="R4" s="205"/>
      <c r="S4" s="205"/>
      <c r="T4" s="484"/>
      <c r="U4" s="406" t="s">
        <v>67</v>
      </c>
      <c r="V4" s="487"/>
      <c r="W4" s="488"/>
      <c r="X4" s="407" t="s">
        <v>207</v>
      </c>
      <c r="Y4" s="404">
        <f>BR4/1000000</f>
        <v>0</v>
      </c>
      <c r="Z4" s="85"/>
      <c r="AA4" s="69"/>
      <c r="AB4" s="261"/>
      <c r="AC4" s="80"/>
      <c r="AD4" s="81"/>
      <c r="AE4" s="82"/>
      <c r="AF4" s="83"/>
      <c r="BB4" s="77"/>
      <c r="BC4" s="77"/>
      <c r="BD4" s="68"/>
      <c r="BE4" s="68"/>
      <c r="BF4" s="68"/>
      <c r="BG4" s="68"/>
      <c r="BH4" s="68"/>
      <c r="BI4" s="68"/>
      <c r="BJ4" s="68"/>
    </row>
    <row r="5" spans="1:62" ht="22.5" customHeight="1" thickBot="1">
      <c r="A5" s="490" t="s">
        <v>1015</v>
      </c>
      <c r="B5" s="492">
        <v>0</v>
      </c>
      <c r="C5" s="493">
        <f>B5+D5+E5+F5+G5+H5+I5+J5+K5+L5+M5+N5+O5</f>
        <v>0.79999999999999993</v>
      </c>
      <c r="D5" s="414"/>
      <c r="E5" s="414">
        <v>0.2</v>
      </c>
      <c r="F5" s="414">
        <v>0.2</v>
      </c>
      <c r="G5" s="414">
        <v>0.1</v>
      </c>
      <c r="H5" s="414">
        <v>0</v>
      </c>
      <c r="I5" s="414">
        <v>0</v>
      </c>
      <c r="J5" s="414">
        <v>0.2</v>
      </c>
      <c r="K5" s="414">
        <v>0.1</v>
      </c>
      <c r="L5" s="414"/>
      <c r="M5" s="414">
        <v>0</v>
      </c>
      <c r="N5" s="414">
        <v>0</v>
      </c>
      <c r="O5" s="414">
        <v>0</v>
      </c>
      <c r="P5" s="415"/>
      <c r="Q5" s="494" t="s">
        <v>1018</v>
      </c>
      <c r="R5" s="176" t="s">
        <v>474</v>
      </c>
      <c r="S5" s="176">
        <v>318</v>
      </c>
      <c r="T5" s="491" t="s">
        <v>1016</v>
      </c>
      <c r="U5" s="409" t="s">
        <v>1017</v>
      </c>
      <c r="V5" s="410" t="s">
        <v>104</v>
      </c>
      <c r="W5" s="411">
        <f>BP5/1000000</f>
        <v>0</v>
      </c>
      <c r="X5" s="412" t="s">
        <v>7</v>
      </c>
      <c r="Y5" s="413" t="e">
        <f>W5-#REF!/1.1+Y6</f>
        <v>#REF!</v>
      </c>
      <c r="Z5" s="299" t="s">
        <v>90</v>
      </c>
      <c r="AA5" s="79" t="s">
        <v>34</v>
      </c>
      <c r="AB5" s="260"/>
      <c r="AC5" s="80" t="s">
        <v>104</v>
      </c>
      <c r="AD5" s="81">
        <v>31200000</v>
      </c>
      <c r="AE5" s="82"/>
      <c r="AF5" s="83"/>
      <c r="AG5" s="91"/>
      <c r="AH5" s="92"/>
      <c r="AI5" s="92"/>
      <c r="AJ5" s="92"/>
      <c r="AK5" s="92"/>
      <c r="AL5" s="92"/>
      <c r="AM5" s="92"/>
      <c r="AN5" s="92"/>
      <c r="AO5" s="92"/>
      <c r="AP5" s="92"/>
      <c r="AQ5" s="92"/>
      <c r="AR5" s="92"/>
      <c r="AS5" s="92"/>
      <c r="AT5" s="92"/>
      <c r="AU5" s="92"/>
      <c r="AV5" s="92"/>
      <c r="AW5" s="92"/>
      <c r="AX5" s="92"/>
      <c r="AY5" s="92"/>
      <c r="AZ5" s="92"/>
      <c r="BA5" s="92"/>
      <c r="BB5" s="92"/>
      <c r="BC5" s="92"/>
    </row>
    <row r="6" spans="1:62" ht="22.5" customHeight="1" thickBot="1">
      <c r="A6" s="495"/>
      <c r="B6" s="497"/>
      <c r="C6" s="498"/>
      <c r="D6" s="501"/>
      <c r="E6" s="501" t="s">
        <v>1019</v>
      </c>
      <c r="F6" s="501" t="s">
        <v>1019</v>
      </c>
      <c r="G6" s="501" t="s">
        <v>1019</v>
      </c>
      <c r="H6" s="501" t="s">
        <v>806</v>
      </c>
      <c r="I6" s="501" t="s">
        <v>806</v>
      </c>
      <c r="J6" s="501"/>
      <c r="K6" s="501" t="s">
        <v>888</v>
      </c>
      <c r="L6" s="501"/>
      <c r="M6" s="501"/>
      <c r="N6" s="501"/>
      <c r="O6" s="501"/>
      <c r="P6" s="424"/>
      <c r="Q6" s="499"/>
      <c r="R6" s="205"/>
      <c r="S6" s="205"/>
      <c r="T6" s="496"/>
      <c r="U6" s="422"/>
      <c r="V6" s="440"/>
      <c r="W6" s="500"/>
      <c r="X6" s="423" t="s">
        <v>207</v>
      </c>
      <c r="Y6" s="419">
        <f>BR6/1000000</f>
        <v>0</v>
      </c>
      <c r="Z6" s="85"/>
      <c r="AA6" s="75"/>
      <c r="AB6" s="261"/>
      <c r="AC6" s="80"/>
      <c r="AD6" s="81"/>
      <c r="AE6" s="82"/>
      <c r="AF6" s="83"/>
      <c r="BB6" s="77"/>
      <c r="BC6" s="77"/>
      <c r="BD6" s="68"/>
      <c r="BE6" s="68"/>
      <c r="BF6" s="68"/>
      <c r="BG6" s="68"/>
      <c r="BH6" s="68"/>
      <c r="BI6" s="68"/>
      <c r="BJ6" s="68"/>
    </row>
    <row r="7" spans="1:62" ht="22.5" customHeight="1" thickBot="1">
      <c r="A7" s="490" t="s">
        <v>1020</v>
      </c>
      <c r="B7" s="492">
        <v>0</v>
      </c>
      <c r="C7" s="493">
        <f>B7+D7+E7+F7+G7+H7+I7+J7+K7+L7+M7+N7+O7</f>
        <v>0.6</v>
      </c>
      <c r="D7" s="414"/>
      <c r="E7" s="414">
        <v>0.1</v>
      </c>
      <c r="F7" s="414">
        <v>0.2</v>
      </c>
      <c r="G7" s="414">
        <v>0.1</v>
      </c>
      <c r="H7" s="414">
        <v>0.1</v>
      </c>
      <c r="I7" s="414">
        <v>0.1</v>
      </c>
      <c r="J7" s="414">
        <v>0</v>
      </c>
      <c r="K7" s="414">
        <v>0</v>
      </c>
      <c r="L7" s="414"/>
      <c r="M7" s="414">
        <v>0</v>
      </c>
      <c r="N7" s="414">
        <v>0</v>
      </c>
      <c r="O7" s="414">
        <v>0</v>
      </c>
      <c r="P7" s="415" t="s">
        <v>1022</v>
      </c>
      <c r="Q7" s="494" t="s">
        <v>1023</v>
      </c>
      <c r="R7" s="204" t="s">
        <v>474</v>
      </c>
      <c r="S7" s="204">
        <v>259</v>
      </c>
      <c r="T7" s="491" t="s">
        <v>1021</v>
      </c>
      <c r="U7" s="409"/>
      <c r="V7" s="410" t="s">
        <v>104</v>
      </c>
      <c r="W7" s="411">
        <f>BP7/1000000</f>
        <v>0</v>
      </c>
      <c r="X7" s="412" t="s">
        <v>7</v>
      </c>
      <c r="Y7" s="413" t="e">
        <f>W7-#REF!/1.1+Y8</f>
        <v>#REF!</v>
      </c>
      <c r="Z7" s="299" t="s">
        <v>90</v>
      </c>
      <c r="AA7" s="79" t="s">
        <v>34</v>
      </c>
      <c r="AB7" s="260"/>
      <c r="AC7" s="80" t="s">
        <v>104</v>
      </c>
      <c r="AD7" s="81">
        <v>8790000</v>
      </c>
      <c r="AE7" s="82"/>
      <c r="AF7" s="83"/>
      <c r="AG7" s="91"/>
      <c r="AH7" s="92"/>
      <c r="AI7" s="92"/>
      <c r="AJ7" s="92"/>
      <c r="AK7" s="92"/>
      <c r="AL7" s="92"/>
      <c r="AM7" s="92"/>
      <c r="AN7" s="92"/>
      <c r="AO7" s="92"/>
      <c r="AP7" s="92"/>
      <c r="AQ7" s="92"/>
      <c r="AR7" s="92"/>
      <c r="AS7" s="92"/>
      <c r="AT7" s="92"/>
      <c r="AU7" s="92"/>
      <c r="AV7" s="92"/>
      <c r="AW7" s="92"/>
      <c r="AX7" s="92"/>
      <c r="AY7" s="92"/>
      <c r="AZ7" s="92"/>
      <c r="BA7" s="92"/>
      <c r="BB7" s="92"/>
      <c r="BC7" s="92"/>
    </row>
    <row r="8" spans="1:62" ht="22.5" customHeight="1" thickBot="1">
      <c r="A8" s="495"/>
      <c r="B8" s="497"/>
      <c r="C8" s="498"/>
      <c r="D8" s="501"/>
      <c r="E8" s="501" t="s">
        <v>1024</v>
      </c>
      <c r="F8" s="501" t="s">
        <v>896</v>
      </c>
      <c r="G8" s="501" t="s">
        <v>888</v>
      </c>
      <c r="H8" s="501" t="s">
        <v>1022</v>
      </c>
      <c r="I8" s="501" t="s">
        <v>1025</v>
      </c>
      <c r="J8" s="501" t="s">
        <v>806</v>
      </c>
      <c r="K8" s="501" t="s">
        <v>806</v>
      </c>
      <c r="L8" s="501"/>
      <c r="M8" s="501"/>
      <c r="N8" s="501"/>
      <c r="O8" s="501"/>
      <c r="P8" s="424"/>
      <c r="Q8" s="499"/>
      <c r="R8" s="205"/>
      <c r="S8" s="205"/>
      <c r="T8" s="496"/>
      <c r="U8" s="422"/>
      <c r="V8" s="440"/>
      <c r="W8" s="500"/>
      <c r="X8" s="423" t="s">
        <v>207</v>
      </c>
      <c r="Y8" s="419">
        <f>BR8/1000000</f>
        <v>0</v>
      </c>
      <c r="Z8" s="85"/>
      <c r="AA8" s="75"/>
      <c r="AB8" s="261"/>
      <c r="AC8" s="80"/>
      <c r="AD8" s="81"/>
      <c r="AE8" s="82"/>
      <c r="AF8" s="83"/>
      <c r="BB8" s="77"/>
      <c r="BC8" s="77"/>
      <c r="BD8" s="68"/>
      <c r="BE8" s="68"/>
      <c r="BF8" s="68"/>
      <c r="BG8" s="68"/>
      <c r="BH8" s="68"/>
      <c r="BI8" s="68"/>
      <c r="BJ8" s="68"/>
    </row>
    <row r="9" spans="1:62" ht="22.5" customHeight="1" thickBot="1">
      <c r="A9" s="507" t="s">
        <v>1026</v>
      </c>
      <c r="B9" s="492">
        <v>0</v>
      </c>
      <c r="C9" s="493">
        <f>I9</f>
        <v>0.3</v>
      </c>
      <c r="D9" s="414"/>
      <c r="E9" s="414">
        <v>0.1</v>
      </c>
      <c r="F9" s="414">
        <v>0.2</v>
      </c>
      <c r="G9" s="414"/>
      <c r="H9" s="414"/>
      <c r="I9" s="414">
        <v>0.3</v>
      </c>
      <c r="J9" s="414">
        <v>0.3</v>
      </c>
      <c r="K9" s="414">
        <v>0.2</v>
      </c>
      <c r="L9" s="414"/>
      <c r="M9" s="414">
        <v>0</v>
      </c>
      <c r="N9" s="414">
        <v>0</v>
      </c>
      <c r="O9" s="414">
        <v>0</v>
      </c>
      <c r="P9" s="415" t="s">
        <v>888</v>
      </c>
      <c r="Q9" s="494" t="s">
        <v>1028</v>
      </c>
      <c r="R9" s="204"/>
      <c r="S9" s="204"/>
      <c r="T9" s="491" t="s">
        <v>1027</v>
      </c>
      <c r="U9" s="409"/>
      <c r="V9" s="410" t="s">
        <v>104</v>
      </c>
      <c r="W9" s="411">
        <f>BP9/1000000</f>
        <v>0</v>
      </c>
      <c r="X9" s="412" t="s">
        <v>7</v>
      </c>
      <c r="Y9" s="413" t="e">
        <f>W9-#REF!/1.1+Y10</f>
        <v>#REF!</v>
      </c>
      <c r="Z9" s="299" t="s">
        <v>90</v>
      </c>
      <c r="AA9" s="79" t="s">
        <v>34</v>
      </c>
      <c r="AB9" s="260"/>
      <c r="AC9" s="80" t="s">
        <v>104</v>
      </c>
      <c r="AD9" s="81">
        <v>27770000</v>
      </c>
      <c r="AE9" s="82"/>
      <c r="AF9" s="83"/>
      <c r="AG9" s="91"/>
      <c r="AH9" s="92"/>
      <c r="AI9" s="92"/>
      <c r="AJ9" s="92"/>
      <c r="AK9" s="92"/>
      <c r="AL9" s="92"/>
      <c r="AM9" s="92"/>
      <c r="AN9" s="92"/>
      <c r="AO9" s="92"/>
      <c r="AP9" s="92"/>
      <c r="AQ9" s="92"/>
      <c r="AR9" s="92"/>
      <c r="AS9" s="92"/>
      <c r="AT9" s="92"/>
      <c r="AU9" s="92"/>
      <c r="AV9" s="92"/>
      <c r="AW9" s="92"/>
      <c r="AX9" s="92"/>
      <c r="AY9" s="92"/>
      <c r="AZ9" s="92"/>
      <c r="BA9" s="92"/>
      <c r="BB9" s="92"/>
      <c r="BC9" s="92"/>
    </row>
    <row r="10" spans="1:62" ht="22.5" customHeight="1">
      <c r="A10" s="508" t="s">
        <v>1061</v>
      </c>
      <c r="B10" s="497"/>
      <c r="C10" s="498"/>
      <c r="D10" s="501"/>
      <c r="E10" s="501" t="s">
        <v>1024</v>
      </c>
      <c r="F10" s="501" t="s">
        <v>896</v>
      </c>
      <c r="G10" s="501"/>
      <c r="H10" s="501"/>
      <c r="I10" s="501" t="s">
        <v>950</v>
      </c>
      <c r="J10" s="501" t="s">
        <v>888</v>
      </c>
      <c r="K10" s="501" t="s">
        <v>888</v>
      </c>
      <c r="L10" s="501"/>
      <c r="M10" s="501"/>
      <c r="N10" s="501"/>
      <c r="O10" s="501"/>
      <c r="P10" s="424"/>
      <c r="Q10" s="499"/>
      <c r="R10" s="205"/>
      <c r="S10" s="205"/>
      <c r="T10" s="496"/>
      <c r="U10" s="422"/>
      <c r="V10" s="440"/>
      <c r="W10" s="500"/>
      <c r="X10" s="423" t="s">
        <v>207</v>
      </c>
      <c r="Y10" s="419">
        <f>BR10/1000000</f>
        <v>0</v>
      </c>
      <c r="Z10" s="85"/>
      <c r="AA10" s="75"/>
      <c r="AB10" s="261"/>
      <c r="AC10" s="80"/>
      <c r="AD10" s="81"/>
      <c r="AE10" s="82"/>
      <c r="AF10" s="83"/>
      <c r="BB10" s="77"/>
      <c r="BC10" s="77"/>
      <c r="BD10" s="68"/>
      <c r="BE10" s="68"/>
      <c r="BF10" s="68"/>
      <c r="BG10" s="68"/>
      <c r="BH10" s="68"/>
      <c r="BI10" s="68"/>
      <c r="BJ10" s="68"/>
    </row>
    <row r="11" spans="1:62" ht="30.75" customHeight="1">
      <c r="R11" s="510"/>
      <c r="S11" s="510"/>
      <c r="T11" s="428"/>
      <c r="U11" s="388"/>
      <c r="W11" s="388"/>
      <c r="AC11" s="275"/>
      <c r="AD11" s="275"/>
      <c r="AE11" s="277"/>
      <c r="BB11" s="77"/>
      <c r="BC11" s="77"/>
    </row>
    <row r="12" spans="1:62" ht="30.75" customHeight="1">
      <c r="R12" s="510"/>
      <c r="S12" s="510"/>
      <c r="AC12" s="275"/>
      <c r="AD12" s="275"/>
      <c r="AE12" s="277"/>
      <c r="BB12" s="77"/>
      <c r="BC12" s="77"/>
    </row>
    <row r="13" spans="1:62" ht="30.75" customHeight="1">
      <c r="R13" s="510"/>
      <c r="S13" s="510"/>
      <c r="AC13" s="275"/>
      <c r="AD13" s="275"/>
      <c r="AE13" s="277"/>
      <c r="BB13" s="77"/>
      <c r="BC13" s="77"/>
    </row>
    <row r="14" spans="1:62" ht="30.75" customHeight="1">
      <c r="R14" s="510"/>
      <c r="S14" s="510"/>
      <c r="AC14" s="275"/>
      <c r="AD14" s="275"/>
      <c r="AE14" s="277"/>
      <c r="BB14" s="77"/>
      <c r="BC14" s="77"/>
    </row>
    <row r="15" spans="1:62" ht="30.75" customHeight="1">
      <c r="R15" s="510"/>
      <c r="S15" s="510"/>
      <c r="AC15" s="275"/>
      <c r="AD15" s="275"/>
      <c r="AE15" s="277"/>
      <c r="BB15" s="77"/>
      <c r="BC15" s="77"/>
    </row>
    <row r="16" spans="1:62" ht="30.75" customHeight="1">
      <c r="R16" s="510"/>
      <c r="S16" s="510"/>
      <c r="AC16" s="275"/>
      <c r="AD16" s="275"/>
      <c r="AE16" s="277"/>
      <c r="BB16" s="77"/>
      <c r="BC16" s="77"/>
    </row>
    <row r="17" spans="18:55" ht="30.75" customHeight="1">
      <c r="R17" s="510"/>
      <c r="S17" s="510"/>
      <c r="AC17" s="275"/>
      <c r="AD17" s="275"/>
      <c r="AE17" s="277"/>
      <c r="BB17" s="77"/>
      <c r="BC17" s="77"/>
    </row>
    <row r="18" spans="18:55" ht="30.75" customHeight="1">
      <c r="R18" s="510"/>
      <c r="S18" s="510"/>
      <c r="AC18" s="275"/>
      <c r="AD18" s="275"/>
      <c r="AE18" s="277"/>
      <c r="BB18" s="77"/>
      <c r="BC18" s="77"/>
    </row>
    <row r="19" spans="18:55" ht="30.75" customHeight="1">
      <c r="R19" s="510"/>
      <c r="S19" s="510"/>
      <c r="AC19" s="275"/>
      <c r="AD19" s="275"/>
      <c r="AE19" s="277"/>
      <c r="BB19" s="77"/>
      <c r="BC19" s="77"/>
    </row>
    <row r="20" spans="18:55" ht="30.75" customHeight="1">
      <c r="R20" s="510"/>
      <c r="S20" s="510"/>
      <c r="AC20" s="275"/>
      <c r="AD20" s="275"/>
      <c r="AE20" s="277"/>
      <c r="BB20" s="77"/>
      <c r="BC20" s="77"/>
    </row>
    <row r="21" spans="18:55" ht="30.75" customHeight="1">
      <c r="R21" s="510"/>
      <c r="S21" s="510"/>
      <c r="AC21" s="275"/>
      <c r="AD21" s="275"/>
      <c r="AE21" s="277"/>
      <c r="BB21" s="77"/>
      <c r="BC21" s="77"/>
    </row>
    <row r="22" spans="18:55" ht="30.75" customHeight="1">
      <c r="R22" s="510"/>
      <c r="S22" s="510"/>
      <c r="AC22" s="275"/>
      <c r="AD22" s="275"/>
      <c r="AE22" s="277"/>
      <c r="BB22" s="77"/>
      <c r="BC22" s="77"/>
    </row>
    <row r="23" spans="18:55" ht="30.75" customHeight="1">
      <c r="R23" s="510"/>
      <c r="S23" s="510"/>
      <c r="AC23" s="275"/>
      <c r="AD23" s="275"/>
      <c r="AE23" s="277"/>
      <c r="BB23" s="77"/>
      <c r="BC23" s="77"/>
    </row>
    <row r="24" spans="18:55" ht="30.75" customHeight="1">
      <c r="R24" s="510"/>
      <c r="S24" s="510"/>
      <c r="AC24" s="275"/>
      <c r="AD24" s="275"/>
      <c r="AE24" s="277"/>
      <c r="BB24" s="77"/>
      <c r="BC24" s="77"/>
    </row>
    <row r="25" spans="18:55" ht="30.75" customHeight="1">
      <c r="R25" s="510"/>
      <c r="S25" s="510"/>
      <c r="AC25" s="275"/>
      <c r="AD25" s="275"/>
      <c r="AE25" s="277"/>
      <c r="BB25" s="77"/>
      <c r="BC25" s="77"/>
    </row>
    <row r="26" spans="18:55" ht="30.75" customHeight="1">
      <c r="R26" s="510"/>
      <c r="S26" s="510"/>
      <c r="AC26" s="275"/>
      <c r="AD26" s="275"/>
      <c r="AE26" s="277"/>
      <c r="BB26" s="77"/>
      <c r="BC26" s="77"/>
    </row>
    <row r="27" spans="18:55" ht="30.75" customHeight="1">
      <c r="R27" s="510"/>
      <c r="S27" s="510"/>
      <c r="AC27" s="275"/>
      <c r="AD27" s="275"/>
      <c r="AE27" s="277"/>
      <c r="BB27" s="77"/>
      <c r="BC27" s="77"/>
    </row>
    <row r="28" spans="18:55" ht="30.75" customHeight="1">
      <c r="R28" s="510"/>
      <c r="S28" s="510"/>
      <c r="AC28" s="275"/>
      <c r="AD28" s="275"/>
      <c r="AE28" s="277"/>
      <c r="BB28" s="77"/>
      <c r="BC28" s="77"/>
    </row>
    <row r="29" spans="18:55" ht="30.75" customHeight="1">
      <c r="R29" s="510"/>
      <c r="S29" s="510"/>
      <c r="AC29" s="275"/>
      <c r="AD29" s="275"/>
      <c r="AE29" s="277"/>
      <c r="BB29" s="77"/>
      <c r="BC29" s="77"/>
    </row>
    <row r="30" spans="18:55" ht="30.75" customHeight="1">
      <c r="R30" s="510"/>
      <c r="S30" s="510"/>
      <c r="AC30" s="275"/>
      <c r="AD30" s="275"/>
      <c r="AE30" s="277"/>
      <c r="BB30" s="77"/>
      <c r="BC30" s="77"/>
    </row>
    <row r="31" spans="18:55" ht="30.75" customHeight="1">
      <c r="R31" s="510"/>
      <c r="S31" s="510"/>
      <c r="AC31" s="275"/>
      <c r="AD31" s="275"/>
      <c r="AE31" s="277"/>
      <c r="BB31" s="77"/>
      <c r="BC31" s="77"/>
    </row>
    <row r="32" spans="18:55" ht="30.75" customHeight="1">
      <c r="R32" s="510"/>
      <c r="S32" s="510"/>
      <c r="AC32" s="275"/>
      <c r="AD32" s="275"/>
      <c r="AE32" s="277"/>
      <c r="BB32" s="77"/>
      <c r="BC32" s="77"/>
    </row>
    <row r="33" spans="18:55" ht="30.75" customHeight="1">
      <c r="R33" s="510"/>
      <c r="S33" s="510"/>
      <c r="AC33" s="275"/>
      <c r="AD33" s="275"/>
      <c r="AE33" s="277"/>
      <c r="BB33" s="77"/>
      <c r="BC33" s="77"/>
    </row>
    <row r="34" spans="18:55" ht="30.75" customHeight="1">
      <c r="R34" s="510"/>
      <c r="S34" s="510"/>
      <c r="AC34" s="275"/>
      <c r="AD34" s="275"/>
      <c r="AE34" s="277"/>
      <c r="BB34" s="77"/>
      <c r="BC34" s="77"/>
    </row>
    <row r="35" spans="18:55" ht="30.75" customHeight="1">
      <c r="R35" s="510"/>
      <c r="S35" s="510"/>
      <c r="AC35" s="275"/>
      <c r="AD35" s="275"/>
      <c r="AE35" s="277"/>
      <c r="BB35" s="77"/>
      <c r="BC35" s="77"/>
    </row>
    <row r="36" spans="18:55" ht="30.75" customHeight="1">
      <c r="R36" s="510"/>
      <c r="S36" s="510"/>
      <c r="AC36" s="275"/>
      <c r="AD36" s="275"/>
      <c r="AE36" s="277"/>
      <c r="BB36" s="77"/>
      <c r="BC36" s="77"/>
    </row>
    <row r="37" spans="18:55" ht="30.75" customHeight="1">
      <c r="R37" s="510"/>
      <c r="S37" s="510"/>
      <c r="AC37" s="275"/>
      <c r="AD37" s="275"/>
      <c r="AE37" s="277"/>
      <c r="BB37" s="77"/>
      <c r="BC37" s="77"/>
    </row>
    <row r="38" spans="18:55" ht="30.75" customHeight="1">
      <c r="R38" s="510"/>
      <c r="S38" s="510"/>
      <c r="AC38" s="275"/>
      <c r="AD38" s="275"/>
      <c r="AE38" s="277"/>
      <c r="BB38" s="77"/>
      <c r="BC38" s="77"/>
    </row>
    <row r="39" spans="18:55" ht="30.75" customHeight="1">
      <c r="R39" s="510"/>
      <c r="S39" s="510"/>
      <c r="AC39" s="275"/>
      <c r="AD39" s="275"/>
      <c r="AE39" s="277"/>
      <c r="BB39" s="77"/>
      <c r="BC39" s="77"/>
    </row>
    <row r="40" spans="18:55" ht="30.75" customHeight="1">
      <c r="R40" s="510"/>
      <c r="S40" s="510"/>
      <c r="AC40" s="275"/>
      <c r="AD40" s="275"/>
      <c r="AE40" s="277"/>
      <c r="BB40" s="77"/>
      <c r="BC40" s="77"/>
    </row>
    <row r="41" spans="18:55" ht="30.75" customHeight="1">
      <c r="R41" s="510"/>
      <c r="S41" s="510"/>
      <c r="AC41" s="275"/>
      <c r="AD41" s="275"/>
      <c r="AE41" s="277"/>
      <c r="BB41" s="77"/>
      <c r="BC41" s="77"/>
    </row>
    <row r="42" spans="18:55" ht="30.75" customHeight="1">
      <c r="R42" s="510"/>
      <c r="S42" s="510"/>
      <c r="AC42" s="275"/>
      <c r="AD42" s="275"/>
      <c r="AE42" s="277"/>
      <c r="BB42" s="77"/>
      <c r="BC42" s="77"/>
    </row>
    <row r="43" spans="18:55" ht="30.75" customHeight="1">
      <c r="R43" s="510"/>
      <c r="S43" s="510"/>
      <c r="AC43" s="275"/>
      <c r="AD43" s="275"/>
      <c r="AE43" s="277"/>
      <c r="BB43" s="77"/>
      <c r="BC43" s="77"/>
    </row>
    <row r="44" spans="18:55" ht="30.75" customHeight="1">
      <c r="R44" s="510"/>
      <c r="S44" s="510"/>
      <c r="AC44" s="275"/>
      <c r="AD44" s="275"/>
      <c r="AE44" s="277"/>
      <c r="BB44" s="77"/>
      <c r="BC44" s="77"/>
    </row>
    <row r="45" spans="18:55" ht="30.75" customHeight="1">
      <c r="R45" s="510"/>
      <c r="S45" s="510"/>
      <c r="AC45" s="275"/>
      <c r="AD45" s="275"/>
      <c r="AE45" s="277"/>
      <c r="BB45" s="77"/>
      <c r="BC45" s="77"/>
    </row>
    <row r="46" spans="18:55" ht="30.75" customHeight="1">
      <c r="R46" s="510"/>
      <c r="S46" s="510"/>
      <c r="AC46" s="275"/>
      <c r="AD46" s="275"/>
      <c r="AE46" s="277"/>
      <c r="BB46" s="77"/>
      <c r="BC46" s="77"/>
    </row>
    <row r="47" spans="18:55" ht="30.75" customHeight="1">
      <c r="R47" s="510"/>
      <c r="S47" s="510"/>
    </row>
    <row r="48" spans="18:55" ht="30.75" customHeight="1">
      <c r="R48" s="510"/>
      <c r="S48" s="510"/>
    </row>
    <row r="49" spans="18:19" ht="30.75" customHeight="1">
      <c r="R49" s="510"/>
      <c r="S49" s="510"/>
    </row>
    <row r="50" spans="18:19" ht="30.75" customHeight="1">
      <c r="R50" s="510"/>
      <c r="S50" s="510"/>
    </row>
    <row r="51" spans="18:19" ht="30.75" customHeight="1">
      <c r="R51" s="510"/>
      <c r="S51" s="510"/>
    </row>
    <row r="52" spans="18:19" ht="30.75" customHeight="1">
      <c r="R52" s="510"/>
      <c r="S52" s="510"/>
    </row>
    <row r="53" spans="18:19" ht="30.75" customHeight="1">
      <c r="R53" s="510"/>
      <c r="S53" s="510"/>
    </row>
    <row r="54" spans="18:19" ht="30.75" customHeight="1">
      <c r="R54" s="510"/>
      <c r="S54" s="510"/>
    </row>
    <row r="55" spans="18:19" ht="30.75" customHeight="1">
      <c r="R55" s="510"/>
      <c r="S55" s="510"/>
    </row>
    <row r="56" spans="18:19" ht="30.75" customHeight="1">
      <c r="R56" s="510"/>
      <c r="S56" s="510"/>
    </row>
    <row r="57" spans="18:19" ht="30.75" customHeight="1">
      <c r="R57" s="510"/>
      <c r="S57" s="510"/>
    </row>
    <row r="58" spans="18:19" ht="30.75" customHeight="1">
      <c r="R58" s="510"/>
      <c r="S58" s="510"/>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7"/>
  <sheetViews>
    <sheetView view="pageBreakPreview" zoomScale="115" zoomScaleNormal="115" zoomScaleSheetLayoutView="115" workbookViewId="0">
      <selection activeCell="A3" sqref="A3:XFD6"/>
    </sheetView>
  </sheetViews>
  <sheetFormatPr defaultColWidth="10.25" defaultRowHeight="30.75" customHeight="1"/>
  <cols>
    <col min="1" max="1" width="12.625" style="275" customWidth="1"/>
    <col min="2" max="2" width="6.125" style="282" customWidth="1"/>
    <col min="3" max="3" width="6.5" style="282" customWidth="1"/>
    <col min="4" max="7" width="8.875" style="275" customWidth="1"/>
    <col min="8" max="8" width="9.125" style="275" customWidth="1"/>
    <col min="9" max="15" width="8.875" style="275" customWidth="1"/>
    <col min="16" max="16" width="14.125" style="275" bestFit="1" customWidth="1"/>
    <col min="17" max="17" width="11" style="275" customWidth="1"/>
    <col min="18" max="18" width="19.375" style="78" customWidth="1"/>
    <col min="19" max="19" width="9.875" style="275" customWidth="1"/>
    <col min="20" max="20" width="7" style="275" bestFit="1" customWidth="1"/>
    <col min="21" max="21" width="8.75" style="275" customWidth="1"/>
    <col min="22" max="22" width="7.375" style="275" customWidth="1"/>
    <col min="23" max="23" width="8.625" style="275" customWidth="1"/>
    <col min="24" max="24" width="4.5" style="275" customWidth="1"/>
    <col min="25" max="25" width="14.5" style="275" bestFit="1" customWidth="1"/>
    <col min="26" max="26" width="16" style="275" customWidth="1"/>
    <col min="27" max="27" width="17.125" style="277" bestFit="1" customWidth="1"/>
    <col min="28" max="16384" width="10.25" style="78"/>
  </cols>
  <sheetData>
    <row r="1" spans="1:28" ht="25.5" customHeight="1">
      <c r="A1" s="279" t="s">
        <v>1029</v>
      </c>
      <c r="Q1" s="393" t="s">
        <v>1030</v>
      </c>
    </row>
    <row r="2" spans="1:28" ht="22.5" customHeight="1">
      <c r="A2" s="394" t="s">
        <v>1031</v>
      </c>
      <c r="B2" s="395" t="s">
        <v>1036</v>
      </c>
      <c r="C2" s="396" t="s">
        <v>1037</v>
      </c>
      <c r="D2" s="478" t="s">
        <v>768</v>
      </c>
      <c r="E2" s="478" t="s">
        <v>1052</v>
      </c>
      <c r="F2" s="478" t="s">
        <v>758</v>
      </c>
      <c r="G2" s="478" t="s">
        <v>759</v>
      </c>
      <c r="H2" s="478" t="s">
        <v>760</v>
      </c>
      <c r="I2" s="478" t="s">
        <v>761</v>
      </c>
      <c r="J2" s="478" t="s">
        <v>762</v>
      </c>
      <c r="K2" s="478" t="s">
        <v>763</v>
      </c>
      <c r="L2" s="478" t="s">
        <v>764</v>
      </c>
      <c r="M2" s="478" t="s">
        <v>765</v>
      </c>
      <c r="N2" s="478" t="s">
        <v>766</v>
      </c>
      <c r="O2" s="478" t="s">
        <v>767</v>
      </c>
      <c r="P2" s="429" t="s">
        <v>1038</v>
      </c>
      <c r="Q2" s="430" t="s">
        <v>1039</v>
      </c>
      <c r="R2" s="394" t="s">
        <v>1032</v>
      </c>
      <c r="S2" s="394" t="s">
        <v>1033</v>
      </c>
      <c r="T2" s="394" t="s">
        <v>1034</v>
      </c>
      <c r="U2" s="394"/>
      <c r="V2" s="477" t="s">
        <v>1035</v>
      </c>
      <c r="W2" s="478"/>
      <c r="X2" s="291" t="s">
        <v>1040</v>
      </c>
    </row>
    <row r="3" spans="1:28" ht="22.5" customHeight="1">
      <c r="A3" s="247" t="s">
        <v>1041</v>
      </c>
      <c r="B3" s="445">
        <v>0.56999999999999995</v>
      </c>
      <c r="C3" s="493">
        <f>B3+D3+E3+F3+G3+H3+I3+J3</f>
        <v>0.75500000000000012</v>
      </c>
      <c r="D3" s="297">
        <v>0.05</v>
      </c>
      <c r="E3" s="297">
        <v>0.05</v>
      </c>
      <c r="F3" s="297">
        <v>0.05</v>
      </c>
      <c r="G3" s="297">
        <v>0.02</v>
      </c>
      <c r="H3" s="297">
        <v>5.0000000000000001E-3</v>
      </c>
      <c r="I3" s="297">
        <v>5.0000000000000001E-3</v>
      </c>
      <c r="J3" s="297">
        <v>5.0000000000000001E-3</v>
      </c>
      <c r="K3" s="297">
        <v>5.0000000000000001E-3</v>
      </c>
      <c r="L3" s="297">
        <v>5.0000000000000001E-3</v>
      </c>
      <c r="M3" s="297">
        <v>0</v>
      </c>
      <c r="N3" s="297">
        <v>0.1</v>
      </c>
      <c r="O3" s="297"/>
      <c r="P3" s="415"/>
      <c r="Q3" s="415" t="s">
        <v>1044</v>
      </c>
      <c r="R3" s="444" t="s">
        <v>1042</v>
      </c>
      <c r="S3" s="431" t="s">
        <v>917</v>
      </c>
      <c r="T3" s="293" t="s">
        <v>814</v>
      </c>
      <c r="U3" s="294">
        <f>BK3/1100000</f>
        <v>0</v>
      </c>
      <c r="V3" s="412" t="s">
        <v>1043</v>
      </c>
      <c r="W3" s="432">
        <f>BM3/1100000</f>
        <v>0</v>
      </c>
      <c r="X3" s="80"/>
      <c r="Y3" s="80" t="s">
        <v>814</v>
      </c>
      <c r="Z3" s="81">
        <v>201672000</v>
      </c>
      <c r="AA3" s="82" t="s">
        <v>801</v>
      </c>
      <c r="AB3" s="326">
        <v>150511200</v>
      </c>
    </row>
    <row r="4" spans="1:28" ht="22.5" customHeight="1">
      <c r="A4" s="248"/>
      <c r="B4" s="448"/>
      <c r="C4" s="498"/>
      <c r="D4" s="451"/>
      <c r="E4" s="451"/>
      <c r="F4" s="451" t="s">
        <v>989</v>
      </c>
      <c r="G4" s="451"/>
      <c r="H4" s="451" t="s">
        <v>881</v>
      </c>
      <c r="I4" s="451" t="s">
        <v>881</v>
      </c>
      <c r="J4" s="451" t="s">
        <v>996</v>
      </c>
      <c r="K4" s="451" t="s">
        <v>996</v>
      </c>
      <c r="L4" s="451" t="s">
        <v>996</v>
      </c>
      <c r="M4" s="451" t="s">
        <v>996</v>
      </c>
      <c r="N4" s="451" t="s">
        <v>881</v>
      </c>
      <c r="O4" s="451"/>
      <c r="P4" s="424"/>
      <c r="Q4" s="421"/>
      <c r="R4" s="433"/>
      <c r="S4" s="435" t="s">
        <v>816</v>
      </c>
      <c r="T4" s="303" t="s">
        <v>817</v>
      </c>
      <c r="U4" s="304" t="e">
        <f>U3-#REF!</f>
        <v>#REF!</v>
      </c>
      <c r="V4" s="423" t="s">
        <v>817</v>
      </c>
      <c r="W4" s="419" t="e">
        <f>W3-#REF!</f>
        <v>#REF!</v>
      </c>
      <c r="X4" s="80"/>
      <c r="Y4" s="80" t="s">
        <v>817</v>
      </c>
      <c r="Z4" s="81">
        <v>141170000</v>
      </c>
      <c r="AA4" s="82" t="s">
        <v>817</v>
      </c>
      <c r="AB4" s="83" t="e">
        <f>AB3-#REF!</f>
        <v>#REF!</v>
      </c>
    </row>
    <row r="5" spans="1:28" s="350" customFormat="1" ht="22.5" customHeight="1">
      <c r="A5" s="458" t="s">
        <v>1046</v>
      </c>
      <c r="B5" s="460"/>
      <c r="C5" s="493">
        <f>B5+D5+E5+F5+G5+H5+I5+J5</f>
        <v>1</v>
      </c>
      <c r="D5" s="338"/>
      <c r="E5" s="338"/>
      <c r="F5" s="338"/>
      <c r="G5" s="338">
        <v>0.1</v>
      </c>
      <c r="H5" s="338">
        <v>0.8</v>
      </c>
      <c r="I5" s="338">
        <v>0.1</v>
      </c>
      <c r="J5" s="338"/>
      <c r="K5" s="338"/>
      <c r="L5" s="338"/>
      <c r="M5" s="338"/>
      <c r="N5" s="338"/>
      <c r="O5" s="338"/>
      <c r="P5" s="403"/>
      <c r="Q5" s="403" t="s">
        <v>1049</v>
      </c>
      <c r="R5" s="459" t="s">
        <v>1047</v>
      </c>
      <c r="S5" s="436" t="s">
        <v>1048</v>
      </c>
      <c r="T5" s="334" t="s">
        <v>814</v>
      </c>
      <c r="U5" s="335">
        <f>BK5/1100000</f>
        <v>0</v>
      </c>
      <c r="V5" s="400" t="s">
        <v>1043</v>
      </c>
      <c r="W5" s="437">
        <f>BM5/1100000</f>
        <v>0</v>
      </c>
      <c r="X5" s="343"/>
      <c r="Y5" s="343" t="s">
        <v>814</v>
      </c>
      <c r="Z5" s="344">
        <v>30300000</v>
      </c>
      <c r="AA5" s="359" t="s">
        <v>801</v>
      </c>
      <c r="AB5" s="346">
        <f>Z5*0.7</f>
        <v>21210000</v>
      </c>
    </row>
    <row r="6" spans="1:28" s="350" customFormat="1" ht="22.5" customHeight="1">
      <c r="A6" s="463"/>
      <c r="B6" s="464"/>
      <c r="C6" s="498"/>
      <c r="D6" s="467"/>
      <c r="E6" s="467"/>
      <c r="F6" s="467" t="s">
        <v>989</v>
      </c>
      <c r="G6" s="467"/>
      <c r="H6" s="467" t="s">
        <v>920</v>
      </c>
      <c r="I6" s="467" t="s">
        <v>1050</v>
      </c>
      <c r="J6" s="467" t="s">
        <v>1050</v>
      </c>
      <c r="K6" s="467" t="s">
        <v>996</v>
      </c>
      <c r="L6" s="467" t="s">
        <v>996</v>
      </c>
      <c r="M6" s="467" t="s">
        <v>996</v>
      </c>
      <c r="N6" s="467"/>
      <c r="O6" s="467"/>
      <c r="P6" s="408"/>
      <c r="Q6" s="405"/>
      <c r="R6" s="438"/>
      <c r="S6" s="439" t="s">
        <v>816</v>
      </c>
      <c r="T6" s="351" t="s">
        <v>817</v>
      </c>
      <c r="U6" s="352" t="e">
        <f>U5-#REF!</f>
        <v>#REF!</v>
      </c>
      <c r="V6" s="407" t="s">
        <v>817</v>
      </c>
      <c r="W6" s="404" t="e">
        <f>W5-#REF!</f>
        <v>#REF!</v>
      </c>
      <c r="X6" s="343"/>
      <c r="Y6" s="343" t="s">
        <v>817</v>
      </c>
      <c r="Z6" s="344">
        <v>0</v>
      </c>
      <c r="AA6" s="359" t="s">
        <v>817</v>
      </c>
      <c r="AB6" s="360" t="e">
        <f>AB5-#REF!</f>
        <v>#REF!</v>
      </c>
    </row>
    <row r="7" spans="1:28" ht="30.75" customHeight="1">
      <c r="R7" s="428"/>
      <c r="S7" s="388"/>
      <c r="U7" s="388"/>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I19"/>
  <sheetViews>
    <sheetView view="pageBreakPreview" zoomScaleNormal="100" zoomScaleSheetLayoutView="100" workbookViewId="0">
      <selection activeCell="A19" sqref="A4:XFD19"/>
    </sheetView>
  </sheetViews>
  <sheetFormatPr defaultRowHeight="30.75" customHeight="1"/>
  <cols>
    <col min="1" max="1" width="12.625" style="275" customWidth="1"/>
    <col min="2" max="2" width="4.875" style="282" customWidth="1"/>
    <col min="3" max="3" width="5.25" style="282" customWidth="1"/>
    <col min="4" max="15" width="8.875" style="275" customWidth="1"/>
    <col min="16" max="16" width="18.875" style="275" customWidth="1"/>
    <col min="17" max="17" width="11" style="275" customWidth="1"/>
    <col min="18" max="18" width="19.375" style="78" customWidth="1"/>
    <col min="19" max="19" width="9.875" style="275" customWidth="1"/>
    <col min="20" max="20" width="5.125" style="275" customWidth="1"/>
    <col min="21" max="21" width="8.75" style="275" customWidth="1"/>
    <col min="22" max="22" width="5.125" style="275" customWidth="1"/>
    <col min="23" max="23" width="8.625" style="275" customWidth="1"/>
    <col min="24" max="25" width="9" style="275"/>
    <col min="26" max="27" width="4.5" style="275" customWidth="1"/>
    <col min="28" max="28" width="6.125" style="275" customWidth="1"/>
    <col min="29" max="29" width="17.125" style="275" customWidth="1"/>
    <col min="30" max="30" width="9" style="277"/>
    <col min="31" max="31" width="15.75" style="77" customWidth="1"/>
    <col min="32" max="54" width="16.5" style="77" customWidth="1"/>
    <col min="55" max="16384" width="9" style="78"/>
  </cols>
  <sheetData>
    <row r="1" spans="1:61" s="590" customFormat="1" ht="21" customHeight="1">
      <c r="A1" s="441" t="s">
        <v>1293</v>
      </c>
      <c r="B1" s="441"/>
      <c r="C1" s="441"/>
      <c r="D1" s="441"/>
      <c r="E1" s="441"/>
      <c r="F1" s="441"/>
      <c r="G1" s="441"/>
      <c r="H1" s="441"/>
      <c r="I1" s="441"/>
      <c r="J1" s="441"/>
      <c r="K1" s="441"/>
      <c r="L1" s="441"/>
      <c r="M1" s="441"/>
      <c r="N1" s="441"/>
      <c r="O1" s="441"/>
      <c r="P1" s="441"/>
      <c r="Q1" s="441"/>
      <c r="R1" s="441"/>
      <c r="S1" s="441"/>
      <c r="T1" s="441"/>
      <c r="U1" s="441"/>
      <c r="V1" s="441"/>
      <c r="W1" s="441"/>
      <c r="X1" s="273"/>
      <c r="Y1" s="273"/>
      <c r="Z1" s="441"/>
      <c r="AA1" s="441"/>
      <c r="AB1" s="273"/>
      <c r="AC1" s="273"/>
      <c r="AD1" s="588"/>
      <c r="AE1" s="589"/>
      <c r="AF1" s="589"/>
      <c r="AG1" s="589"/>
      <c r="AH1" s="589"/>
      <c r="AI1" s="589"/>
      <c r="AJ1" s="589"/>
      <c r="AK1" s="589"/>
      <c r="AL1" s="589"/>
      <c r="AM1" s="589"/>
      <c r="AN1" s="589"/>
      <c r="AO1" s="589"/>
      <c r="AP1" s="589"/>
      <c r="AQ1" s="589"/>
      <c r="AR1" s="589"/>
      <c r="AS1" s="589"/>
      <c r="AT1" s="589"/>
      <c r="AU1" s="589"/>
      <c r="AV1" s="589"/>
      <c r="AW1" s="589"/>
      <c r="AX1" s="589"/>
      <c r="AY1" s="589"/>
      <c r="AZ1" s="589"/>
      <c r="BA1" s="589"/>
      <c r="BB1" s="589"/>
    </row>
    <row r="2" spans="1:61" ht="19.5" customHeight="1">
      <c r="A2" s="279" t="s">
        <v>19</v>
      </c>
      <c r="Q2" s="393" t="s">
        <v>785</v>
      </c>
    </row>
    <row r="3" spans="1:61" ht="28.5" customHeight="1" thickBot="1">
      <c r="A3" s="513" t="s">
        <v>786</v>
      </c>
      <c r="B3" s="514" t="s">
        <v>22</v>
      </c>
      <c r="C3" s="514" t="s">
        <v>23</v>
      </c>
      <c r="D3" s="552" t="s">
        <v>768</v>
      </c>
      <c r="E3" s="552" t="s">
        <v>1052</v>
      </c>
      <c r="F3" s="552" t="s">
        <v>758</v>
      </c>
      <c r="G3" s="552" t="s">
        <v>759</v>
      </c>
      <c r="H3" s="552" t="s">
        <v>760</v>
      </c>
      <c r="I3" s="552" t="s">
        <v>761</v>
      </c>
      <c r="J3" s="552" t="s">
        <v>762</v>
      </c>
      <c r="K3" s="552" t="s">
        <v>763</v>
      </c>
      <c r="L3" s="552" t="s">
        <v>764</v>
      </c>
      <c r="M3" s="552" t="s">
        <v>765</v>
      </c>
      <c r="N3" s="552" t="s">
        <v>766</v>
      </c>
      <c r="O3" s="552" t="s">
        <v>767</v>
      </c>
      <c r="P3" s="516" t="s">
        <v>1294</v>
      </c>
      <c r="Q3" s="516" t="s">
        <v>5</v>
      </c>
      <c r="R3" s="513" t="s">
        <v>787</v>
      </c>
      <c r="S3" s="513" t="s">
        <v>3</v>
      </c>
      <c r="T3" s="513" t="s">
        <v>788</v>
      </c>
      <c r="U3" s="513"/>
      <c r="V3" s="551" t="s">
        <v>20</v>
      </c>
      <c r="W3" s="552"/>
      <c r="X3" s="290"/>
      <c r="Y3" s="290"/>
      <c r="Z3" s="291" t="s">
        <v>1</v>
      </c>
      <c r="AA3" s="587"/>
    </row>
    <row r="4" spans="1:61" ht="22.5" customHeight="1" thickBot="1">
      <c r="A4" s="490" t="s">
        <v>1295</v>
      </c>
      <c r="B4" s="554">
        <v>0.05</v>
      </c>
      <c r="C4" s="598">
        <f>B4+D4+E4+F4+G4+H4+I4+J4+K4+L4+M4+N4+O4</f>
        <v>0.60000000000000009</v>
      </c>
      <c r="D4" s="525"/>
      <c r="E4" s="525">
        <v>0.05</v>
      </c>
      <c r="F4" s="525"/>
      <c r="G4" s="525"/>
      <c r="H4" s="414">
        <v>0.1</v>
      </c>
      <c r="I4" s="414">
        <v>0.1</v>
      </c>
      <c r="J4" s="525"/>
      <c r="K4" s="525"/>
      <c r="L4" s="525">
        <v>0.05</v>
      </c>
      <c r="M4" s="525">
        <v>0.05</v>
      </c>
      <c r="N4" s="525">
        <v>0.2</v>
      </c>
      <c r="O4" s="525"/>
      <c r="P4" s="494" t="s">
        <v>1298</v>
      </c>
      <c r="Q4" s="494" t="s">
        <v>1299</v>
      </c>
      <c r="R4" s="491" t="s">
        <v>1296</v>
      </c>
      <c r="S4" s="520" t="s">
        <v>1297</v>
      </c>
      <c r="T4" s="521" t="s">
        <v>89</v>
      </c>
      <c r="U4" s="522">
        <f>BK4/1100000</f>
        <v>0</v>
      </c>
      <c r="V4" s="523" t="s">
        <v>7</v>
      </c>
      <c r="W4" s="524" t="e">
        <f>U4*0.75-(#REF!+W5)</f>
        <v>#REF!</v>
      </c>
      <c r="X4" s="299" t="s">
        <v>90</v>
      </c>
      <c r="Y4" s="79" t="s">
        <v>34</v>
      </c>
      <c r="Z4" s="596" t="s">
        <v>194</v>
      </c>
      <c r="AA4" s="596"/>
      <c r="AB4" s="80" t="s">
        <v>89</v>
      </c>
      <c r="AC4" s="81">
        <v>91000000</v>
      </c>
      <c r="AD4" s="82" t="s">
        <v>98</v>
      </c>
      <c r="AE4" s="83">
        <f>SUM(AF4:BB4)</f>
        <v>0</v>
      </c>
      <c r="AF4" s="91"/>
      <c r="AG4" s="92"/>
      <c r="AH4" s="92"/>
      <c r="AI4" s="92"/>
      <c r="AJ4" s="92"/>
      <c r="AK4" s="92"/>
      <c r="AL4" s="92"/>
      <c r="AM4" s="92"/>
      <c r="AN4" s="92"/>
      <c r="AO4" s="92"/>
      <c r="AP4" s="92"/>
      <c r="AQ4" s="92"/>
      <c r="AR4" s="92"/>
      <c r="AS4" s="92"/>
      <c r="AT4" s="92"/>
      <c r="AU4" s="92"/>
      <c r="AV4" s="92"/>
      <c r="AW4" s="92"/>
      <c r="AX4" s="92"/>
      <c r="AY4" s="92"/>
      <c r="AZ4" s="92"/>
      <c r="BA4" s="92"/>
      <c r="BB4" s="92"/>
    </row>
    <row r="5" spans="1:61" ht="22.5" customHeight="1" thickBot="1">
      <c r="A5" s="495"/>
      <c r="B5" s="558"/>
      <c r="C5" s="599"/>
      <c r="D5" s="560"/>
      <c r="E5" s="560"/>
      <c r="F5" s="560"/>
      <c r="G5" s="560"/>
      <c r="H5" s="560"/>
      <c r="I5" s="560"/>
      <c r="J5" s="560"/>
      <c r="K5" s="560"/>
      <c r="L5" s="560"/>
      <c r="M5" s="560" t="s">
        <v>1301</v>
      </c>
      <c r="N5" s="560" t="s">
        <v>1301</v>
      </c>
      <c r="O5" s="560"/>
      <c r="P5" s="506"/>
      <c r="Q5" s="499"/>
      <c r="R5" s="496"/>
      <c r="S5" s="531" t="s">
        <v>1300</v>
      </c>
      <c r="T5" s="526" t="s">
        <v>196</v>
      </c>
      <c r="U5" s="527" t="e">
        <f>U4-#REF!</f>
        <v>#REF!</v>
      </c>
      <c r="V5" s="532" t="s">
        <v>15</v>
      </c>
      <c r="W5" s="529" t="e">
        <f>(#REF!+BM5)/1100000</f>
        <v>#REF!</v>
      </c>
      <c r="X5" s="85"/>
      <c r="Y5" s="69"/>
      <c r="Z5" s="597"/>
      <c r="AA5" s="597"/>
      <c r="AB5" s="80" t="s">
        <v>196</v>
      </c>
      <c r="AC5" s="81" t="e">
        <f>AC4-#REF!</f>
        <v>#REF!</v>
      </c>
      <c r="AD5" s="82" t="s">
        <v>100</v>
      </c>
      <c r="AE5" s="83"/>
      <c r="BC5" s="68"/>
      <c r="BD5" s="68"/>
      <c r="BE5" s="68"/>
      <c r="BF5" s="68"/>
      <c r="BG5" s="68"/>
      <c r="BH5" s="68"/>
      <c r="BI5" s="68"/>
    </row>
    <row r="6" spans="1:61" ht="22.5" customHeight="1" thickBot="1">
      <c r="A6" s="490" t="s">
        <v>1303</v>
      </c>
      <c r="B6" s="554">
        <v>0.2</v>
      </c>
      <c r="C6" s="569">
        <f>B6+D6+E6+F6+G6+H6+I6+J6+K6+L6+M6+N6+O6</f>
        <v>0.89999999999999991</v>
      </c>
      <c r="D6" s="525"/>
      <c r="E6" s="525"/>
      <c r="F6" s="525"/>
      <c r="G6" s="525"/>
      <c r="H6" s="525">
        <v>0.3</v>
      </c>
      <c r="I6" s="525">
        <v>0.2</v>
      </c>
      <c r="J6" s="525">
        <v>0.2</v>
      </c>
      <c r="K6" s="525"/>
      <c r="L6" s="525"/>
      <c r="M6" s="525"/>
      <c r="N6" s="525"/>
      <c r="O6" s="525"/>
      <c r="P6" s="494" t="s">
        <v>1306</v>
      </c>
      <c r="Q6" s="494" t="s">
        <v>1307</v>
      </c>
      <c r="R6" s="491" t="s">
        <v>1304</v>
      </c>
      <c r="S6" s="520" t="s">
        <v>1305</v>
      </c>
      <c r="T6" s="521" t="s">
        <v>89</v>
      </c>
      <c r="U6" s="522">
        <f>BK6/1100000</f>
        <v>0</v>
      </c>
      <c r="V6" s="523" t="s">
        <v>7</v>
      </c>
      <c r="W6" s="524" t="e">
        <f>U6*0.75-(#REF!+W7)</f>
        <v>#REF!</v>
      </c>
      <c r="X6" s="90" t="s">
        <v>90</v>
      </c>
      <c r="Y6" s="79" t="s">
        <v>34</v>
      </c>
      <c r="Z6" s="596"/>
      <c r="AA6" s="596"/>
      <c r="AB6" s="80" t="s">
        <v>89</v>
      </c>
      <c r="AC6" s="81">
        <v>21230000</v>
      </c>
      <c r="AD6" s="82" t="s">
        <v>98</v>
      </c>
      <c r="AE6" s="83">
        <f>SUM(AF6:BB6)</f>
        <v>0</v>
      </c>
      <c r="AF6" s="91" t="s">
        <v>108</v>
      </c>
      <c r="AG6" s="92"/>
      <c r="AH6" s="92"/>
      <c r="AI6" s="92"/>
      <c r="AJ6" s="92"/>
      <c r="AK6" s="92"/>
      <c r="AL6" s="92"/>
      <c r="AM6" s="92"/>
      <c r="AN6" s="92"/>
      <c r="AO6" s="92"/>
      <c r="AP6" s="92"/>
      <c r="AQ6" s="92"/>
      <c r="AR6" s="92"/>
      <c r="AS6" s="92"/>
      <c r="AT6" s="92"/>
      <c r="AU6" s="92"/>
      <c r="AV6" s="92"/>
      <c r="AW6" s="92"/>
      <c r="AX6" s="92"/>
      <c r="AY6" s="92"/>
      <c r="AZ6" s="92"/>
      <c r="BA6" s="92"/>
      <c r="BB6" s="92"/>
    </row>
    <row r="7" spans="1:61" ht="22.5" customHeight="1" thickBot="1">
      <c r="A7" s="495"/>
      <c r="B7" s="558"/>
      <c r="C7" s="570"/>
      <c r="D7" s="560"/>
      <c r="E7" s="560"/>
      <c r="F7" s="560"/>
      <c r="G7" s="560"/>
      <c r="H7" s="560"/>
      <c r="I7" s="560"/>
      <c r="J7" s="560"/>
      <c r="K7" s="560"/>
      <c r="L7" s="560"/>
      <c r="M7" s="560"/>
      <c r="N7" s="560"/>
      <c r="O7" s="560"/>
      <c r="P7" s="506"/>
      <c r="Q7" s="499"/>
      <c r="R7" s="496"/>
      <c r="S7" s="593" t="s">
        <v>1308</v>
      </c>
      <c r="T7" s="526" t="s">
        <v>196</v>
      </c>
      <c r="U7" s="527" t="e">
        <f>U6-#REF!</f>
        <v>#REF!</v>
      </c>
      <c r="V7" s="532" t="s">
        <v>15</v>
      </c>
      <c r="W7" s="529" t="e">
        <f>(#REF!+BM7)/1100000</f>
        <v>#REF!</v>
      </c>
      <c r="X7" s="69"/>
      <c r="Y7" s="75"/>
      <c r="Z7" s="597"/>
      <c r="AA7" s="597"/>
      <c r="AB7" s="80" t="s">
        <v>196</v>
      </c>
      <c r="AC7" s="81" t="e">
        <f>AC6-#REF!</f>
        <v>#REF!</v>
      </c>
      <c r="AD7" s="82" t="s">
        <v>100</v>
      </c>
      <c r="AE7" s="83"/>
      <c r="BC7" s="68"/>
      <c r="BD7" s="68"/>
      <c r="BE7" s="68"/>
      <c r="BF7" s="68"/>
      <c r="BG7" s="68"/>
      <c r="BH7" s="68"/>
      <c r="BI7" s="68"/>
    </row>
    <row r="8" spans="1:61" ht="22.5" customHeight="1" thickBot="1">
      <c r="A8" s="490" t="s">
        <v>1309</v>
      </c>
      <c r="B8" s="554">
        <v>0.4</v>
      </c>
      <c r="C8" s="598">
        <f>B8+D8+E8+F8+G8+H8+I8+J8+K8+L8+M8+N8+O8</f>
        <v>1</v>
      </c>
      <c r="D8" s="525">
        <v>0.2</v>
      </c>
      <c r="E8" s="525">
        <v>0.2</v>
      </c>
      <c r="F8" s="525">
        <v>0.1</v>
      </c>
      <c r="G8" s="525">
        <v>0.1</v>
      </c>
      <c r="H8" s="414"/>
      <c r="I8" s="414"/>
      <c r="J8" s="525"/>
      <c r="K8" s="525"/>
      <c r="L8" s="525"/>
      <c r="M8" s="525"/>
      <c r="N8" s="525"/>
      <c r="O8" s="525"/>
      <c r="P8" s="494"/>
      <c r="Q8" s="494" t="s">
        <v>1312</v>
      </c>
      <c r="R8" s="491" t="s">
        <v>1310</v>
      </c>
      <c r="S8" s="594" t="s">
        <v>1311</v>
      </c>
      <c r="T8" s="521" t="s">
        <v>89</v>
      </c>
      <c r="U8" s="522">
        <f>BK8/1100000</f>
        <v>0</v>
      </c>
      <c r="V8" s="523" t="s">
        <v>7</v>
      </c>
      <c r="W8" s="524" t="e">
        <f>U8*0.75-(#REF!+W9)</f>
        <v>#REF!</v>
      </c>
      <c r="X8" s="90" t="s">
        <v>90</v>
      </c>
      <c r="Y8" s="79" t="s">
        <v>34</v>
      </c>
      <c r="Z8" s="596"/>
      <c r="AA8" s="596"/>
      <c r="AB8" s="80" t="s">
        <v>89</v>
      </c>
      <c r="AC8" s="81">
        <v>34000000</v>
      </c>
      <c r="AD8" s="82" t="s">
        <v>98</v>
      </c>
      <c r="AE8" s="83">
        <f>SUM(AF8:BB8)</f>
        <v>0</v>
      </c>
      <c r="AF8" s="91"/>
      <c r="AG8" s="92"/>
      <c r="AH8" s="92"/>
      <c r="AI8" s="92"/>
      <c r="AJ8" s="92"/>
      <c r="AK8" s="92"/>
      <c r="AL8" s="92"/>
      <c r="AM8" s="92"/>
      <c r="AN8" s="92"/>
      <c r="AO8" s="92"/>
      <c r="AP8" s="92"/>
      <c r="AQ8" s="92"/>
      <c r="AR8" s="92"/>
      <c r="AS8" s="92"/>
      <c r="AT8" s="92"/>
      <c r="AU8" s="92"/>
      <c r="AV8" s="92"/>
      <c r="AW8" s="92"/>
      <c r="AX8" s="92"/>
      <c r="AY8" s="92"/>
      <c r="AZ8" s="92"/>
      <c r="BA8" s="92"/>
      <c r="BB8" s="92"/>
    </row>
    <row r="9" spans="1:61" ht="22.5" customHeight="1" thickBot="1">
      <c r="A9" s="495"/>
      <c r="B9" s="558"/>
      <c r="C9" s="599"/>
      <c r="D9" s="560"/>
      <c r="E9" s="560"/>
      <c r="F9" s="560"/>
      <c r="G9" s="560"/>
      <c r="H9" s="560"/>
      <c r="I9" s="560"/>
      <c r="J9" s="560"/>
      <c r="K9" s="560"/>
      <c r="L9" s="560"/>
      <c r="M9" s="560"/>
      <c r="N9" s="560"/>
      <c r="O9" s="560"/>
      <c r="P9" s="506"/>
      <c r="Q9" s="499"/>
      <c r="R9" s="496"/>
      <c r="S9" s="593" t="s">
        <v>72</v>
      </c>
      <c r="T9" s="526" t="s">
        <v>196</v>
      </c>
      <c r="U9" s="527" t="e">
        <f>U8-#REF!</f>
        <v>#REF!</v>
      </c>
      <c r="V9" s="532" t="s">
        <v>15</v>
      </c>
      <c r="W9" s="529" t="e">
        <f>(#REF!+BM9)/1100000</f>
        <v>#REF!</v>
      </c>
      <c r="X9" s="69"/>
      <c r="Y9" s="75"/>
      <c r="Z9" s="597"/>
      <c r="AA9" s="597"/>
      <c r="AB9" s="80" t="s">
        <v>196</v>
      </c>
      <c r="AC9" s="81" t="e">
        <f>AC8-#REF!</f>
        <v>#REF!</v>
      </c>
      <c r="AD9" s="82" t="s">
        <v>100</v>
      </c>
      <c r="AE9" s="83"/>
      <c r="BC9" s="68"/>
      <c r="BD9" s="68"/>
      <c r="BE9" s="68"/>
      <c r="BF9" s="68"/>
      <c r="BG9" s="68"/>
      <c r="BH9" s="68"/>
      <c r="BI9" s="68"/>
    </row>
    <row r="10" spans="1:61" ht="22.5" customHeight="1" thickBot="1">
      <c r="A10" s="490" t="s">
        <v>1313</v>
      </c>
      <c r="B10" s="554">
        <v>0.88</v>
      </c>
      <c r="C10" s="598">
        <f>B10+D10+E10+F10+G10+H10+I10+J10+K10+L10+M10+N10+O10</f>
        <v>1</v>
      </c>
      <c r="D10" s="525"/>
      <c r="E10" s="525"/>
      <c r="F10" s="525"/>
      <c r="G10" s="525"/>
      <c r="H10" s="525"/>
      <c r="I10" s="525"/>
      <c r="J10" s="525">
        <v>0.12</v>
      </c>
      <c r="K10" s="525"/>
      <c r="L10" s="525"/>
      <c r="M10" s="525"/>
      <c r="N10" s="525"/>
      <c r="O10" s="525"/>
      <c r="P10" s="494" t="s">
        <v>1316</v>
      </c>
      <c r="Q10" s="494"/>
      <c r="R10" s="494" t="s">
        <v>1314</v>
      </c>
      <c r="S10" s="594" t="s">
        <v>1315</v>
      </c>
      <c r="T10" s="521" t="s">
        <v>89</v>
      </c>
      <c r="U10" s="522">
        <f>BK10/1100000</f>
        <v>0</v>
      </c>
      <c r="V10" s="523" t="s">
        <v>7</v>
      </c>
      <c r="W10" s="524" t="e">
        <f>U10*0.75-(#REF!+W11)</f>
        <v>#REF!</v>
      </c>
      <c r="X10" s="90" t="s">
        <v>90</v>
      </c>
      <c r="Y10" s="79" t="s">
        <v>34</v>
      </c>
      <c r="Z10" s="596"/>
      <c r="AA10" s="596"/>
      <c r="AB10" s="80" t="s">
        <v>89</v>
      </c>
      <c r="AC10" s="81">
        <v>121000000</v>
      </c>
      <c r="AD10" s="82" t="s">
        <v>98</v>
      </c>
      <c r="AE10" s="83">
        <f>SUM(AF10:BB10)</f>
        <v>0</v>
      </c>
      <c r="AF10" s="91"/>
      <c r="AG10" s="92"/>
      <c r="AH10" s="92"/>
      <c r="AI10" s="92"/>
      <c r="AJ10" s="92"/>
      <c r="AK10" s="92"/>
      <c r="AL10" s="92"/>
      <c r="AM10" s="92"/>
      <c r="AN10" s="92"/>
      <c r="AO10" s="92"/>
      <c r="AP10" s="92"/>
      <c r="AQ10" s="92"/>
      <c r="AR10" s="92"/>
      <c r="AS10" s="92"/>
      <c r="AT10" s="92"/>
      <c r="AU10" s="92"/>
      <c r="AV10" s="92"/>
      <c r="AW10" s="92"/>
      <c r="AX10" s="92"/>
      <c r="AY10" s="92"/>
      <c r="AZ10" s="92"/>
      <c r="BA10" s="92"/>
      <c r="BB10" s="92"/>
    </row>
    <row r="11" spans="1:61" ht="22.5" customHeight="1" thickBot="1">
      <c r="A11" s="495"/>
      <c r="B11" s="558"/>
      <c r="C11" s="599"/>
      <c r="D11" s="560"/>
      <c r="E11" s="560"/>
      <c r="F11" s="560"/>
      <c r="G11" s="560"/>
      <c r="H11" s="560"/>
      <c r="I11" s="560"/>
      <c r="J11" s="560"/>
      <c r="K11" s="560"/>
      <c r="L11" s="560"/>
      <c r="M11" s="560"/>
      <c r="N11" s="560"/>
      <c r="O11" s="560"/>
      <c r="P11" s="506"/>
      <c r="Q11" s="499"/>
      <c r="R11" s="600"/>
      <c r="S11" s="531" t="s">
        <v>67</v>
      </c>
      <c r="T11" s="526" t="s">
        <v>196</v>
      </c>
      <c r="U11" s="527" t="e">
        <f>U10-#REF!</f>
        <v>#REF!</v>
      </c>
      <c r="V11" s="532" t="s">
        <v>15</v>
      </c>
      <c r="W11" s="529" t="e">
        <f>(#REF!+BM11)/1100000</f>
        <v>#REF!</v>
      </c>
      <c r="X11" s="69"/>
      <c r="Y11" s="75"/>
      <c r="Z11" s="597"/>
      <c r="AA11" s="597"/>
      <c r="AB11" s="80" t="s">
        <v>196</v>
      </c>
      <c r="AC11" s="81" t="e">
        <f>AC10-#REF!</f>
        <v>#REF!</v>
      </c>
      <c r="AD11" s="82" t="s">
        <v>100</v>
      </c>
      <c r="AE11" s="83"/>
      <c r="BC11" s="68"/>
      <c r="BD11" s="68"/>
      <c r="BE11" s="68"/>
      <c r="BF11" s="68"/>
      <c r="BG11" s="68"/>
      <c r="BH11" s="68"/>
      <c r="BI11" s="68"/>
    </row>
    <row r="12" spans="1:61" ht="22.5" customHeight="1" thickBot="1">
      <c r="A12" s="563" t="s">
        <v>1318</v>
      </c>
      <c r="B12" s="554"/>
      <c r="C12" s="569">
        <f>B12+D12+E12+F12+G12+H12+I12+J12+K12+L12+M12+N12+O12</f>
        <v>0.39999999999999997</v>
      </c>
      <c r="D12" s="414"/>
      <c r="E12" s="414"/>
      <c r="F12" s="414"/>
      <c r="G12" s="414">
        <v>0.02</v>
      </c>
      <c r="H12" s="414">
        <v>0.03</v>
      </c>
      <c r="I12" s="414">
        <v>0.03</v>
      </c>
      <c r="J12" s="414">
        <v>0.05</v>
      </c>
      <c r="K12" s="525">
        <v>0.05</v>
      </c>
      <c r="L12" s="525">
        <v>0.05</v>
      </c>
      <c r="M12" s="525">
        <v>0.1</v>
      </c>
      <c r="N12" s="525">
        <v>7.0000000000000007E-2</v>
      </c>
      <c r="O12" s="525"/>
      <c r="P12" s="490" t="s">
        <v>1321</v>
      </c>
      <c r="Q12" s="494"/>
      <c r="R12" s="494" t="s">
        <v>1319</v>
      </c>
      <c r="S12" s="594" t="s">
        <v>1320</v>
      </c>
      <c r="T12" s="521" t="s">
        <v>814</v>
      </c>
      <c r="U12" s="522">
        <f>BK12/1100000</f>
        <v>0</v>
      </c>
      <c r="V12" s="523" t="s">
        <v>832</v>
      </c>
      <c r="W12" s="524" t="e">
        <f>U12*0.75-(#REF!+W13)</f>
        <v>#REF!</v>
      </c>
      <c r="X12" s="299" t="s">
        <v>812</v>
      </c>
      <c r="Y12" s="79" t="s">
        <v>813</v>
      </c>
      <c r="Z12" s="596" t="s">
        <v>1322</v>
      </c>
      <c r="AA12" s="596"/>
      <c r="AB12" s="80" t="s">
        <v>814</v>
      </c>
      <c r="AC12" s="81">
        <v>55000000</v>
      </c>
      <c r="AD12" s="82" t="s">
        <v>35</v>
      </c>
      <c r="AE12" s="83">
        <f>SUM(AF12:BB12)</f>
        <v>0</v>
      </c>
      <c r="AF12" s="91"/>
      <c r="AG12" s="92"/>
      <c r="AH12" s="92"/>
      <c r="AI12" s="92"/>
      <c r="AJ12" s="92"/>
      <c r="AK12" s="92"/>
      <c r="AL12" s="92"/>
      <c r="AM12" s="92"/>
      <c r="AN12" s="92"/>
      <c r="AO12" s="92"/>
      <c r="AP12" s="92"/>
      <c r="AQ12" s="92"/>
      <c r="AR12" s="92"/>
      <c r="AS12" s="92"/>
      <c r="AT12" s="92"/>
      <c r="AU12" s="92"/>
      <c r="AV12" s="92"/>
      <c r="AW12" s="92"/>
      <c r="AX12" s="92"/>
      <c r="AY12" s="92"/>
      <c r="AZ12" s="92"/>
      <c r="BA12" s="92"/>
      <c r="BB12" s="92"/>
    </row>
    <row r="13" spans="1:61" ht="22.5" customHeight="1" thickBot="1">
      <c r="A13" s="564"/>
      <c r="B13" s="558"/>
      <c r="C13" s="570"/>
      <c r="D13" s="560"/>
      <c r="E13" s="560"/>
      <c r="F13" s="560"/>
      <c r="G13" s="560"/>
      <c r="H13" s="560"/>
      <c r="I13" s="560"/>
      <c r="J13" s="560"/>
      <c r="K13" s="560" t="s">
        <v>1323</v>
      </c>
      <c r="L13" s="560" t="s">
        <v>1323</v>
      </c>
      <c r="M13" s="560" t="s">
        <v>1324</v>
      </c>
      <c r="N13" s="560"/>
      <c r="O13" s="560"/>
      <c r="P13" s="502"/>
      <c r="Q13" s="499"/>
      <c r="R13" s="600"/>
      <c r="S13" s="593" t="s">
        <v>72</v>
      </c>
      <c r="T13" s="526" t="s">
        <v>196</v>
      </c>
      <c r="U13" s="527" t="e">
        <f>U12-#REF!</f>
        <v>#REF!</v>
      </c>
      <c r="V13" s="532" t="s">
        <v>15</v>
      </c>
      <c r="W13" s="529" t="e">
        <f>(#REF!+BM13)/1100000</f>
        <v>#REF!</v>
      </c>
      <c r="X13" s="85"/>
      <c r="Y13" s="69"/>
      <c r="Z13" s="597"/>
      <c r="AA13" s="597"/>
      <c r="AB13" s="80" t="s">
        <v>196</v>
      </c>
      <c r="AC13" s="81" t="e">
        <f>AC12-#REF!</f>
        <v>#REF!</v>
      </c>
      <c r="AD13" s="82" t="s">
        <v>100</v>
      </c>
      <c r="AE13" s="83"/>
      <c r="BC13" s="68"/>
      <c r="BD13" s="68"/>
      <c r="BE13" s="68"/>
      <c r="BF13" s="68"/>
      <c r="BG13" s="68"/>
      <c r="BH13" s="68"/>
      <c r="BI13" s="68"/>
    </row>
    <row r="14" spans="1:61" ht="22.5" customHeight="1" thickBot="1">
      <c r="A14" s="507"/>
      <c r="B14" s="554"/>
      <c r="C14" s="569">
        <f>B14+D14+E14+F14+G14+H14+I14+J14+K14+L14+M14+N14+O14</f>
        <v>0.9</v>
      </c>
      <c r="D14" s="414"/>
      <c r="E14" s="414"/>
      <c r="F14" s="414"/>
      <c r="G14" s="414">
        <v>0.02</v>
      </c>
      <c r="H14" s="414">
        <v>0.05</v>
      </c>
      <c r="I14" s="414">
        <v>0.13</v>
      </c>
      <c r="J14" s="414">
        <v>0.3</v>
      </c>
      <c r="K14" s="525">
        <v>0.4</v>
      </c>
      <c r="L14" s="525"/>
      <c r="M14" s="525"/>
      <c r="N14" s="525"/>
      <c r="O14" s="525"/>
      <c r="P14" s="490"/>
      <c r="Q14" s="494"/>
      <c r="R14" s="494" t="s">
        <v>1325</v>
      </c>
      <c r="S14" s="594"/>
      <c r="T14" s="521" t="s">
        <v>89</v>
      </c>
      <c r="U14" s="522">
        <f>BK14/1100000</f>
        <v>0</v>
      </c>
      <c r="V14" s="523" t="s">
        <v>7</v>
      </c>
      <c r="W14" s="524" t="e">
        <f>U14*0.75-(#REF!+W15)</f>
        <v>#REF!</v>
      </c>
      <c r="X14" s="90" t="s">
        <v>90</v>
      </c>
      <c r="Y14" s="79" t="s">
        <v>34</v>
      </c>
      <c r="Z14" s="596"/>
      <c r="AA14" s="596"/>
      <c r="AB14" s="80" t="s">
        <v>89</v>
      </c>
      <c r="AC14" s="81">
        <v>80000000</v>
      </c>
      <c r="AD14" s="82" t="s">
        <v>98</v>
      </c>
      <c r="AE14" s="83">
        <f>SUM(AF14:BB14)</f>
        <v>0</v>
      </c>
      <c r="AF14" s="91"/>
      <c r="AG14" s="92"/>
      <c r="AH14" s="92"/>
      <c r="AI14" s="92"/>
      <c r="AJ14" s="92"/>
      <c r="AK14" s="92"/>
      <c r="AL14" s="92"/>
      <c r="AM14" s="92"/>
      <c r="AN14" s="92"/>
      <c r="AO14" s="92"/>
      <c r="AP14" s="92"/>
      <c r="AQ14" s="92"/>
      <c r="AR14" s="92"/>
      <c r="AS14" s="92"/>
      <c r="AT14" s="92"/>
      <c r="AU14" s="92"/>
      <c r="AV14" s="92"/>
      <c r="AW14" s="92"/>
      <c r="AX14" s="92"/>
      <c r="AY14" s="92"/>
      <c r="AZ14" s="92"/>
      <c r="BA14" s="92"/>
      <c r="BB14" s="92"/>
    </row>
    <row r="15" spans="1:61" ht="22.5" customHeight="1" thickBot="1">
      <c r="A15" s="508" t="s">
        <v>1390</v>
      </c>
      <c r="B15" s="558"/>
      <c r="C15" s="570"/>
      <c r="D15" s="560"/>
      <c r="E15" s="560"/>
      <c r="F15" s="560"/>
      <c r="G15" s="560"/>
      <c r="H15" s="560"/>
      <c r="I15" s="560"/>
      <c r="J15" s="560"/>
      <c r="K15" s="560" t="s">
        <v>1327</v>
      </c>
      <c r="L15" s="560"/>
      <c r="M15" s="560"/>
      <c r="N15" s="560"/>
      <c r="O15" s="560"/>
      <c r="P15" s="502"/>
      <c r="Q15" s="499"/>
      <c r="R15" s="600"/>
      <c r="S15" s="593" t="s">
        <v>72</v>
      </c>
      <c r="T15" s="526" t="s">
        <v>817</v>
      </c>
      <c r="U15" s="527" t="e">
        <f>U14-#REF!</f>
        <v>#REF!</v>
      </c>
      <c r="V15" s="532" t="s">
        <v>818</v>
      </c>
      <c r="W15" s="529" t="e">
        <f>(#REF!+BM15)/1100000</f>
        <v>#REF!</v>
      </c>
      <c r="X15" s="69"/>
      <c r="Y15" s="75"/>
      <c r="Z15" s="597"/>
      <c r="AA15" s="597"/>
      <c r="AB15" s="80" t="s">
        <v>817</v>
      </c>
      <c r="AC15" s="81" t="e">
        <f>AC14-#REF!</f>
        <v>#REF!</v>
      </c>
      <c r="AD15" s="82" t="s">
        <v>824</v>
      </c>
      <c r="AE15" s="83"/>
      <c r="BC15" s="68"/>
      <c r="BD15" s="68"/>
      <c r="BE15" s="68"/>
      <c r="BF15" s="68"/>
      <c r="BG15" s="68"/>
      <c r="BH15" s="68"/>
      <c r="BI15" s="68"/>
    </row>
    <row r="16" spans="1:61" ht="22.5" customHeight="1" thickBot="1">
      <c r="A16" s="507"/>
      <c r="B16" s="554"/>
      <c r="C16" s="569">
        <f>B16+D16+E16+F16+G16+H16+I16+J16+K16+L16+M16+N16+O16</f>
        <v>0.85</v>
      </c>
      <c r="D16" s="414"/>
      <c r="E16" s="414"/>
      <c r="F16" s="414"/>
      <c r="G16" s="414">
        <v>0.05</v>
      </c>
      <c r="H16" s="414">
        <v>0.05</v>
      </c>
      <c r="I16" s="414">
        <v>0.05</v>
      </c>
      <c r="J16" s="414"/>
      <c r="K16" s="525">
        <v>0.05</v>
      </c>
      <c r="L16" s="525">
        <v>0.5</v>
      </c>
      <c r="M16" s="525">
        <v>0.05</v>
      </c>
      <c r="N16" s="525">
        <v>0.1</v>
      </c>
      <c r="O16" s="525"/>
      <c r="P16" s="566" t="s">
        <v>1329</v>
      </c>
      <c r="Q16" s="494"/>
      <c r="R16" s="494" t="s">
        <v>1328</v>
      </c>
      <c r="S16" s="594"/>
      <c r="T16" s="521" t="s">
        <v>814</v>
      </c>
      <c r="U16" s="522">
        <f>BK16/1100000</f>
        <v>0</v>
      </c>
      <c r="V16" s="523" t="s">
        <v>832</v>
      </c>
      <c r="W16" s="524" t="e">
        <f>U16*0.75-(#REF!+W17)</f>
        <v>#REF!</v>
      </c>
      <c r="X16" s="90" t="s">
        <v>812</v>
      </c>
      <c r="Y16" s="79" t="s">
        <v>813</v>
      </c>
      <c r="Z16" s="596"/>
      <c r="AA16" s="596"/>
      <c r="AB16" s="80" t="s">
        <v>814</v>
      </c>
      <c r="AC16" s="81">
        <v>30000000</v>
      </c>
      <c r="AD16" s="82" t="s">
        <v>35</v>
      </c>
      <c r="AE16" s="83">
        <f>SUM(AF16:BB16)</f>
        <v>0</v>
      </c>
      <c r="AF16" s="91"/>
      <c r="AG16" s="92"/>
      <c r="AH16" s="92"/>
      <c r="AI16" s="92"/>
      <c r="AJ16" s="92"/>
      <c r="AK16" s="92"/>
      <c r="AL16" s="92"/>
      <c r="AM16" s="92"/>
      <c r="AN16" s="92"/>
      <c r="AO16" s="92"/>
      <c r="AP16" s="92"/>
      <c r="AQ16" s="92"/>
      <c r="AR16" s="92"/>
      <c r="AS16" s="92"/>
      <c r="AT16" s="92"/>
      <c r="AU16" s="92"/>
      <c r="AV16" s="92"/>
      <c r="AW16" s="92"/>
      <c r="AX16" s="92"/>
      <c r="AY16" s="92"/>
      <c r="AZ16" s="92"/>
      <c r="BA16" s="92"/>
      <c r="BB16" s="92"/>
    </row>
    <row r="17" spans="1:61" ht="22.5" customHeight="1" thickBot="1">
      <c r="A17" s="508" t="s">
        <v>1390</v>
      </c>
      <c r="B17" s="558"/>
      <c r="C17" s="570"/>
      <c r="D17" s="560"/>
      <c r="E17" s="560"/>
      <c r="F17" s="560"/>
      <c r="G17" s="560"/>
      <c r="H17" s="560"/>
      <c r="I17" s="560"/>
      <c r="J17" s="560"/>
      <c r="K17" s="560"/>
      <c r="L17" s="560" t="s">
        <v>1327</v>
      </c>
      <c r="M17" s="560" t="s">
        <v>1330</v>
      </c>
      <c r="N17" s="560"/>
      <c r="O17" s="560"/>
      <c r="P17" s="602"/>
      <c r="Q17" s="499"/>
      <c r="R17" s="600"/>
      <c r="S17" s="593" t="s">
        <v>72</v>
      </c>
      <c r="T17" s="526" t="s">
        <v>817</v>
      </c>
      <c r="U17" s="527" t="e">
        <f>U16-#REF!</f>
        <v>#REF!</v>
      </c>
      <c r="V17" s="532" t="s">
        <v>818</v>
      </c>
      <c r="W17" s="529" t="e">
        <f>(#REF!+BM17)/1100000</f>
        <v>#REF!</v>
      </c>
      <c r="X17" s="69"/>
      <c r="Y17" s="75"/>
      <c r="Z17" s="597"/>
      <c r="AA17" s="597"/>
      <c r="AB17" s="80" t="s">
        <v>817</v>
      </c>
      <c r="AC17" s="81" t="e">
        <f>AC16-#REF!</f>
        <v>#REF!</v>
      </c>
      <c r="AD17" s="82" t="s">
        <v>824</v>
      </c>
      <c r="AE17" s="83"/>
      <c r="BC17" s="68"/>
      <c r="BD17" s="68"/>
      <c r="BE17" s="68"/>
      <c r="BF17" s="68"/>
      <c r="BG17" s="68"/>
      <c r="BH17" s="68"/>
      <c r="BI17" s="68"/>
    </row>
    <row r="18" spans="1:61" ht="22.5" customHeight="1" thickBot="1">
      <c r="A18" s="490" t="s">
        <v>1331</v>
      </c>
      <c r="B18" s="554">
        <v>0</v>
      </c>
      <c r="C18" s="569">
        <f>B18+D18+E18+F18+G18+H18+I18+J18+K18+L18+M18+N18+O18</f>
        <v>0.05</v>
      </c>
      <c r="D18" s="525"/>
      <c r="E18" s="525"/>
      <c r="F18" s="525"/>
      <c r="G18" s="525"/>
      <c r="H18" s="525"/>
      <c r="I18" s="525"/>
      <c r="J18" s="525"/>
      <c r="K18" s="525">
        <v>0.01</v>
      </c>
      <c r="L18" s="525">
        <v>0.01</v>
      </c>
      <c r="M18" s="525">
        <v>0.01</v>
      </c>
      <c r="N18" s="525">
        <v>0.02</v>
      </c>
      <c r="O18" s="525"/>
      <c r="P18" s="566" t="s">
        <v>1333</v>
      </c>
      <c r="Q18" s="494"/>
      <c r="R18" s="491" t="s">
        <v>1332</v>
      </c>
      <c r="S18" s="594"/>
      <c r="T18" s="521" t="s">
        <v>89</v>
      </c>
      <c r="U18" s="522">
        <f>BK18/1100000</f>
        <v>0</v>
      </c>
      <c r="V18" s="523" t="s">
        <v>7</v>
      </c>
      <c r="W18" s="524" t="e">
        <f>U18*0.75-(#REF!+W19)</f>
        <v>#REF!</v>
      </c>
      <c r="X18" s="90" t="s">
        <v>90</v>
      </c>
      <c r="Y18" s="79" t="s">
        <v>34</v>
      </c>
      <c r="Z18" s="596"/>
      <c r="AA18" s="596"/>
      <c r="AB18" s="80" t="s">
        <v>89</v>
      </c>
      <c r="AC18" s="81">
        <v>35788000</v>
      </c>
      <c r="AD18" s="82" t="s">
        <v>98</v>
      </c>
      <c r="AE18" s="83">
        <f>SUM(AF18:BB18)</f>
        <v>0</v>
      </c>
      <c r="AF18" s="91"/>
      <c r="AG18" s="92"/>
      <c r="AH18" s="92"/>
      <c r="AI18" s="92"/>
      <c r="AJ18" s="92"/>
      <c r="AK18" s="92"/>
      <c r="AL18" s="92"/>
      <c r="AM18" s="92"/>
      <c r="AN18" s="92"/>
      <c r="AO18" s="92"/>
      <c r="AP18" s="92"/>
      <c r="AQ18" s="92"/>
      <c r="AR18" s="92"/>
      <c r="AS18" s="92"/>
      <c r="AT18" s="92"/>
      <c r="AU18" s="92"/>
      <c r="AV18" s="92"/>
      <c r="AW18" s="92"/>
      <c r="AX18" s="92"/>
      <c r="AY18" s="92"/>
      <c r="AZ18" s="92"/>
      <c r="BA18" s="92"/>
      <c r="BB18" s="92"/>
    </row>
    <row r="19" spans="1:61" ht="22.5" customHeight="1">
      <c r="A19" s="495"/>
      <c r="B19" s="558"/>
      <c r="C19" s="570"/>
      <c r="D19" s="560"/>
      <c r="E19" s="560"/>
      <c r="F19" s="560"/>
      <c r="G19" s="560"/>
      <c r="H19" s="560"/>
      <c r="I19" s="560"/>
      <c r="J19" s="560"/>
      <c r="K19" s="560" t="s">
        <v>989</v>
      </c>
      <c r="L19" s="560" t="s">
        <v>1334</v>
      </c>
      <c r="M19" s="560" t="s">
        <v>1334</v>
      </c>
      <c r="N19" s="560"/>
      <c r="O19" s="560"/>
      <c r="P19" s="602"/>
      <c r="Q19" s="499"/>
      <c r="R19" s="496"/>
      <c r="S19" s="531"/>
      <c r="T19" s="526" t="s">
        <v>817</v>
      </c>
      <c r="U19" s="527" t="e">
        <f>U18-#REF!</f>
        <v>#REF!</v>
      </c>
      <c r="V19" s="532" t="s">
        <v>818</v>
      </c>
      <c r="W19" s="529" t="e">
        <f>(#REF!+BM19)/1100000</f>
        <v>#REF!</v>
      </c>
      <c r="X19" s="69"/>
      <c r="Y19" s="75"/>
      <c r="Z19" s="597"/>
      <c r="AA19" s="597"/>
      <c r="AB19" s="80" t="s">
        <v>817</v>
      </c>
      <c r="AC19" s="81" t="e">
        <f>AC18-#REF!</f>
        <v>#REF!</v>
      </c>
      <c r="AD19" s="82" t="s">
        <v>824</v>
      </c>
      <c r="AE19" s="83"/>
      <c r="BC19" s="68"/>
      <c r="BD19" s="68"/>
      <c r="BE19" s="68"/>
      <c r="BF19" s="68"/>
      <c r="BG19" s="68"/>
      <c r="BH19" s="68"/>
      <c r="BI19" s="68"/>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34"/>
  <sheetViews>
    <sheetView view="pageBreakPreview" topLeftCell="A22" zoomScaleNormal="100" zoomScaleSheetLayoutView="100" workbookViewId="0">
      <selection activeCell="A3" sqref="A3:XFD34"/>
    </sheetView>
  </sheetViews>
  <sheetFormatPr defaultRowHeight="30.75" customHeight="1"/>
  <cols>
    <col min="1" max="1" width="12.625" style="275" customWidth="1"/>
    <col min="2" max="2" width="4.875" style="282" customWidth="1"/>
    <col min="3" max="3" width="5.25" style="282" customWidth="1"/>
    <col min="4" max="15" width="8.875" style="275" customWidth="1"/>
    <col min="16" max="16" width="18.875" style="275" customWidth="1"/>
    <col min="17" max="19" width="11" style="275" customWidth="1"/>
    <col min="20" max="20" width="19.375" style="78" customWidth="1"/>
    <col min="21" max="21" width="9.875" style="275" customWidth="1"/>
    <col min="22" max="22" width="5.125" style="275" customWidth="1"/>
    <col min="23" max="23" width="8.75" style="275" customWidth="1"/>
    <col min="24" max="24" width="5.125" style="275" customWidth="1"/>
    <col min="25" max="25" width="8.625" style="275" customWidth="1"/>
    <col min="26" max="27" width="9" style="275"/>
    <col min="28" max="28" width="4.5" style="275" customWidth="1"/>
    <col min="29" max="29" width="6.125" style="275" customWidth="1"/>
    <col min="30" max="30" width="16" style="275" customWidth="1"/>
    <col min="31" max="31" width="14.625" style="277" customWidth="1"/>
    <col min="32" max="55" width="16" style="77" customWidth="1"/>
    <col min="56" max="16384" width="9" style="78"/>
  </cols>
  <sheetData>
    <row r="1" spans="1:62" ht="25.5" customHeight="1">
      <c r="A1" s="279" t="s">
        <v>1335</v>
      </c>
      <c r="Q1" s="393" t="s">
        <v>1030</v>
      </c>
      <c r="R1" s="393"/>
      <c r="S1" s="393"/>
    </row>
    <row r="2" spans="1:62" ht="28.5" customHeight="1" thickBot="1">
      <c r="A2" s="513" t="s">
        <v>1031</v>
      </c>
      <c r="B2" s="514" t="s">
        <v>1036</v>
      </c>
      <c r="C2" s="515" t="s">
        <v>1037</v>
      </c>
      <c r="D2" s="552" t="s">
        <v>768</v>
      </c>
      <c r="E2" s="552" t="s">
        <v>1052</v>
      </c>
      <c r="F2" s="552" t="s">
        <v>758</v>
      </c>
      <c r="G2" s="552" t="s">
        <v>759</v>
      </c>
      <c r="H2" s="552" t="s">
        <v>760</v>
      </c>
      <c r="I2" s="552" t="s">
        <v>761</v>
      </c>
      <c r="J2" s="552" t="s">
        <v>762</v>
      </c>
      <c r="K2" s="552" t="s">
        <v>763</v>
      </c>
      <c r="L2" s="552" t="s">
        <v>764</v>
      </c>
      <c r="M2" s="552" t="s">
        <v>765</v>
      </c>
      <c r="N2" s="552" t="s">
        <v>766</v>
      </c>
      <c r="O2" s="552" t="s">
        <v>767</v>
      </c>
      <c r="P2" s="513" t="s">
        <v>1038</v>
      </c>
      <c r="Q2" s="516" t="s">
        <v>1337</v>
      </c>
      <c r="R2" s="8" t="s">
        <v>770</v>
      </c>
      <c r="S2" s="8" t="s">
        <v>772</v>
      </c>
      <c r="T2" s="513" t="s">
        <v>1032</v>
      </c>
      <c r="U2" s="513" t="s">
        <v>1033</v>
      </c>
      <c r="V2" s="513" t="s">
        <v>1336</v>
      </c>
      <c r="W2" s="513"/>
      <c r="X2" s="551" t="s">
        <v>1067</v>
      </c>
      <c r="Y2" s="552"/>
      <c r="AB2" s="291" t="s">
        <v>1040</v>
      </c>
    </row>
    <row r="3" spans="1:62" ht="22.5" customHeight="1" thickBot="1">
      <c r="A3" s="490" t="s">
        <v>924</v>
      </c>
      <c r="B3" s="554">
        <v>0.05</v>
      </c>
      <c r="C3" s="569">
        <f>B3+D3+E3+F3+G3+H3+I3+J3+K3+L3+M3+N3+O3</f>
        <v>0.05</v>
      </c>
      <c r="D3" s="414"/>
      <c r="E3" s="414"/>
      <c r="F3" s="525"/>
      <c r="G3" s="525"/>
      <c r="H3" s="525"/>
      <c r="I3" s="525"/>
      <c r="J3" s="525"/>
      <c r="K3" s="525"/>
      <c r="L3" s="525"/>
      <c r="M3" s="525"/>
      <c r="N3" s="525"/>
      <c r="O3" s="525"/>
      <c r="P3" s="610"/>
      <c r="Q3" s="494" t="s">
        <v>1339</v>
      </c>
      <c r="R3" s="494" t="s">
        <v>1389</v>
      </c>
      <c r="S3" s="494">
        <v>328</v>
      </c>
      <c r="T3" s="614" t="s">
        <v>1338</v>
      </c>
      <c r="U3" s="520"/>
      <c r="V3" s="521" t="s">
        <v>799</v>
      </c>
      <c r="W3" s="522">
        <f>BL3/1000000</f>
        <v>0</v>
      </c>
      <c r="X3" s="523" t="s">
        <v>832</v>
      </c>
      <c r="Y3" s="524" t="e">
        <f>W3-#REF!/1.1+Y4</f>
        <v>#REF!</v>
      </c>
      <c r="Z3" s="90" t="s">
        <v>812</v>
      </c>
      <c r="AA3" s="79" t="s">
        <v>813</v>
      </c>
      <c r="AB3" s="260" t="s">
        <v>1322</v>
      </c>
      <c r="AC3" s="80" t="s">
        <v>799</v>
      </c>
      <c r="AD3" s="81">
        <v>4576831</v>
      </c>
      <c r="AE3" s="82"/>
      <c r="AF3" s="83">
        <f>SUM(AG3:BC3)</f>
        <v>0</v>
      </c>
      <c r="AG3" s="91"/>
      <c r="AH3" s="92"/>
      <c r="AI3" s="92"/>
      <c r="AJ3" s="92"/>
      <c r="AK3" s="92"/>
      <c r="AL3" s="92"/>
      <c r="AM3" s="92"/>
      <c r="AN3" s="92"/>
      <c r="AO3" s="92"/>
      <c r="AP3" s="92"/>
      <c r="AQ3" s="92"/>
      <c r="AR3" s="92"/>
      <c r="AS3" s="92"/>
      <c r="AT3" s="92"/>
      <c r="AU3" s="92"/>
      <c r="AV3" s="92"/>
      <c r="AW3" s="92"/>
      <c r="AX3" s="92"/>
      <c r="AY3" s="92"/>
      <c r="AZ3" s="92"/>
      <c r="BA3" s="92"/>
      <c r="BB3" s="92"/>
      <c r="BC3" s="92"/>
    </row>
    <row r="4" spans="1:62" ht="22.5" customHeight="1" thickBot="1">
      <c r="A4" s="502"/>
      <c r="B4" s="558"/>
      <c r="C4" s="570"/>
      <c r="D4" s="560"/>
      <c r="E4" s="560"/>
      <c r="F4" s="560"/>
      <c r="G4" s="560"/>
      <c r="H4" s="560"/>
      <c r="I4" s="560"/>
      <c r="J4" s="560"/>
      <c r="K4" s="560"/>
      <c r="L4" s="560"/>
      <c r="M4" s="560"/>
      <c r="N4" s="560"/>
      <c r="O4" s="560"/>
      <c r="P4" s="611"/>
      <c r="Q4" s="499"/>
      <c r="R4" s="499"/>
      <c r="S4" s="499"/>
      <c r="T4" s="615"/>
      <c r="U4" s="531" t="s">
        <v>67</v>
      </c>
      <c r="V4" s="578" t="s">
        <v>27</v>
      </c>
      <c r="W4" s="579"/>
      <c r="X4" s="532" t="s">
        <v>207</v>
      </c>
      <c r="Y4" s="529">
        <f>BN4/1100000</f>
        <v>0</v>
      </c>
      <c r="Z4" s="69"/>
      <c r="AA4" s="69"/>
      <c r="AB4" s="261"/>
      <c r="AC4" s="80"/>
      <c r="AD4" s="81"/>
      <c r="AE4" s="82" t="s">
        <v>100</v>
      </c>
      <c r="AF4" s="83"/>
      <c r="BD4" s="68"/>
      <c r="BE4" s="68"/>
      <c r="BF4" s="68"/>
      <c r="BG4" s="68"/>
      <c r="BH4" s="68"/>
      <c r="BI4" s="68"/>
      <c r="BJ4" s="68"/>
    </row>
    <row r="5" spans="1:62" ht="22.5" customHeight="1" thickBot="1">
      <c r="A5" s="490" t="s">
        <v>933</v>
      </c>
      <c r="B5" s="554">
        <v>0.5</v>
      </c>
      <c r="C5" s="569">
        <f>B5+D5+E5+F5+G5+H5+I5+J5+K5+L5+M5+N5+O5</f>
        <v>0.79999999999999993</v>
      </c>
      <c r="D5" s="525">
        <v>0.1</v>
      </c>
      <c r="E5" s="525">
        <v>0.1</v>
      </c>
      <c r="F5" s="525">
        <v>0.1</v>
      </c>
      <c r="G5" s="525"/>
      <c r="H5" s="525"/>
      <c r="I5" s="525"/>
      <c r="J5" s="525"/>
      <c r="K5" s="525"/>
      <c r="L5" s="525"/>
      <c r="M5" s="525"/>
      <c r="N5" s="525"/>
      <c r="O5" s="525"/>
      <c r="P5" s="490"/>
      <c r="Q5" s="494" t="s">
        <v>1341</v>
      </c>
      <c r="R5" s="494" t="s">
        <v>1389</v>
      </c>
      <c r="S5" s="494">
        <v>336</v>
      </c>
      <c r="T5" s="614" t="s">
        <v>1340</v>
      </c>
      <c r="U5" s="520"/>
      <c r="V5" s="521" t="s">
        <v>104</v>
      </c>
      <c r="W5" s="522">
        <f>BL5/1000000</f>
        <v>0</v>
      </c>
      <c r="X5" s="523" t="s">
        <v>7</v>
      </c>
      <c r="Y5" s="524" t="e">
        <f>W5-#REF!/1.1+Y6</f>
        <v>#REF!</v>
      </c>
      <c r="Z5" s="90" t="s">
        <v>90</v>
      </c>
      <c r="AA5" s="79" t="s">
        <v>34</v>
      </c>
      <c r="AB5" s="260"/>
      <c r="AC5" s="80" t="s">
        <v>104</v>
      </c>
      <c r="AD5" s="81">
        <v>10000000</v>
      </c>
      <c r="AE5" s="82"/>
      <c r="AF5" s="83">
        <f>SUM(AG5:BC5)</f>
        <v>0</v>
      </c>
      <c r="AG5" s="91"/>
      <c r="AH5" s="92"/>
      <c r="AI5" s="92"/>
      <c r="AJ5" s="92"/>
      <c r="AK5" s="92"/>
      <c r="AL5" s="92"/>
      <c r="AM5" s="92"/>
      <c r="AN5" s="92"/>
      <c r="AO5" s="92"/>
      <c r="AP5" s="92"/>
      <c r="AQ5" s="92"/>
      <c r="AR5" s="92"/>
      <c r="AS5" s="92"/>
      <c r="AT5" s="92"/>
      <c r="AU5" s="92"/>
      <c r="AV5" s="92"/>
      <c r="AW5" s="92"/>
      <c r="AX5" s="92"/>
      <c r="AY5" s="92"/>
      <c r="AZ5" s="92"/>
      <c r="BA5" s="92"/>
      <c r="BB5" s="92"/>
      <c r="BC5" s="92"/>
    </row>
    <row r="6" spans="1:62" ht="22.5" customHeight="1" thickBot="1">
      <c r="A6" s="502"/>
      <c r="B6" s="558"/>
      <c r="C6" s="570"/>
      <c r="D6" s="560"/>
      <c r="E6" s="560"/>
      <c r="F6" s="560"/>
      <c r="G6" s="560"/>
      <c r="H6" s="560"/>
      <c r="I6" s="560"/>
      <c r="J6" s="560"/>
      <c r="K6" s="560"/>
      <c r="L6" s="560"/>
      <c r="M6" s="560"/>
      <c r="N6" s="560"/>
      <c r="O6" s="560"/>
      <c r="P6" s="495"/>
      <c r="Q6" s="499"/>
      <c r="R6" s="499"/>
      <c r="S6" s="499"/>
      <c r="T6" s="615"/>
      <c r="U6" s="531" t="s">
        <v>67</v>
      </c>
      <c r="V6" s="578" t="s">
        <v>27</v>
      </c>
      <c r="W6" s="579"/>
      <c r="X6" s="532" t="s">
        <v>207</v>
      </c>
      <c r="Y6" s="529">
        <f>BN6/1100000</f>
        <v>0</v>
      </c>
      <c r="Z6" s="69"/>
      <c r="AA6" s="75"/>
      <c r="AB6" s="261"/>
      <c r="AC6" s="80"/>
      <c r="AD6" s="81"/>
      <c r="AE6" s="82" t="s">
        <v>100</v>
      </c>
      <c r="AF6" s="83"/>
      <c r="BD6" s="68"/>
      <c r="BE6" s="68"/>
      <c r="BF6" s="68"/>
      <c r="BG6" s="68"/>
      <c r="BH6" s="68"/>
      <c r="BI6" s="68"/>
      <c r="BJ6" s="68"/>
    </row>
    <row r="7" spans="1:62" ht="22.5" customHeight="1" thickBot="1">
      <c r="A7" s="507" t="s">
        <v>1342</v>
      </c>
      <c r="B7" s="554"/>
      <c r="C7" s="569">
        <f>B7+D7+E7+F7+G7+H7+I7+J7+K7+L7+M7+N7+O7</f>
        <v>0</v>
      </c>
      <c r="D7" s="525"/>
      <c r="E7" s="525"/>
      <c r="F7" s="525"/>
      <c r="G7" s="525"/>
      <c r="H7" s="525"/>
      <c r="I7" s="525"/>
      <c r="J7" s="525"/>
      <c r="K7" s="525"/>
      <c r="L7" s="525"/>
      <c r="M7" s="525"/>
      <c r="N7" s="525"/>
      <c r="O7" s="525"/>
      <c r="P7" s="566"/>
      <c r="Q7" s="494" t="s">
        <v>1341</v>
      </c>
      <c r="R7" s="494"/>
      <c r="S7" s="494"/>
      <c r="T7" s="614" t="s">
        <v>1343</v>
      </c>
      <c r="U7" s="520"/>
      <c r="V7" s="521" t="s">
        <v>104</v>
      </c>
      <c r="W7" s="522">
        <f>BL7/1000000</f>
        <v>0</v>
      </c>
      <c r="X7" s="523" t="s">
        <v>7</v>
      </c>
      <c r="Y7" s="524" t="e">
        <f>W7-#REF!/1.1+Y8</f>
        <v>#REF!</v>
      </c>
      <c r="Z7" s="90" t="s">
        <v>90</v>
      </c>
      <c r="AA7" s="79" t="s">
        <v>34</v>
      </c>
      <c r="AB7" s="260"/>
      <c r="AC7" s="80" t="s">
        <v>104</v>
      </c>
      <c r="AD7" s="81">
        <v>142000000</v>
      </c>
      <c r="AE7" s="82"/>
      <c r="AF7" s="83">
        <f>SUM(AG7:BC7)</f>
        <v>0</v>
      </c>
      <c r="AG7" s="91"/>
      <c r="AH7" s="92"/>
      <c r="AI7" s="92"/>
      <c r="AJ7" s="92"/>
      <c r="AK7" s="92"/>
      <c r="AL7" s="92"/>
      <c r="AM7" s="92"/>
      <c r="AN7" s="92"/>
      <c r="AO7" s="92"/>
      <c r="AP7" s="92"/>
      <c r="AQ7" s="92"/>
      <c r="AR7" s="92"/>
      <c r="AS7" s="92"/>
      <c r="AT7" s="92"/>
      <c r="AU7" s="92"/>
      <c r="AV7" s="92"/>
      <c r="AW7" s="92"/>
      <c r="AX7" s="92"/>
      <c r="AY7" s="92"/>
      <c r="AZ7" s="92"/>
      <c r="BA7" s="92"/>
      <c r="BB7" s="92"/>
      <c r="BC7" s="92"/>
    </row>
    <row r="8" spans="1:62" ht="22.5" customHeight="1" thickBot="1">
      <c r="A8" s="509" t="s">
        <v>1061</v>
      </c>
      <c r="B8" s="558"/>
      <c r="C8" s="570"/>
      <c r="D8" s="560"/>
      <c r="E8" s="560"/>
      <c r="F8" s="560"/>
      <c r="G8" s="560"/>
      <c r="H8" s="560"/>
      <c r="I8" s="560"/>
      <c r="J8" s="560"/>
      <c r="K8" s="560"/>
      <c r="L8" s="560"/>
      <c r="M8" s="560"/>
      <c r="N8" s="560"/>
      <c r="O8" s="560"/>
      <c r="P8" s="601"/>
      <c r="Q8" s="499"/>
      <c r="R8" s="499"/>
      <c r="S8" s="499"/>
      <c r="T8" s="615"/>
      <c r="U8" s="531" t="s">
        <v>67</v>
      </c>
      <c r="V8" s="578" t="s">
        <v>27</v>
      </c>
      <c r="W8" s="579"/>
      <c r="X8" s="532" t="s">
        <v>207</v>
      </c>
      <c r="Y8" s="529">
        <f>BN8/1100000</f>
        <v>0</v>
      </c>
      <c r="Z8" s="69"/>
      <c r="AA8" s="75"/>
      <c r="AB8" s="261"/>
      <c r="AC8" s="80"/>
      <c r="AD8" s="81"/>
      <c r="AE8" s="82" t="s">
        <v>100</v>
      </c>
      <c r="AF8" s="83"/>
      <c r="BD8" s="68"/>
      <c r="BE8" s="68"/>
      <c r="BF8" s="68"/>
      <c r="BG8" s="68"/>
      <c r="BH8" s="68"/>
      <c r="BI8" s="68"/>
      <c r="BJ8" s="68"/>
    </row>
    <row r="9" spans="1:62" ht="22.5" customHeight="1" thickBot="1">
      <c r="A9" s="490" t="s">
        <v>1015</v>
      </c>
      <c r="B9" s="554"/>
      <c r="C9" s="569">
        <f>B9+D9+E9+F9+G9+H9+I9+J9+K9+L9+M9+N9+O9</f>
        <v>0.4</v>
      </c>
      <c r="D9" s="525"/>
      <c r="E9" s="525"/>
      <c r="F9" s="525"/>
      <c r="G9" s="525"/>
      <c r="H9" s="525"/>
      <c r="I9" s="525"/>
      <c r="J9" s="525"/>
      <c r="K9" s="525"/>
      <c r="L9" s="525"/>
      <c r="M9" s="525"/>
      <c r="N9" s="525">
        <v>0.4</v>
      </c>
      <c r="O9" s="525"/>
      <c r="P9" s="566"/>
      <c r="Q9" s="494" t="s">
        <v>1341</v>
      </c>
      <c r="R9" s="494" t="s">
        <v>1389</v>
      </c>
      <c r="S9" s="494">
        <v>320</v>
      </c>
      <c r="T9" s="614" t="s">
        <v>1344</v>
      </c>
      <c r="U9" s="520"/>
      <c r="V9" s="521" t="s">
        <v>104</v>
      </c>
      <c r="W9" s="522">
        <f>BL9/1000000</f>
        <v>0</v>
      </c>
      <c r="X9" s="523" t="s">
        <v>7</v>
      </c>
      <c r="Y9" s="524" t="e">
        <f>W9-#REF!/1.1+Y10</f>
        <v>#REF!</v>
      </c>
      <c r="Z9" s="90" t="s">
        <v>90</v>
      </c>
      <c r="AA9" s="79" t="s">
        <v>34</v>
      </c>
      <c r="AB9" s="260"/>
      <c r="AC9" s="80" t="s">
        <v>104</v>
      </c>
      <c r="AD9" s="81">
        <v>3100000</v>
      </c>
      <c r="AE9" s="82"/>
      <c r="AF9" s="83">
        <f>SUM(AG9:BC9)</f>
        <v>0</v>
      </c>
      <c r="AG9" s="91"/>
      <c r="AH9" s="92"/>
      <c r="AI9" s="92"/>
      <c r="AJ9" s="92"/>
      <c r="AK9" s="92"/>
      <c r="AL9" s="92"/>
      <c r="AM9" s="92"/>
      <c r="AN9" s="92"/>
      <c r="AO9" s="92"/>
      <c r="AP9" s="92"/>
      <c r="AQ9" s="92"/>
      <c r="AR9" s="92"/>
      <c r="AS9" s="92"/>
      <c r="AT9" s="92"/>
      <c r="AU9" s="92"/>
      <c r="AV9" s="92"/>
      <c r="AW9" s="92"/>
      <c r="AX9" s="92"/>
      <c r="AY9" s="92"/>
      <c r="AZ9" s="92"/>
      <c r="BA9" s="92"/>
      <c r="BB9" s="92"/>
      <c r="BC9" s="92"/>
    </row>
    <row r="10" spans="1:62" ht="22.5" customHeight="1" thickBot="1">
      <c r="A10" s="502"/>
      <c r="B10" s="558"/>
      <c r="C10" s="570"/>
      <c r="D10" s="560"/>
      <c r="E10" s="560"/>
      <c r="F10" s="560"/>
      <c r="G10" s="560"/>
      <c r="H10" s="560"/>
      <c r="I10" s="560"/>
      <c r="J10" s="560"/>
      <c r="K10" s="560"/>
      <c r="L10" s="560"/>
      <c r="M10" s="560"/>
      <c r="N10" s="560" t="s">
        <v>1345</v>
      </c>
      <c r="O10" s="560"/>
      <c r="P10" s="601"/>
      <c r="Q10" s="499"/>
      <c r="R10" s="499"/>
      <c r="S10" s="499"/>
      <c r="T10" s="615"/>
      <c r="U10" s="531" t="s">
        <v>67</v>
      </c>
      <c r="V10" s="578" t="s">
        <v>27</v>
      </c>
      <c r="W10" s="579"/>
      <c r="X10" s="532" t="s">
        <v>207</v>
      </c>
      <c r="Y10" s="529">
        <f>BN10/1100000</f>
        <v>0</v>
      </c>
      <c r="Z10" s="69"/>
      <c r="AA10" s="75"/>
      <c r="AB10" s="261"/>
      <c r="AC10" s="80"/>
      <c r="AD10" s="81"/>
      <c r="AE10" s="82" t="s">
        <v>100</v>
      </c>
      <c r="AF10" s="83"/>
      <c r="BD10" s="68"/>
      <c r="BE10" s="68"/>
      <c r="BF10" s="68"/>
      <c r="BG10" s="68"/>
      <c r="BH10" s="68"/>
      <c r="BI10" s="68"/>
      <c r="BJ10" s="68"/>
    </row>
    <row r="11" spans="1:62" ht="22.5" customHeight="1" thickBot="1">
      <c r="A11" s="490" t="s">
        <v>1346</v>
      </c>
      <c r="B11" s="554">
        <v>0.2</v>
      </c>
      <c r="C11" s="569">
        <f>B11+D11+E11+F11+G11+H11+I11+J11+K11+L11+M11+N11+O11</f>
        <v>0.5</v>
      </c>
      <c r="D11" s="525">
        <v>0.1</v>
      </c>
      <c r="E11" s="525">
        <v>0.1</v>
      </c>
      <c r="F11" s="525">
        <v>0.1</v>
      </c>
      <c r="G11" s="525"/>
      <c r="H11" s="525"/>
      <c r="I11" s="525"/>
      <c r="J11" s="525"/>
      <c r="K11" s="525"/>
      <c r="L11" s="525"/>
      <c r="M11" s="525"/>
      <c r="N11" s="525"/>
      <c r="O11" s="525"/>
      <c r="P11" s="610"/>
      <c r="Q11" s="494" t="s">
        <v>1341</v>
      </c>
      <c r="R11" s="494" t="s">
        <v>1389</v>
      </c>
      <c r="S11" s="494">
        <v>287</v>
      </c>
      <c r="T11" s="614" t="s">
        <v>1347</v>
      </c>
      <c r="U11" s="520"/>
      <c r="V11" s="521" t="s">
        <v>104</v>
      </c>
      <c r="W11" s="522">
        <f>BL11/1000000</f>
        <v>0</v>
      </c>
      <c r="X11" s="523" t="s">
        <v>7</v>
      </c>
      <c r="Y11" s="524" t="e">
        <f>W11-#REF!/1.1+Y12</f>
        <v>#REF!</v>
      </c>
      <c r="Z11" s="90" t="s">
        <v>90</v>
      </c>
      <c r="AA11" s="79" t="s">
        <v>34</v>
      </c>
      <c r="AB11" s="260" t="s">
        <v>194</v>
      </c>
      <c r="AC11" s="80" t="s">
        <v>104</v>
      </c>
      <c r="AD11" s="81">
        <v>5000000</v>
      </c>
      <c r="AE11" s="82"/>
      <c r="AF11" s="83">
        <f>SUM(AG11:BC11)</f>
        <v>0</v>
      </c>
      <c r="AG11" s="91"/>
      <c r="AH11" s="92"/>
      <c r="AI11" s="92"/>
      <c r="AJ11" s="92"/>
      <c r="AK11" s="92"/>
      <c r="AL11" s="92"/>
      <c r="AM11" s="92"/>
      <c r="AN11" s="92"/>
      <c r="AO11" s="92"/>
      <c r="AP11" s="92"/>
      <c r="AQ11" s="92"/>
      <c r="AR11" s="92"/>
      <c r="AS11" s="92"/>
      <c r="AT11" s="92"/>
      <c r="AU11" s="92"/>
      <c r="AV11" s="92"/>
      <c r="AW11" s="92"/>
      <c r="AX11" s="92"/>
      <c r="AY11" s="92"/>
      <c r="AZ11" s="92"/>
      <c r="BA11" s="92"/>
      <c r="BB11" s="92"/>
      <c r="BC11" s="92"/>
    </row>
    <row r="12" spans="1:62" ht="22.5" customHeight="1" thickBot="1">
      <c r="A12" s="502"/>
      <c r="B12" s="558"/>
      <c r="C12" s="570"/>
      <c r="D12" s="560"/>
      <c r="E12" s="560"/>
      <c r="F12" s="560"/>
      <c r="G12" s="560"/>
      <c r="H12" s="560"/>
      <c r="I12" s="560"/>
      <c r="J12" s="560"/>
      <c r="K12" s="560"/>
      <c r="L12" s="560"/>
      <c r="M12" s="560"/>
      <c r="N12" s="560"/>
      <c r="O12" s="560"/>
      <c r="P12" s="611"/>
      <c r="Q12" s="499"/>
      <c r="R12" s="499"/>
      <c r="S12" s="499"/>
      <c r="T12" s="615"/>
      <c r="U12" s="531" t="s">
        <v>67</v>
      </c>
      <c r="V12" s="578" t="s">
        <v>27</v>
      </c>
      <c r="W12" s="579"/>
      <c r="X12" s="532" t="s">
        <v>207</v>
      </c>
      <c r="Y12" s="529">
        <f>BN12/1100000</f>
        <v>0</v>
      </c>
      <c r="Z12" s="69"/>
      <c r="AA12" s="69"/>
      <c r="AB12" s="261"/>
      <c r="AC12" s="80"/>
      <c r="AD12" s="81"/>
      <c r="AE12" s="82" t="s">
        <v>100</v>
      </c>
      <c r="AF12" s="83"/>
      <c r="BD12" s="68"/>
      <c r="BE12" s="68"/>
      <c r="BF12" s="68"/>
      <c r="BG12" s="68"/>
      <c r="BH12" s="68"/>
      <c r="BI12" s="68"/>
      <c r="BJ12" s="68"/>
    </row>
    <row r="13" spans="1:62" ht="22.5" customHeight="1" thickBot="1">
      <c r="A13" s="490" t="s">
        <v>734</v>
      </c>
      <c r="B13" s="554">
        <v>0.05</v>
      </c>
      <c r="C13" s="569">
        <f>B13+D13+E13+F13+G13+H13+I13+J13+K13+L13+M13+N13+O13</f>
        <v>0.05</v>
      </c>
      <c r="D13" s="525"/>
      <c r="E13" s="525"/>
      <c r="F13" s="525"/>
      <c r="G13" s="525"/>
      <c r="H13" s="525"/>
      <c r="I13" s="525"/>
      <c r="J13" s="525"/>
      <c r="K13" s="525"/>
      <c r="L13" s="525"/>
      <c r="M13" s="525"/>
      <c r="N13" s="525"/>
      <c r="O13" s="525"/>
      <c r="P13" s="490"/>
      <c r="Q13" s="494" t="s">
        <v>1341</v>
      </c>
      <c r="R13" s="494" t="s">
        <v>1389</v>
      </c>
      <c r="S13" s="494">
        <v>325</v>
      </c>
      <c r="T13" s="614" t="s">
        <v>1348</v>
      </c>
      <c r="U13" s="520"/>
      <c r="V13" s="521" t="s">
        <v>104</v>
      </c>
      <c r="W13" s="522">
        <f>BL13/1000000</f>
        <v>0</v>
      </c>
      <c r="X13" s="523" t="s">
        <v>7</v>
      </c>
      <c r="Y13" s="524" t="e">
        <f>W13-#REF!/1.1+Y14</f>
        <v>#REF!</v>
      </c>
      <c r="Z13" s="90" t="s">
        <v>90</v>
      </c>
      <c r="AA13" s="79" t="s">
        <v>34</v>
      </c>
      <c r="AB13" s="260"/>
      <c r="AC13" s="80" t="s">
        <v>104</v>
      </c>
      <c r="AD13" s="81">
        <v>15000000</v>
      </c>
      <c r="AE13" s="82"/>
      <c r="AF13" s="83">
        <f>SUM(AG13:BC13)</f>
        <v>0</v>
      </c>
      <c r="AG13" s="91"/>
      <c r="AH13" s="92"/>
      <c r="AI13" s="92"/>
      <c r="AJ13" s="92"/>
      <c r="AK13" s="92"/>
      <c r="AL13" s="92"/>
      <c r="AM13" s="92"/>
      <c r="AN13" s="92"/>
      <c r="AO13" s="92"/>
      <c r="AP13" s="92"/>
      <c r="AQ13" s="92"/>
      <c r="AR13" s="92"/>
      <c r="AS13" s="92"/>
      <c r="AT13" s="92"/>
      <c r="AU13" s="92"/>
      <c r="AV13" s="92"/>
      <c r="AW13" s="92"/>
      <c r="AX13" s="92"/>
      <c r="AY13" s="92"/>
      <c r="AZ13" s="92"/>
      <c r="BA13" s="92"/>
      <c r="BB13" s="92"/>
      <c r="BC13" s="92"/>
    </row>
    <row r="14" spans="1:62" ht="22.5" customHeight="1" thickBot="1">
      <c r="A14" s="502"/>
      <c r="B14" s="558"/>
      <c r="C14" s="570"/>
      <c r="D14" s="560"/>
      <c r="E14" s="560"/>
      <c r="F14" s="560"/>
      <c r="G14" s="560"/>
      <c r="H14" s="560"/>
      <c r="I14" s="560"/>
      <c r="J14" s="560"/>
      <c r="K14" s="560"/>
      <c r="L14" s="560"/>
      <c r="M14" s="560"/>
      <c r="N14" s="560"/>
      <c r="O14" s="560"/>
      <c r="P14" s="495"/>
      <c r="Q14" s="499"/>
      <c r="R14" s="499"/>
      <c r="S14" s="499"/>
      <c r="T14" s="615"/>
      <c r="U14" s="531" t="s">
        <v>67</v>
      </c>
      <c r="V14" s="578" t="s">
        <v>27</v>
      </c>
      <c r="W14" s="579"/>
      <c r="X14" s="532" t="s">
        <v>207</v>
      </c>
      <c r="Y14" s="529">
        <f>BN14/1100000</f>
        <v>0</v>
      </c>
      <c r="Z14" s="69"/>
      <c r="AA14" s="75"/>
      <c r="AB14" s="261"/>
      <c r="AC14" s="80"/>
      <c r="AD14" s="81"/>
      <c r="AE14" s="82" t="s">
        <v>100</v>
      </c>
      <c r="AF14" s="83"/>
      <c r="BD14" s="68"/>
      <c r="BE14" s="68"/>
      <c r="BF14" s="68"/>
      <c r="BG14" s="68"/>
      <c r="BH14" s="68"/>
      <c r="BI14" s="68"/>
      <c r="BJ14" s="68"/>
    </row>
    <row r="15" spans="1:62" ht="22.5" customHeight="1" thickBot="1">
      <c r="A15" s="490" t="s">
        <v>1349</v>
      </c>
      <c r="B15" s="554">
        <v>0.4</v>
      </c>
      <c r="C15" s="569">
        <f>B15+D15+E15+F15+G15+H15+I15+J15+K15+L15+M15+N15+O15</f>
        <v>0.7</v>
      </c>
      <c r="D15" s="525">
        <v>0.1</v>
      </c>
      <c r="E15" s="525"/>
      <c r="F15" s="525">
        <v>0.1</v>
      </c>
      <c r="G15" s="525">
        <v>0.1</v>
      </c>
      <c r="H15" s="525"/>
      <c r="I15" s="525"/>
      <c r="J15" s="525"/>
      <c r="K15" s="525"/>
      <c r="L15" s="525"/>
      <c r="M15" s="525"/>
      <c r="N15" s="525"/>
      <c r="O15" s="525"/>
      <c r="P15" s="566"/>
      <c r="Q15" s="494" t="s">
        <v>1341</v>
      </c>
      <c r="R15" s="494" t="s">
        <v>1389</v>
      </c>
      <c r="S15" s="494">
        <v>288</v>
      </c>
      <c r="T15" s="616" t="s">
        <v>1350</v>
      </c>
      <c r="U15" s="520"/>
      <c r="V15" s="521" t="s">
        <v>104</v>
      </c>
      <c r="W15" s="522">
        <f>BL15/1000000</f>
        <v>0</v>
      </c>
      <c r="X15" s="523" t="s">
        <v>7</v>
      </c>
      <c r="Y15" s="524" t="e">
        <f>W15-#REF!/1.1+Y16</f>
        <v>#REF!</v>
      </c>
      <c r="Z15" s="90" t="s">
        <v>90</v>
      </c>
      <c r="AA15" s="79" t="s">
        <v>34</v>
      </c>
      <c r="AB15" s="260"/>
      <c r="AC15" s="80" t="s">
        <v>104</v>
      </c>
      <c r="AD15" s="81">
        <v>66000000</v>
      </c>
      <c r="AE15" s="82"/>
      <c r="AF15" s="83">
        <f>SUM(AG15:BC15)</f>
        <v>0</v>
      </c>
      <c r="AG15" s="91"/>
      <c r="AH15" s="92"/>
      <c r="AI15" s="92"/>
      <c r="AJ15" s="92"/>
      <c r="AK15" s="92"/>
      <c r="AL15" s="92"/>
      <c r="AM15" s="92"/>
      <c r="AN15" s="92"/>
      <c r="AO15" s="92"/>
      <c r="AP15" s="92"/>
      <c r="AQ15" s="92"/>
      <c r="AR15" s="92"/>
      <c r="AS15" s="92"/>
      <c r="AT15" s="92"/>
      <c r="AU15" s="92"/>
      <c r="AV15" s="92"/>
      <c r="AW15" s="92"/>
      <c r="AX15" s="92"/>
      <c r="AY15" s="92"/>
      <c r="AZ15" s="92"/>
      <c r="BA15" s="92"/>
      <c r="BB15" s="92"/>
      <c r="BC15" s="92"/>
    </row>
    <row r="16" spans="1:62" ht="22.5" customHeight="1" thickBot="1">
      <c r="A16" s="502"/>
      <c r="B16" s="558"/>
      <c r="C16" s="570"/>
      <c r="D16" s="560"/>
      <c r="E16" s="560"/>
      <c r="F16" s="560"/>
      <c r="G16" s="560"/>
      <c r="H16" s="560"/>
      <c r="I16" s="560"/>
      <c r="J16" s="560"/>
      <c r="K16" s="560"/>
      <c r="L16" s="560"/>
      <c r="M16" s="560"/>
      <c r="N16" s="560"/>
      <c r="O16" s="560"/>
      <c r="P16" s="601"/>
      <c r="Q16" s="499"/>
      <c r="R16" s="499"/>
      <c r="S16" s="499"/>
      <c r="T16" s="425"/>
      <c r="U16" s="531" t="s">
        <v>67</v>
      </c>
      <c r="V16" s="578" t="s">
        <v>27</v>
      </c>
      <c r="W16" s="579"/>
      <c r="X16" s="532" t="s">
        <v>207</v>
      </c>
      <c r="Y16" s="529">
        <f>BN16/1100000</f>
        <v>0</v>
      </c>
      <c r="Z16" s="69"/>
      <c r="AA16" s="75"/>
      <c r="AB16" s="261"/>
      <c r="AC16" s="80"/>
      <c r="AD16" s="81"/>
      <c r="AE16" s="82" t="s">
        <v>100</v>
      </c>
      <c r="AF16" s="83"/>
      <c r="BD16" s="68"/>
      <c r="BE16" s="68"/>
      <c r="BF16" s="68"/>
      <c r="BG16" s="68"/>
      <c r="BH16" s="68"/>
      <c r="BI16" s="68"/>
      <c r="BJ16" s="68"/>
    </row>
    <row r="17" spans="1:62" ht="22.5" customHeight="1" thickBot="1">
      <c r="A17" s="490" t="s">
        <v>1351</v>
      </c>
      <c r="B17" s="554">
        <v>0</v>
      </c>
      <c r="C17" s="569">
        <f>B17+D17+E17+F17+G17+H17+I17+J17+K17+L17+M17+N17+O17</f>
        <v>0.28000000000000003</v>
      </c>
      <c r="D17" s="525"/>
      <c r="E17" s="525"/>
      <c r="F17" s="525">
        <v>0.03</v>
      </c>
      <c r="G17" s="525">
        <v>0.03</v>
      </c>
      <c r="H17" s="525">
        <v>0.02</v>
      </c>
      <c r="I17" s="525"/>
      <c r="J17" s="525"/>
      <c r="K17" s="525"/>
      <c r="L17" s="525"/>
      <c r="M17" s="525">
        <v>0.2</v>
      </c>
      <c r="N17" s="525"/>
      <c r="O17" s="525"/>
      <c r="P17" s="566"/>
      <c r="Q17" s="494" t="s">
        <v>1353</v>
      </c>
      <c r="R17" s="494" t="s">
        <v>1389</v>
      </c>
      <c r="S17" s="494">
        <v>329</v>
      </c>
      <c r="T17" s="614" t="s">
        <v>1352</v>
      </c>
      <c r="U17" s="520"/>
      <c r="V17" s="521" t="s">
        <v>104</v>
      </c>
      <c r="W17" s="522">
        <f>BL17/1000000</f>
        <v>0</v>
      </c>
      <c r="X17" s="523" t="s">
        <v>7</v>
      </c>
      <c r="Y17" s="524" t="e">
        <f>W17-#REF!/1.1+Y18</f>
        <v>#REF!</v>
      </c>
      <c r="Z17" s="90" t="s">
        <v>90</v>
      </c>
      <c r="AA17" s="79" t="s">
        <v>34</v>
      </c>
      <c r="AB17" s="260"/>
      <c r="AC17" s="80" t="s">
        <v>104</v>
      </c>
      <c r="AD17" s="81">
        <v>101387000</v>
      </c>
      <c r="AE17" s="82"/>
      <c r="AF17" s="83">
        <f>SUM(AG17:BC17)</f>
        <v>0</v>
      </c>
      <c r="AG17" s="91"/>
      <c r="AH17" s="92"/>
      <c r="AI17" s="92"/>
      <c r="AJ17" s="92"/>
      <c r="AK17" s="92"/>
      <c r="AL17" s="92"/>
      <c r="AM17" s="92"/>
      <c r="AN17" s="92"/>
      <c r="AO17" s="92"/>
      <c r="AP17" s="92"/>
      <c r="AQ17" s="92"/>
      <c r="AR17" s="92"/>
      <c r="AS17" s="92"/>
      <c r="AT17" s="92"/>
      <c r="AU17" s="92"/>
      <c r="AV17" s="92"/>
      <c r="AW17" s="92"/>
      <c r="AX17" s="92"/>
      <c r="AY17" s="92"/>
      <c r="AZ17" s="92"/>
      <c r="BA17" s="92"/>
      <c r="BB17" s="92"/>
      <c r="BC17" s="92"/>
    </row>
    <row r="18" spans="1:62" ht="22.5" customHeight="1" thickBot="1">
      <c r="A18" s="502"/>
      <c r="B18" s="558"/>
      <c r="C18" s="570"/>
      <c r="D18" s="560"/>
      <c r="E18" s="560"/>
      <c r="F18" s="560"/>
      <c r="G18" s="560"/>
      <c r="H18" s="560"/>
      <c r="I18" s="560"/>
      <c r="J18" s="560"/>
      <c r="K18" s="560"/>
      <c r="L18" s="560"/>
      <c r="M18" s="560" t="s">
        <v>1345</v>
      </c>
      <c r="N18" s="560"/>
      <c r="O18" s="560"/>
      <c r="P18" s="601"/>
      <c r="Q18" s="499"/>
      <c r="R18" s="499"/>
      <c r="S18" s="499"/>
      <c r="T18" s="615"/>
      <c r="U18" s="531" t="s">
        <v>67</v>
      </c>
      <c r="V18" s="578" t="s">
        <v>27</v>
      </c>
      <c r="W18" s="579"/>
      <c r="X18" s="532" t="s">
        <v>207</v>
      </c>
      <c r="Y18" s="529">
        <f>BN18/1100000</f>
        <v>0</v>
      </c>
      <c r="Z18" s="69"/>
      <c r="AA18" s="75"/>
      <c r="AB18" s="261"/>
      <c r="AC18" s="80"/>
      <c r="AD18" s="81"/>
      <c r="AE18" s="82" t="s">
        <v>100</v>
      </c>
      <c r="AF18" s="83"/>
      <c r="BD18" s="68"/>
      <c r="BE18" s="68"/>
      <c r="BF18" s="68"/>
      <c r="BG18" s="68"/>
      <c r="BH18" s="68"/>
      <c r="BI18" s="68"/>
      <c r="BJ18" s="68"/>
    </row>
    <row r="19" spans="1:62" ht="22.5" customHeight="1" thickBot="1">
      <c r="A19" s="490" t="s">
        <v>1359</v>
      </c>
      <c r="B19" s="554">
        <v>0.3</v>
      </c>
      <c r="C19" s="569">
        <f>B19+D19+E19+F19+G19+H19+I19+J19+K19+L19+M19+N19+O19</f>
        <v>0.65000000000000013</v>
      </c>
      <c r="D19" s="525"/>
      <c r="E19" s="525">
        <v>0.1</v>
      </c>
      <c r="F19" s="525">
        <v>0.1</v>
      </c>
      <c r="G19" s="525">
        <v>0.05</v>
      </c>
      <c r="H19" s="525"/>
      <c r="I19" s="525">
        <v>0.05</v>
      </c>
      <c r="J19" s="414"/>
      <c r="K19" s="525">
        <v>0.05</v>
      </c>
      <c r="L19" s="525"/>
      <c r="M19" s="525"/>
      <c r="N19" s="525"/>
      <c r="O19" s="525"/>
      <c r="P19" s="490"/>
      <c r="Q19" s="494" t="s">
        <v>1361</v>
      </c>
      <c r="R19" s="494" t="s">
        <v>1389</v>
      </c>
      <c r="S19" s="494">
        <v>272</v>
      </c>
      <c r="T19" s="617" t="s">
        <v>1360</v>
      </c>
      <c r="U19" s="520"/>
      <c r="V19" s="521" t="s">
        <v>799</v>
      </c>
      <c r="W19" s="522">
        <f>BL19/1000000</f>
        <v>0</v>
      </c>
      <c r="X19" s="523" t="s">
        <v>832</v>
      </c>
      <c r="Y19" s="524" t="e">
        <f>W19-#REF!/1.1+Y20</f>
        <v>#REF!</v>
      </c>
      <c r="Z19" s="90" t="s">
        <v>812</v>
      </c>
      <c r="AA19" s="79" t="s">
        <v>813</v>
      </c>
      <c r="AB19" s="260" t="s">
        <v>1322</v>
      </c>
      <c r="AC19" s="80" t="s">
        <v>799</v>
      </c>
      <c r="AD19" s="81">
        <v>80000000</v>
      </c>
      <c r="AE19" s="82"/>
      <c r="AF19" s="83">
        <f>SUM(AG19:BC19)</f>
        <v>0</v>
      </c>
      <c r="AG19" s="91"/>
      <c r="AH19" s="92"/>
      <c r="AI19" s="92"/>
      <c r="AJ19" s="92"/>
      <c r="AK19" s="92"/>
      <c r="AL19" s="92"/>
      <c r="AM19" s="92"/>
      <c r="AN19" s="92"/>
      <c r="AO19" s="92"/>
      <c r="AP19" s="92"/>
      <c r="AQ19" s="92"/>
      <c r="AR19" s="92"/>
      <c r="AS19" s="92"/>
      <c r="AT19" s="92"/>
      <c r="AU19" s="92"/>
      <c r="AV19" s="92"/>
      <c r="AW19" s="92"/>
      <c r="AX19" s="92"/>
      <c r="AY19" s="92"/>
      <c r="AZ19" s="92"/>
      <c r="BA19" s="92"/>
      <c r="BB19" s="92"/>
      <c r="BC19" s="92"/>
    </row>
    <row r="20" spans="1:62" ht="22.5" customHeight="1" thickBot="1">
      <c r="A20" s="502"/>
      <c r="B20" s="558"/>
      <c r="C20" s="570"/>
      <c r="D20" s="560"/>
      <c r="E20" s="560"/>
      <c r="F20" s="560"/>
      <c r="G20" s="560"/>
      <c r="H20" s="560"/>
      <c r="I20" s="560"/>
      <c r="J20" s="560"/>
      <c r="K20" s="560"/>
      <c r="L20" s="560"/>
      <c r="M20" s="560"/>
      <c r="N20" s="560"/>
      <c r="O20" s="560"/>
      <c r="P20" s="611"/>
      <c r="Q20" s="499"/>
      <c r="R20" s="499"/>
      <c r="S20" s="499"/>
      <c r="T20" s="618"/>
      <c r="U20" s="531" t="s">
        <v>67</v>
      </c>
      <c r="V20" s="578" t="s">
        <v>27</v>
      </c>
      <c r="W20" s="579"/>
      <c r="X20" s="532" t="s">
        <v>207</v>
      </c>
      <c r="Y20" s="529">
        <f>BN20/1100000</f>
        <v>0</v>
      </c>
      <c r="Z20" s="69"/>
      <c r="AA20" s="69"/>
      <c r="AB20" s="261"/>
      <c r="AC20" s="80"/>
      <c r="AD20" s="81"/>
      <c r="AE20" s="82" t="s">
        <v>100</v>
      </c>
      <c r="AF20" s="83"/>
      <c r="BD20" s="68"/>
      <c r="BE20" s="68"/>
      <c r="BF20" s="68"/>
      <c r="BG20" s="68"/>
      <c r="BH20" s="68"/>
      <c r="BI20" s="68"/>
      <c r="BJ20" s="68"/>
    </row>
    <row r="21" spans="1:62" ht="22.5" customHeight="1" thickBot="1">
      <c r="A21" s="507" t="s">
        <v>1362</v>
      </c>
      <c r="B21" s="554">
        <v>0.8</v>
      </c>
      <c r="C21" s="569">
        <f>B21+D21+E21+F21+G21+H21+I21+J21+K21+L21+M21+N21+O21</f>
        <v>0.8</v>
      </c>
      <c r="D21" s="525"/>
      <c r="E21" s="525"/>
      <c r="F21" s="525"/>
      <c r="G21" s="525"/>
      <c r="H21" s="525"/>
      <c r="I21" s="525"/>
      <c r="J21" s="414"/>
      <c r="K21" s="525"/>
      <c r="L21" s="525"/>
      <c r="M21" s="525"/>
      <c r="N21" s="525"/>
      <c r="O21" s="525"/>
      <c r="P21" s="490"/>
      <c r="Q21" s="494" t="s">
        <v>1361</v>
      </c>
      <c r="R21" s="494"/>
      <c r="S21" s="494"/>
      <c r="T21" s="619" t="s">
        <v>1363</v>
      </c>
      <c r="U21" s="520"/>
      <c r="V21" s="521" t="s">
        <v>104</v>
      </c>
      <c r="W21" s="522">
        <f>BL21/1000000</f>
        <v>0</v>
      </c>
      <c r="X21" s="523" t="s">
        <v>7</v>
      </c>
      <c r="Y21" s="524" t="e">
        <f>W21-#REF!/1.1+Y22</f>
        <v>#REF!</v>
      </c>
      <c r="Z21" s="90" t="s">
        <v>90</v>
      </c>
      <c r="AA21" s="79" t="s">
        <v>34</v>
      </c>
      <c r="AB21" s="260"/>
      <c r="AC21" s="80" t="s">
        <v>104</v>
      </c>
      <c r="AD21" s="81">
        <v>46200000</v>
      </c>
      <c r="AE21" s="82"/>
      <c r="AF21" s="83">
        <f>SUM(AG21:BC21)</f>
        <v>0</v>
      </c>
      <c r="AG21" s="91"/>
      <c r="AH21" s="92"/>
      <c r="AI21" s="92"/>
      <c r="AJ21" s="92"/>
      <c r="AK21" s="92"/>
      <c r="AL21" s="92"/>
      <c r="AM21" s="92"/>
      <c r="AN21" s="92"/>
      <c r="AO21" s="92"/>
      <c r="AP21" s="92"/>
      <c r="AQ21" s="92"/>
      <c r="AR21" s="92"/>
      <c r="AS21" s="92"/>
      <c r="AT21" s="92"/>
      <c r="AU21" s="92"/>
      <c r="AV21" s="92"/>
      <c r="AW21" s="92"/>
      <c r="AX21" s="92"/>
      <c r="AY21" s="92"/>
      <c r="AZ21" s="92"/>
      <c r="BA21" s="92"/>
      <c r="BB21" s="92"/>
      <c r="BC21" s="92"/>
    </row>
    <row r="22" spans="1:62" ht="22.5" customHeight="1" thickBot="1">
      <c r="A22" s="509" t="s">
        <v>1061</v>
      </c>
      <c r="B22" s="558"/>
      <c r="C22" s="570"/>
      <c r="D22" s="560"/>
      <c r="E22" s="560"/>
      <c r="F22" s="560"/>
      <c r="G22" s="560"/>
      <c r="H22" s="560"/>
      <c r="I22" s="560"/>
      <c r="J22" s="560"/>
      <c r="K22" s="560"/>
      <c r="L22" s="560"/>
      <c r="M22" s="560"/>
      <c r="N22" s="560"/>
      <c r="O22" s="560"/>
      <c r="P22" s="495"/>
      <c r="Q22" s="499"/>
      <c r="R22" s="499"/>
      <c r="S22" s="499"/>
      <c r="T22" s="620"/>
      <c r="U22" s="531" t="s">
        <v>816</v>
      </c>
      <c r="V22" s="578" t="s">
        <v>1277</v>
      </c>
      <c r="W22" s="579"/>
      <c r="X22" s="532" t="s">
        <v>1080</v>
      </c>
      <c r="Y22" s="529">
        <f>BN22/1100000</f>
        <v>0</v>
      </c>
      <c r="Z22" s="69"/>
      <c r="AA22" s="75"/>
      <c r="AB22" s="261"/>
      <c r="AC22" s="80"/>
      <c r="AD22" s="81"/>
      <c r="AE22" s="82" t="s">
        <v>824</v>
      </c>
      <c r="AF22" s="83"/>
      <c r="BD22" s="68"/>
      <c r="BE22" s="68"/>
      <c r="BF22" s="68"/>
      <c r="BG22" s="68"/>
      <c r="BH22" s="68"/>
      <c r="BI22" s="68"/>
      <c r="BJ22" s="68"/>
    </row>
    <row r="23" spans="1:62" ht="22.5" customHeight="1" thickBot="1">
      <c r="A23" s="507" t="s">
        <v>1364</v>
      </c>
      <c r="B23" s="554"/>
      <c r="C23" s="569">
        <f>B23+D23+E23+F23+G23+H23+I23+J23+K23+L23+M23+N23+O23</f>
        <v>0.9</v>
      </c>
      <c r="D23" s="525"/>
      <c r="E23" s="525"/>
      <c r="F23" s="525"/>
      <c r="G23" s="525">
        <v>0.5</v>
      </c>
      <c r="H23" s="525">
        <v>0.3</v>
      </c>
      <c r="I23" s="525">
        <v>0.1</v>
      </c>
      <c r="J23" s="525"/>
      <c r="K23" s="525"/>
      <c r="L23" s="525"/>
      <c r="M23" s="525"/>
      <c r="N23" s="525"/>
      <c r="O23" s="525"/>
      <c r="P23" s="566"/>
      <c r="Q23" s="494" t="s">
        <v>1366</v>
      </c>
      <c r="R23" s="494"/>
      <c r="S23" s="494"/>
      <c r="T23" s="617" t="s">
        <v>1365</v>
      </c>
      <c r="U23" s="520"/>
      <c r="V23" s="521" t="s">
        <v>799</v>
      </c>
      <c r="W23" s="522">
        <f>BL23/1000000</f>
        <v>0</v>
      </c>
      <c r="X23" s="523" t="s">
        <v>832</v>
      </c>
      <c r="Y23" s="524" t="e">
        <f>W23-#REF!/1.1+Y24</f>
        <v>#REF!</v>
      </c>
      <c r="Z23" s="90" t="s">
        <v>812</v>
      </c>
      <c r="AA23" s="79" t="s">
        <v>813</v>
      </c>
      <c r="AB23" s="260"/>
      <c r="AC23" s="80" t="s">
        <v>799</v>
      </c>
      <c r="AD23" s="81">
        <v>3000000</v>
      </c>
      <c r="AE23" s="82"/>
      <c r="AF23" s="83">
        <f>SUM(AG23:BC23)</f>
        <v>0</v>
      </c>
      <c r="AG23" s="91"/>
      <c r="AH23" s="92"/>
      <c r="AI23" s="92"/>
      <c r="AJ23" s="92"/>
      <c r="AK23" s="92"/>
      <c r="AL23" s="92"/>
      <c r="AM23" s="92"/>
      <c r="AN23" s="92"/>
      <c r="AO23" s="92"/>
      <c r="AP23" s="92"/>
      <c r="AQ23" s="92"/>
      <c r="AR23" s="92"/>
      <c r="AS23" s="92"/>
      <c r="AT23" s="92"/>
      <c r="AU23" s="92"/>
      <c r="AV23" s="92"/>
      <c r="AW23" s="92"/>
      <c r="AX23" s="92"/>
      <c r="AY23" s="92"/>
      <c r="AZ23" s="92"/>
      <c r="BA23" s="92"/>
      <c r="BB23" s="92"/>
      <c r="BC23" s="92"/>
    </row>
    <row r="24" spans="1:62" ht="22.5" customHeight="1" thickBot="1">
      <c r="A24" s="509" t="s">
        <v>1061</v>
      </c>
      <c r="B24" s="558"/>
      <c r="C24" s="570"/>
      <c r="D24" s="560"/>
      <c r="E24" s="560"/>
      <c r="F24" s="560"/>
      <c r="G24" s="560"/>
      <c r="H24" s="560"/>
      <c r="I24" s="560"/>
      <c r="J24" s="560"/>
      <c r="K24" s="560"/>
      <c r="L24" s="560"/>
      <c r="M24" s="560"/>
      <c r="N24" s="560"/>
      <c r="O24" s="560"/>
      <c r="P24" s="601"/>
      <c r="Q24" s="499"/>
      <c r="R24" s="499"/>
      <c r="S24" s="499"/>
      <c r="T24" s="618"/>
      <c r="U24" s="531" t="s">
        <v>816</v>
      </c>
      <c r="V24" s="578" t="s">
        <v>1277</v>
      </c>
      <c r="W24" s="579"/>
      <c r="X24" s="532" t="s">
        <v>1080</v>
      </c>
      <c r="Y24" s="529">
        <f>BN24/1100000</f>
        <v>0</v>
      </c>
      <c r="Z24" s="69"/>
      <c r="AA24" s="75"/>
      <c r="AB24" s="261"/>
      <c r="AC24" s="80"/>
      <c r="AD24" s="81"/>
      <c r="AE24" s="82" t="s">
        <v>824</v>
      </c>
      <c r="AF24" s="83"/>
      <c r="BD24" s="68"/>
      <c r="BE24" s="68"/>
      <c r="BF24" s="68"/>
      <c r="BG24" s="68"/>
      <c r="BH24" s="68"/>
      <c r="BI24" s="68"/>
      <c r="BJ24" s="68"/>
    </row>
    <row r="25" spans="1:62" ht="22.5" customHeight="1" thickBot="1">
      <c r="A25" s="507"/>
      <c r="B25" s="554"/>
      <c r="C25" s="569">
        <f>B25+D25+E25+F25+G25+H25+I25+J25+K25+L25+M25+N25+O25</f>
        <v>0.05</v>
      </c>
      <c r="D25" s="414"/>
      <c r="E25" s="414"/>
      <c r="F25" s="414"/>
      <c r="G25" s="414"/>
      <c r="H25" s="414"/>
      <c r="I25" s="414"/>
      <c r="J25" s="414"/>
      <c r="K25" s="525"/>
      <c r="L25" s="525"/>
      <c r="M25" s="525">
        <v>0.05</v>
      </c>
      <c r="N25" s="525"/>
      <c r="O25" s="525"/>
      <c r="P25" s="566"/>
      <c r="Q25" s="494" t="s">
        <v>1366</v>
      </c>
      <c r="R25" s="494"/>
      <c r="S25" s="494"/>
      <c r="T25" s="619" t="s">
        <v>1367</v>
      </c>
      <c r="U25" s="520"/>
      <c r="V25" s="521" t="s">
        <v>799</v>
      </c>
      <c r="W25" s="522">
        <f>BL25/1000000</f>
        <v>0</v>
      </c>
      <c r="X25" s="523" t="s">
        <v>832</v>
      </c>
      <c r="Y25" s="524" t="e">
        <f>W25-#REF!/1.1+Y26</f>
        <v>#REF!</v>
      </c>
      <c r="Z25" s="90" t="s">
        <v>812</v>
      </c>
      <c r="AA25" s="79" t="s">
        <v>813</v>
      </c>
      <c r="AB25" s="260"/>
      <c r="AC25" s="80" t="s">
        <v>799</v>
      </c>
      <c r="AD25" s="81">
        <v>15000000</v>
      </c>
      <c r="AE25" s="82"/>
      <c r="AF25" s="83">
        <f>SUM(AG25:BC25)</f>
        <v>0</v>
      </c>
      <c r="AG25" s="91"/>
      <c r="AH25" s="92"/>
      <c r="AI25" s="92"/>
      <c r="AJ25" s="92"/>
      <c r="AK25" s="92"/>
      <c r="AL25" s="92"/>
      <c r="AM25" s="92"/>
      <c r="AN25" s="92"/>
      <c r="AO25" s="92"/>
      <c r="AP25" s="92"/>
      <c r="AQ25" s="92"/>
      <c r="AR25" s="92"/>
      <c r="AS25" s="92"/>
      <c r="AT25" s="92"/>
      <c r="AU25" s="92"/>
      <c r="AV25" s="92"/>
      <c r="AW25" s="92"/>
      <c r="AX25" s="92"/>
      <c r="AY25" s="92"/>
      <c r="AZ25" s="92"/>
      <c r="BA25" s="92"/>
      <c r="BB25" s="92"/>
      <c r="BC25" s="92"/>
    </row>
    <row r="26" spans="1:62" ht="22.5" customHeight="1" thickBot="1">
      <c r="A26" s="509" t="s">
        <v>1061</v>
      </c>
      <c r="B26" s="558"/>
      <c r="C26" s="570"/>
      <c r="D26" s="560"/>
      <c r="E26" s="560"/>
      <c r="F26" s="560"/>
      <c r="G26" s="560"/>
      <c r="H26" s="560"/>
      <c r="I26" s="560"/>
      <c r="J26" s="560"/>
      <c r="K26" s="560"/>
      <c r="L26" s="560"/>
      <c r="M26" s="560" t="s">
        <v>1369</v>
      </c>
      <c r="N26" s="560"/>
      <c r="O26" s="560"/>
      <c r="P26" s="601"/>
      <c r="Q26" s="499"/>
      <c r="R26" s="499"/>
      <c r="S26" s="499"/>
      <c r="T26" s="620"/>
      <c r="U26" s="531" t="s">
        <v>816</v>
      </c>
      <c r="V26" s="578" t="s">
        <v>1277</v>
      </c>
      <c r="W26" s="579"/>
      <c r="X26" s="532" t="s">
        <v>1080</v>
      </c>
      <c r="Y26" s="529">
        <f>BN26/1100000</f>
        <v>0</v>
      </c>
      <c r="Z26" s="69"/>
      <c r="AA26" s="75"/>
      <c r="AB26" s="261"/>
      <c r="AC26" s="80"/>
      <c r="AD26" s="81"/>
      <c r="AE26" s="82" t="s">
        <v>824</v>
      </c>
      <c r="AF26" s="83"/>
      <c r="BD26" s="68"/>
      <c r="BE26" s="68"/>
      <c r="BF26" s="68"/>
      <c r="BG26" s="68"/>
      <c r="BH26" s="68"/>
      <c r="BI26" s="68"/>
      <c r="BJ26" s="68"/>
    </row>
    <row r="27" spans="1:62" ht="22.5" customHeight="1" thickBot="1">
      <c r="A27" s="490" t="s">
        <v>1229</v>
      </c>
      <c r="B27" s="554"/>
      <c r="C27" s="555">
        <f>B27+D27+E27+F27+G27+H27+I27+J27+K27+L27+M27+N27+O27</f>
        <v>0.30000000000000004</v>
      </c>
      <c r="D27" s="525"/>
      <c r="E27" s="525"/>
      <c r="F27" s="525"/>
      <c r="G27" s="525"/>
      <c r="H27" s="525"/>
      <c r="I27" s="525"/>
      <c r="J27" s="525"/>
      <c r="K27" s="525">
        <v>0.05</v>
      </c>
      <c r="L27" s="525">
        <v>0.05</v>
      </c>
      <c r="M27" s="525">
        <v>0.1</v>
      </c>
      <c r="N27" s="525">
        <v>0.1</v>
      </c>
      <c r="O27" s="525"/>
      <c r="P27" s="610" t="s">
        <v>1371</v>
      </c>
      <c r="Q27" s="612" t="s">
        <v>1353</v>
      </c>
      <c r="R27" s="608" t="s">
        <v>1389</v>
      </c>
      <c r="S27" s="608">
        <v>365</v>
      </c>
      <c r="T27" s="617" t="s">
        <v>1370</v>
      </c>
      <c r="U27" s="520"/>
      <c r="V27" s="521" t="s">
        <v>104</v>
      </c>
      <c r="W27" s="522">
        <f>BL27/1000000</f>
        <v>0</v>
      </c>
      <c r="X27" s="523" t="s">
        <v>7</v>
      </c>
      <c r="Y27" s="524" t="e">
        <f>W27-#REF!/1.1+Y28</f>
        <v>#REF!</v>
      </c>
      <c r="Z27" s="90" t="s">
        <v>90</v>
      </c>
      <c r="AA27" s="79" t="s">
        <v>34</v>
      </c>
      <c r="AB27" s="260"/>
      <c r="AC27" s="80" t="s">
        <v>104</v>
      </c>
      <c r="AD27" s="81">
        <v>27060000</v>
      </c>
      <c r="AE27" s="82"/>
      <c r="AF27" s="83">
        <f>SUM(AG27:BC27)</f>
        <v>0</v>
      </c>
      <c r="AG27" s="91"/>
      <c r="AH27" s="92"/>
      <c r="AI27" s="92"/>
      <c r="AJ27" s="92"/>
      <c r="AK27" s="92"/>
      <c r="AL27" s="92"/>
      <c r="AM27" s="92"/>
      <c r="AN27" s="92"/>
      <c r="AO27" s="92"/>
      <c r="AP27" s="92"/>
      <c r="AQ27" s="92"/>
      <c r="AR27" s="92"/>
      <c r="AS27" s="92"/>
      <c r="AT27" s="92"/>
      <c r="AU27" s="92"/>
      <c r="AV27" s="92"/>
      <c r="AW27" s="92"/>
      <c r="AX27" s="92"/>
      <c r="AY27" s="92"/>
      <c r="AZ27" s="92"/>
      <c r="BA27" s="92"/>
      <c r="BB27" s="92"/>
      <c r="BC27" s="92"/>
    </row>
    <row r="28" spans="1:62" ht="22.5" customHeight="1" thickBot="1">
      <c r="A28" s="502"/>
      <c r="B28" s="558"/>
      <c r="C28" s="559"/>
      <c r="D28" s="560"/>
      <c r="E28" s="560"/>
      <c r="F28" s="560"/>
      <c r="G28" s="560"/>
      <c r="H28" s="560"/>
      <c r="I28" s="560"/>
      <c r="J28" s="560"/>
      <c r="K28" s="560" t="s">
        <v>1368</v>
      </c>
      <c r="L28" s="560" t="s">
        <v>1323</v>
      </c>
      <c r="M28" s="560" t="s">
        <v>1372</v>
      </c>
      <c r="N28" s="560"/>
      <c r="O28" s="560"/>
      <c r="P28" s="611"/>
      <c r="Q28" s="613"/>
      <c r="R28" s="609"/>
      <c r="S28" s="609"/>
      <c r="T28" s="618"/>
      <c r="U28" s="531" t="s">
        <v>67</v>
      </c>
      <c r="V28" s="578" t="s">
        <v>27</v>
      </c>
      <c r="W28" s="579"/>
      <c r="X28" s="532" t="s">
        <v>207</v>
      </c>
      <c r="Y28" s="529">
        <f>BN28/1100000</f>
        <v>0</v>
      </c>
      <c r="Z28" s="69"/>
      <c r="AA28" s="69"/>
      <c r="AB28" s="261"/>
      <c r="AC28" s="80"/>
      <c r="AD28" s="81"/>
      <c r="AE28" s="82" t="s">
        <v>100</v>
      </c>
      <c r="AF28" s="83"/>
      <c r="BD28" s="68"/>
      <c r="BE28" s="68"/>
      <c r="BF28" s="68"/>
      <c r="BG28" s="68"/>
      <c r="BH28" s="68"/>
      <c r="BI28" s="68"/>
      <c r="BJ28" s="68"/>
    </row>
    <row r="29" spans="1:62" ht="22.5" customHeight="1" thickBot="1">
      <c r="A29" s="490" t="s">
        <v>1373</v>
      </c>
      <c r="B29" s="554"/>
      <c r="C29" s="555">
        <f>B29+D29+E29+F29+G29+H29+I29+J29+K29+L29+M29+N29+O29</f>
        <v>0.6</v>
      </c>
      <c r="D29" s="525"/>
      <c r="E29" s="525"/>
      <c r="F29" s="525"/>
      <c r="G29" s="525"/>
      <c r="H29" s="525"/>
      <c r="I29" s="525"/>
      <c r="J29" s="525"/>
      <c r="K29" s="525">
        <v>0.1</v>
      </c>
      <c r="L29" s="525">
        <v>0.5</v>
      </c>
      <c r="M29" s="525"/>
      <c r="N29" s="525"/>
      <c r="O29" s="525"/>
      <c r="P29" s="490"/>
      <c r="Q29" s="612" t="s">
        <v>1353</v>
      </c>
      <c r="R29" s="608" t="s">
        <v>1389</v>
      </c>
      <c r="S29" s="608">
        <v>367</v>
      </c>
      <c r="T29" s="617" t="s">
        <v>1374</v>
      </c>
      <c r="U29" s="520"/>
      <c r="V29" s="521" t="s">
        <v>104</v>
      </c>
      <c r="W29" s="522">
        <f>BL29/1000000</f>
        <v>0</v>
      </c>
      <c r="X29" s="523" t="s">
        <v>7</v>
      </c>
      <c r="Y29" s="524" t="e">
        <f>W29-#REF!/1.1+Y30</f>
        <v>#REF!</v>
      </c>
      <c r="Z29" s="90" t="s">
        <v>90</v>
      </c>
      <c r="AA29" s="79" t="s">
        <v>34</v>
      </c>
      <c r="AB29" s="260"/>
      <c r="AC29" s="80" t="s">
        <v>104</v>
      </c>
      <c r="AD29" s="81">
        <v>7000000</v>
      </c>
      <c r="AE29" s="82"/>
      <c r="AF29" s="83">
        <f>SUM(AG29:BC29)</f>
        <v>0</v>
      </c>
      <c r="AG29" s="91"/>
      <c r="AH29" s="92"/>
      <c r="AI29" s="92"/>
      <c r="AJ29" s="92"/>
      <c r="AK29" s="92"/>
      <c r="AL29" s="92"/>
      <c r="AM29" s="92"/>
      <c r="AN29" s="92"/>
      <c r="AO29" s="92"/>
      <c r="AP29" s="92"/>
      <c r="AQ29" s="92"/>
      <c r="AR29" s="92"/>
      <c r="AS29" s="92"/>
      <c r="AT29" s="92"/>
      <c r="AU29" s="92"/>
      <c r="AV29" s="92"/>
      <c r="AW29" s="92"/>
      <c r="AX29" s="92"/>
      <c r="AY29" s="92"/>
      <c r="AZ29" s="92"/>
      <c r="BA29" s="92"/>
      <c r="BB29" s="92"/>
      <c r="BC29" s="92"/>
    </row>
    <row r="30" spans="1:62" ht="22.5" customHeight="1" thickBot="1">
      <c r="A30" s="502"/>
      <c r="B30" s="558"/>
      <c r="C30" s="559"/>
      <c r="D30" s="560"/>
      <c r="E30" s="560"/>
      <c r="F30" s="560"/>
      <c r="G30" s="560"/>
      <c r="H30" s="560"/>
      <c r="I30" s="560"/>
      <c r="J30" s="560"/>
      <c r="K30" s="560"/>
      <c r="L30" s="560" t="s">
        <v>1326</v>
      </c>
      <c r="M30" s="560"/>
      <c r="N30" s="560"/>
      <c r="O30" s="560"/>
      <c r="P30" s="495"/>
      <c r="Q30" s="613"/>
      <c r="R30" s="609"/>
      <c r="S30" s="609"/>
      <c r="T30" s="618"/>
      <c r="U30" s="531" t="s">
        <v>67</v>
      </c>
      <c r="V30" s="578" t="s">
        <v>27</v>
      </c>
      <c r="W30" s="579"/>
      <c r="X30" s="532" t="s">
        <v>207</v>
      </c>
      <c r="Y30" s="529">
        <f>BN30/1100000</f>
        <v>0</v>
      </c>
      <c r="Z30" s="69"/>
      <c r="AA30" s="75"/>
      <c r="AB30" s="261"/>
      <c r="AC30" s="80"/>
      <c r="AD30" s="81"/>
      <c r="AE30" s="82" t="s">
        <v>100</v>
      </c>
      <c r="AF30" s="83"/>
      <c r="BD30" s="68"/>
      <c r="BE30" s="68"/>
      <c r="BF30" s="68"/>
      <c r="BG30" s="68"/>
      <c r="BH30" s="68"/>
      <c r="BI30" s="68"/>
      <c r="BJ30" s="68"/>
    </row>
    <row r="31" spans="1:62" ht="22.5" customHeight="1" thickBot="1">
      <c r="A31" s="507" t="s">
        <v>952</v>
      </c>
      <c r="B31" s="554"/>
      <c r="C31" s="555">
        <f>B31+D31+E31+F31+G31+H31+I31+J31+K31+L31+M31+N31+O31</f>
        <v>0.05</v>
      </c>
      <c r="D31" s="525"/>
      <c r="E31" s="525"/>
      <c r="F31" s="525"/>
      <c r="G31" s="525"/>
      <c r="H31" s="525"/>
      <c r="I31" s="525"/>
      <c r="J31" s="525"/>
      <c r="K31" s="525"/>
      <c r="L31" s="525"/>
      <c r="M31" s="525">
        <v>0.05</v>
      </c>
      <c r="N31" s="525"/>
      <c r="O31" s="525"/>
      <c r="P31" s="566"/>
      <c r="Q31" s="612" t="s">
        <v>1353</v>
      </c>
      <c r="R31" s="608"/>
      <c r="S31" s="608"/>
      <c r="T31" s="617" t="s">
        <v>755</v>
      </c>
      <c r="U31" s="520"/>
      <c r="V31" s="521" t="s">
        <v>104</v>
      </c>
      <c r="W31" s="522">
        <f>BL31/1000000</f>
        <v>0</v>
      </c>
      <c r="X31" s="523" t="s">
        <v>7</v>
      </c>
      <c r="Y31" s="524" t="e">
        <f>W31-#REF!/1.1+Y32</f>
        <v>#REF!</v>
      </c>
      <c r="Z31" s="90" t="s">
        <v>90</v>
      </c>
      <c r="AA31" s="79" t="s">
        <v>34</v>
      </c>
      <c r="AB31" s="260"/>
      <c r="AC31" s="80" t="s">
        <v>104</v>
      </c>
      <c r="AD31" s="81">
        <v>45000000</v>
      </c>
      <c r="AE31" s="82"/>
      <c r="AF31" s="83">
        <f>SUM(AG31:BC31)</f>
        <v>0</v>
      </c>
      <c r="AG31" s="91"/>
      <c r="AH31" s="92"/>
      <c r="AI31" s="92"/>
      <c r="AJ31" s="92"/>
      <c r="AK31" s="92"/>
      <c r="AL31" s="92"/>
      <c r="AM31" s="92"/>
      <c r="AN31" s="92"/>
      <c r="AO31" s="92"/>
      <c r="AP31" s="92"/>
      <c r="AQ31" s="92"/>
      <c r="AR31" s="92"/>
      <c r="AS31" s="92"/>
      <c r="AT31" s="92"/>
      <c r="AU31" s="92"/>
      <c r="AV31" s="92"/>
      <c r="AW31" s="92"/>
      <c r="AX31" s="92"/>
      <c r="AY31" s="92"/>
      <c r="AZ31" s="92"/>
      <c r="BA31" s="92"/>
      <c r="BB31" s="92"/>
      <c r="BC31" s="92"/>
    </row>
    <row r="32" spans="1:62" ht="22.5" customHeight="1" thickBot="1">
      <c r="A32" s="509" t="s">
        <v>1061</v>
      </c>
      <c r="B32" s="558"/>
      <c r="C32" s="559"/>
      <c r="D32" s="560"/>
      <c r="E32" s="560"/>
      <c r="F32" s="560"/>
      <c r="G32" s="560"/>
      <c r="H32" s="560"/>
      <c r="I32" s="560"/>
      <c r="J32" s="560"/>
      <c r="K32" s="560"/>
      <c r="L32" s="560"/>
      <c r="M32" s="560" t="s">
        <v>1372</v>
      </c>
      <c r="N32" s="560"/>
      <c r="O32" s="560"/>
      <c r="P32" s="601"/>
      <c r="Q32" s="613"/>
      <c r="R32" s="609"/>
      <c r="S32" s="609"/>
      <c r="T32" s="618"/>
      <c r="U32" s="531" t="s">
        <v>67</v>
      </c>
      <c r="V32" s="578" t="s">
        <v>27</v>
      </c>
      <c r="W32" s="579"/>
      <c r="X32" s="532" t="s">
        <v>207</v>
      </c>
      <c r="Y32" s="529">
        <f>BN32/1100000</f>
        <v>0</v>
      </c>
      <c r="Z32" s="69"/>
      <c r="AA32" s="75"/>
      <c r="AB32" s="261"/>
      <c r="AC32" s="80"/>
      <c r="AD32" s="81"/>
      <c r="AE32" s="82" t="s">
        <v>100</v>
      </c>
      <c r="AF32" s="83"/>
      <c r="BD32" s="68"/>
      <c r="BE32" s="68"/>
      <c r="BF32" s="68"/>
      <c r="BG32" s="68"/>
      <c r="BH32" s="68"/>
      <c r="BI32" s="68"/>
      <c r="BJ32" s="68"/>
    </row>
    <row r="33" spans="1:62" ht="22.5" customHeight="1" thickBot="1">
      <c r="A33" s="507" t="s">
        <v>942</v>
      </c>
      <c r="B33" s="554"/>
      <c r="C33" s="555">
        <f>B33+D33+E33+F33+G33+H33+I33+J33+K33+L33+M33+N33+O33</f>
        <v>0.05</v>
      </c>
      <c r="D33" s="525"/>
      <c r="E33" s="525"/>
      <c r="F33" s="525"/>
      <c r="G33" s="525"/>
      <c r="H33" s="525"/>
      <c r="I33" s="525"/>
      <c r="J33" s="525"/>
      <c r="K33" s="525"/>
      <c r="L33" s="525"/>
      <c r="M33" s="525">
        <v>0.05</v>
      </c>
      <c r="N33" s="525"/>
      <c r="O33" s="525"/>
      <c r="P33" s="566"/>
      <c r="Q33" s="612" t="s">
        <v>1353</v>
      </c>
      <c r="R33" s="608"/>
      <c r="S33" s="608"/>
      <c r="T33" s="616" t="s">
        <v>943</v>
      </c>
      <c r="U33" s="520"/>
      <c r="V33" s="521" t="s">
        <v>104</v>
      </c>
      <c r="W33" s="522">
        <f>BL33/1000000</f>
        <v>0</v>
      </c>
      <c r="X33" s="523" t="s">
        <v>7</v>
      </c>
      <c r="Y33" s="524" t="e">
        <f>W33-#REF!/1.1+Y34</f>
        <v>#REF!</v>
      </c>
      <c r="Z33" s="90" t="s">
        <v>90</v>
      </c>
      <c r="AA33" s="79" t="s">
        <v>34</v>
      </c>
      <c r="AB33" s="260"/>
      <c r="AC33" s="80" t="s">
        <v>104</v>
      </c>
      <c r="AD33" s="81">
        <v>45000000</v>
      </c>
      <c r="AE33" s="82"/>
      <c r="AF33" s="83">
        <f>SUM(AG33:BC33)</f>
        <v>0</v>
      </c>
      <c r="AG33" s="91"/>
      <c r="AH33" s="92"/>
      <c r="AI33" s="92"/>
      <c r="AJ33" s="92"/>
      <c r="AK33" s="92"/>
      <c r="AL33" s="92"/>
      <c r="AM33" s="92"/>
      <c r="AN33" s="92"/>
      <c r="AO33" s="92"/>
      <c r="AP33" s="92"/>
      <c r="AQ33" s="92"/>
      <c r="AR33" s="92"/>
      <c r="AS33" s="92"/>
      <c r="AT33" s="92"/>
      <c r="AU33" s="92"/>
      <c r="AV33" s="92"/>
      <c r="AW33" s="92"/>
      <c r="AX33" s="92"/>
      <c r="AY33" s="92"/>
      <c r="AZ33" s="92"/>
      <c r="BA33" s="92"/>
      <c r="BB33" s="92"/>
      <c r="BC33" s="92"/>
    </row>
    <row r="34" spans="1:62" ht="22.5" customHeight="1">
      <c r="A34" s="508" t="s">
        <v>1061</v>
      </c>
      <c r="B34" s="558"/>
      <c r="C34" s="559"/>
      <c r="D34" s="560"/>
      <c r="E34" s="560"/>
      <c r="F34" s="560"/>
      <c r="G34" s="560"/>
      <c r="H34" s="560"/>
      <c r="I34" s="560"/>
      <c r="J34" s="560"/>
      <c r="K34" s="560"/>
      <c r="L34" s="560"/>
      <c r="M34" s="560"/>
      <c r="N34" s="560"/>
      <c r="O34" s="560"/>
      <c r="P34" s="601"/>
      <c r="Q34" s="613"/>
      <c r="R34" s="609"/>
      <c r="S34" s="609"/>
      <c r="T34" s="621"/>
      <c r="U34" s="531" t="s">
        <v>67</v>
      </c>
      <c r="V34" s="578" t="s">
        <v>27</v>
      </c>
      <c r="W34" s="579"/>
      <c r="X34" s="532" t="s">
        <v>207</v>
      </c>
      <c r="Y34" s="529">
        <f>BN34/1100000</f>
        <v>0</v>
      </c>
      <c r="Z34" s="69"/>
      <c r="AA34" s="75"/>
      <c r="AB34" s="261"/>
      <c r="AC34" s="80"/>
      <c r="AD34" s="81"/>
      <c r="AE34" s="82" t="s">
        <v>100</v>
      </c>
      <c r="AF34" s="83"/>
      <c r="BD34" s="68"/>
      <c r="BE34" s="68"/>
      <c r="BF34" s="68"/>
      <c r="BG34" s="68"/>
      <c r="BH34" s="68"/>
      <c r="BI34" s="68"/>
      <c r="BJ34" s="68"/>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F7"/>
  <sheetViews>
    <sheetView view="pageBreakPreview" zoomScaleNormal="100" zoomScaleSheetLayoutView="100" workbookViewId="0">
      <selection activeCell="A3" sqref="A3:XFD6"/>
    </sheetView>
  </sheetViews>
  <sheetFormatPr defaultRowHeight="30.75" customHeight="1"/>
  <cols>
    <col min="1" max="1" width="12.625" style="275" customWidth="1"/>
    <col min="2" max="2" width="4.875" style="282" customWidth="1"/>
    <col min="3" max="3" width="5.25" style="282" customWidth="1"/>
    <col min="4" max="15" width="8.875" style="275" customWidth="1"/>
    <col min="16" max="16" width="18.875" style="275" customWidth="1"/>
    <col min="17" max="17" width="11" style="275" customWidth="1"/>
    <col min="18" max="18" width="19.375" style="78" customWidth="1"/>
    <col min="19" max="19" width="9.875" style="275" customWidth="1"/>
    <col min="20" max="20" width="5.125" style="275" customWidth="1"/>
    <col min="21" max="21" width="8.75" style="275" customWidth="1"/>
    <col min="22" max="22" width="5.125" style="275" customWidth="1"/>
    <col min="23" max="23" width="8.625" style="275" customWidth="1"/>
    <col min="24" max="24" width="4.5" style="275" customWidth="1"/>
    <col min="25" max="25" width="6.125" style="275" customWidth="1"/>
    <col min="26" max="26" width="16" style="275" customWidth="1"/>
    <col min="27" max="27" width="14.625" style="277" customWidth="1"/>
    <col min="28" max="51" width="16" style="77" customWidth="1"/>
    <col min="52" max="16384" width="9" style="78"/>
  </cols>
  <sheetData>
    <row r="1" spans="1:58" ht="25.5" customHeight="1">
      <c r="A1" s="279" t="s">
        <v>32</v>
      </c>
      <c r="Q1" s="393" t="s">
        <v>785</v>
      </c>
    </row>
    <row r="2" spans="1:58" ht="28.5" customHeight="1">
      <c r="A2" s="513" t="s">
        <v>786</v>
      </c>
      <c r="B2" s="514" t="s">
        <v>22</v>
      </c>
      <c r="C2" s="515" t="s">
        <v>23</v>
      </c>
      <c r="D2" s="552" t="s">
        <v>768</v>
      </c>
      <c r="E2" s="552" t="s">
        <v>1052</v>
      </c>
      <c r="F2" s="552" t="s">
        <v>758</v>
      </c>
      <c r="G2" s="552" t="s">
        <v>759</v>
      </c>
      <c r="H2" s="552" t="s">
        <v>760</v>
      </c>
      <c r="I2" s="552" t="s">
        <v>761</v>
      </c>
      <c r="J2" s="552" t="s">
        <v>762</v>
      </c>
      <c r="K2" s="552" t="s">
        <v>763</v>
      </c>
      <c r="L2" s="552" t="s">
        <v>764</v>
      </c>
      <c r="M2" s="552" t="s">
        <v>765</v>
      </c>
      <c r="N2" s="552" t="s">
        <v>766</v>
      </c>
      <c r="O2" s="552" t="s">
        <v>767</v>
      </c>
      <c r="P2" s="513" t="s">
        <v>30</v>
      </c>
      <c r="Q2" s="516" t="s">
        <v>5</v>
      </c>
      <c r="R2" s="513" t="s">
        <v>24</v>
      </c>
      <c r="S2" s="513" t="s">
        <v>3</v>
      </c>
      <c r="T2" s="513" t="s">
        <v>1375</v>
      </c>
      <c r="U2" s="513"/>
      <c r="V2" s="551" t="s">
        <v>1376</v>
      </c>
      <c r="W2" s="552"/>
      <c r="X2" s="291" t="s">
        <v>1</v>
      </c>
      <c r="Z2" s="275" t="s">
        <v>1377</v>
      </c>
    </row>
    <row r="3" spans="1:58" ht="22.5" customHeight="1">
      <c r="A3" s="490" t="s">
        <v>1378</v>
      </c>
      <c r="B3" s="622"/>
      <c r="C3" s="555">
        <f>B3+D3+E3+F3+G3+H3+I3+J3+K3+L3+M3+N3+O3</f>
        <v>0</v>
      </c>
      <c r="D3" s="525"/>
      <c r="E3" s="525"/>
      <c r="F3" s="525"/>
      <c r="G3" s="525"/>
      <c r="H3" s="525"/>
      <c r="I3" s="525"/>
      <c r="J3" s="525"/>
      <c r="K3" s="525"/>
      <c r="L3" s="525"/>
      <c r="M3" s="525"/>
      <c r="N3" s="525"/>
      <c r="O3" s="525"/>
      <c r="P3" s="494"/>
      <c r="Q3" s="494"/>
      <c r="R3" s="603" t="s">
        <v>1379</v>
      </c>
      <c r="S3" s="520" t="s">
        <v>1380</v>
      </c>
      <c r="T3" s="521" t="s">
        <v>89</v>
      </c>
      <c r="U3" s="522">
        <f>BH3/1100000</f>
        <v>0</v>
      </c>
      <c r="V3" s="523" t="s">
        <v>41</v>
      </c>
      <c r="W3" s="524" t="e">
        <f>#REF!/1100000</f>
        <v>#REF!</v>
      </c>
      <c r="X3" s="260" t="s">
        <v>1381</v>
      </c>
      <c r="Y3" s="80" t="s">
        <v>89</v>
      </c>
      <c r="Z3" s="81">
        <f>135062100*1.1</f>
        <v>148568310</v>
      </c>
      <c r="AA3" s="82"/>
      <c r="AB3" s="83">
        <f>SUM(AC3:AY3)</f>
        <v>0</v>
      </c>
      <c r="AC3" s="91"/>
      <c r="AD3" s="92"/>
      <c r="AE3" s="92"/>
      <c r="AF3" s="92"/>
      <c r="AG3" s="92"/>
      <c r="AH3" s="92"/>
      <c r="AI3" s="92"/>
      <c r="AJ3" s="92"/>
      <c r="AK3" s="92"/>
      <c r="AL3" s="92"/>
      <c r="AM3" s="92"/>
      <c r="AN3" s="92"/>
      <c r="AO3" s="92"/>
      <c r="AP3" s="92"/>
      <c r="AQ3" s="92"/>
      <c r="AR3" s="92"/>
      <c r="AS3" s="92"/>
      <c r="AT3" s="92"/>
      <c r="AU3" s="92"/>
      <c r="AV3" s="92"/>
      <c r="AW3" s="92"/>
      <c r="AX3" s="92"/>
      <c r="AY3" s="92"/>
    </row>
    <row r="4" spans="1:58" ht="22.5" customHeight="1">
      <c r="A4" s="495"/>
      <c r="B4" s="623"/>
      <c r="C4" s="559"/>
      <c r="D4" s="560"/>
      <c r="E4" s="560"/>
      <c r="F4" s="560"/>
      <c r="G4" s="560"/>
      <c r="H4" s="560"/>
      <c r="I4" s="560"/>
      <c r="J4" s="560"/>
      <c r="K4" s="560"/>
      <c r="L4" s="560"/>
      <c r="M4" s="560"/>
      <c r="N4" s="560"/>
      <c r="O4" s="560"/>
      <c r="P4" s="506"/>
      <c r="Q4" s="499"/>
      <c r="R4" s="604"/>
      <c r="S4" s="531" t="s">
        <v>1382</v>
      </c>
      <c r="T4" s="526" t="s">
        <v>817</v>
      </c>
      <c r="U4" s="527" t="e">
        <f>U3-#REF!</f>
        <v>#REF!</v>
      </c>
      <c r="V4" s="532" t="s">
        <v>817</v>
      </c>
      <c r="W4" s="529" t="e">
        <f>W3-#REF!</f>
        <v>#REF!</v>
      </c>
      <c r="X4" s="261"/>
      <c r="Y4" s="80" t="s">
        <v>817</v>
      </c>
      <c r="Z4" s="81" t="e">
        <f>Z3-#REF!</f>
        <v>#REF!</v>
      </c>
      <c r="AA4" s="82" t="s">
        <v>1045</v>
      </c>
      <c r="AB4" s="83">
        <f>SUM(AC4:AY4)</f>
        <v>0</v>
      </c>
      <c r="AZ4" s="68"/>
      <c r="BA4" s="68"/>
      <c r="BB4" s="68"/>
      <c r="BC4" s="68"/>
      <c r="BD4" s="68"/>
      <c r="BE4" s="68"/>
      <c r="BF4" s="68"/>
    </row>
    <row r="5" spans="1:58" ht="22.5" customHeight="1">
      <c r="A5" s="490" t="s">
        <v>1383</v>
      </c>
      <c r="B5" s="622"/>
      <c r="C5" s="555">
        <f>B5+D5+E5+F5+G5+H5+I5+J5+K5+L5+M5+N5+O5</f>
        <v>0</v>
      </c>
      <c r="D5" s="525"/>
      <c r="E5" s="525"/>
      <c r="F5" s="525"/>
      <c r="G5" s="525"/>
      <c r="H5" s="525"/>
      <c r="I5" s="525"/>
      <c r="J5" s="525"/>
      <c r="K5" s="525"/>
      <c r="L5" s="525"/>
      <c r="M5" s="525"/>
      <c r="N5" s="525"/>
      <c r="O5" s="525"/>
      <c r="P5" s="494" t="s">
        <v>1386</v>
      </c>
      <c r="Q5" s="494"/>
      <c r="R5" s="491" t="s">
        <v>1384</v>
      </c>
      <c r="S5" s="594" t="s">
        <v>1385</v>
      </c>
      <c r="T5" s="521" t="s">
        <v>814</v>
      </c>
      <c r="U5" s="522">
        <f>BH5/1100000</f>
        <v>0</v>
      </c>
      <c r="V5" s="523" t="s">
        <v>1043</v>
      </c>
      <c r="W5" s="524" t="e">
        <f>#REF!/1100000</f>
        <v>#REF!</v>
      </c>
      <c r="X5" s="260" t="s">
        <v>1387</v>
      </c>
      <c r="Y5" s="80" t="s">
        <v>814</v>
      </c>
      <c r="Z5" s="81">
        <v>188109000</v>
      </c>
      <c r="AA5" s="82"/>
      <c r="AB5" s="83">
        <f>SUM(AC5:AY5)</f>
        <v>0</v>
      </c>
      <c r="AC5" s="91"/>
      <c r="AD5" s="92"/>
      <c r="AE5" s="92"/>
      <c r="AF5" s="92"/>
      <c r="AG5" s="92"/>
      <c r="AH5" s="92"/>
      <c r="AI5" s="92"/>
      <c r="AJ5" s="92"/>
      <c r="AK5" s="92"/>
      <c r="AL5" s="92"/>
      <c r="AM5" s="92"/>
      <c r="AN5" s="92"/>
      <c r="AO5" s="92"/>
      <c r="AP5" s="92"/>
      <c r="AQ5" s="92"/>
      <c r="AR5" s="92"/>
      <c r="AS5" s="92"/>
      <c r="AT5" s="92"/>
      <c r="AU5" s="92"/>
      <c r="AV5" s="92"/>
      <c r="AW5" s="92"/>
      <c r="AX5" s="92"/>
      <c r="AY5" s="92"/>
    </row>
    <row r="6" spans="1:58" ht="22.5" customHeight="1">
      <c r="A6" s="495"/>
      <c r="B6" s="623"/>
      <c r="C6" s="559"/>
      <c r="D6" s="560"/>
      <c r="E6" s="560"/>
      <c r="F6" s="560"/>
      <c r="G6" s="560"/>
      <c r="H6" s="560"/>
      <c r="I6" s="560"/>
      <c r="J6" s="560"/>
      <c r="K6" s="560"/>
      <c r="L6" s="560"/>
      <c r="M6" s="560"/>
      <c r="N6" s="560"/>
      <c r="O6" s="560"/>
      <c r="P6" s="506"/>
      <c r="Q6" s="499"/>
      <c r="R6" s="496"/>
      <c r="S6" s="531" t="s">
        <v>1388</v>
      </c>
      <c r="T6" s="526" t="s">
        <v>817</v>
      </c>
      <c r="U6" s="527" t="e">
        <f>U5-#REF!</f>
        <v>#REF!</v>
      </c>
      <c r="V6" s="532" t="s">
        <v>817</v>
      </c>
      <c r="W6" s="529" t="e">
        <f>W5-#REF!</f>
        <v>#REF!</v>
      </c>
      <c r="X6" s="261"/>
      <c r="Y6" s="80" t="s">
        <v>817</v>
      </c>
      <c r="Z6" s="81" t="e">
        <f>Z5-#REF!</f>
        <v>#REF!</v>
      </c>
      <c r="AA6" s="82" t="s">
        <v>1045</v>
      </c>
      <c r="AB6" s="83">
        <f>SUM(AC6:AY6)</f>
        <v>60500000</v>
      </c>
      <c r="AC6" s="77">
        <v>20000000</v>
      </c>
      <c r="AD6" s="77">
        <v>20500000</v>
      </c>
      <c r="AE6" s="77">
        <v>20000000</v>
      </c>
      <c r="AZ6" s="68"/>
      <c r="BA6" s="68"/>
      <c r="BB6" s="68"/>
      <c r="BC6" s="68"/>
      <c r="BD6" s="68"/>
      <c r="BE6" s="68"/>
      <c r="BF6" s="68"/>
    </row>
    <row r="7" spans="1:58" ht="30.75" customHeight="1">
      <c r="R7" s="428"/>
      <c r="S7" s="388"/>
      <c r="U7" s="388"/>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H34"/>
  <sheetViews>
    <sheetView view="pageBreakPreview" zoomScaleSheetLayoutView="100" workbookViewId="0">
      <pane xSplit="1" ySplit="3" topLeftCell="L25" activePane="bottomRight" state="frozen"/>
      <selection activeCell="W34" sqref="W34"/>
      <selection pane="topRight" activeCell="W34" sqref="W34"/>
      <selection pane="bottomLeft" activeCell="W34" sqref="W34"/>
      <selection pane="bottomRight" activeCell="W34" sqref="W34"/>
    </sheetView>
  </sheetViews>
  <sheetFormatPr defaultColWidth="10.25" defaultRowHeight="30.75" customHeight="1"/>
  <cols>
    <col min="1" max="1" width="12.625" style="275" customWidth="1"/>
    <col min="2" max="3" width="5.625" style="282" customWidth="1"/>
    <col min="4" max="4" width="11" style="275" customWidth="1"/>
    <col min="5" max="5" width="10.625" style="275" customWidth="1"/>
    <col min="6" max="6" width="11" style="275" customWidth="1"/>
    <col min="7" max="10" width="11.625" style="275" customWidth="1"/>
    <col min="11" max="11" width="11.875" style="275" customWidth="1"/>
    <col min="12" max="12" width="11.25" style="275" customWidth="1"/>
    <col min="13" max="13" width="11.375" style="275" customWidth="1"/>
    <col min="14" max="14" width="10.75" style="275" customWidth="1"/>
    <col min="15" max="15" width="10.875" style="275" customWidth="1"/>
    <col min="16" max="16" width="12.5" style="275" customWidth="1"/>
    <col min="17" max="17" width="10.75" style="275" customWidth="1"/>
    <col min="18" max="18" width="16.75" style="78" customWidth="1"/>
    <col min="19" max="19" width="8.125" style="275" customWidth="1"/>
    <col min="20" max="20" width="6.875" style="275" customWidth="1"/>
    <col min="21" max="21" width="8.625" style="275" customWidth="1"/>
    <col min="22" max="22" width="7.125" style="275" customWidth="1"/>
    <col min="23" max="23" width="8" style="275" customWidth="1"/>
    <col min="24" max="25" width="10.25" style="275"/>
    <col min="26" max="26" width="6.875" style="275" customWidth="1"/>
    <col min="27" max="27" width="6.125" style="275" customWidth="1"/>
    <col min="28" max="28" width="17.125" style="275" customWidth="1"/>
    <col min="29" max="29" width="10.25" style="277"/>
    <col min="30" max="30" width="15.75" style="77" customWidth="1"/>
    <col min="31" max="53" width="16.5" style="77" customWidth="1"/>
    <col min="54" max="16384" width="10.25" style="78"/>
  </cols>
  <sheetData>
    <row r="1" spans="1:60" ht="24.75" customHeight="1">
      <c r="A1" s="441" t="s">
        <v>1392</v>
      </c>
      <c r="B1" s="441"/>
      <c r="C1" s="441"/>
      <c r="D1" s="441"/>
      <c r="E1" s="441"/>
      <c r="F1" s="441"/>
      <c r="G1" s="441"/>
      <c r="H1" s="441"/>
      <c r="I1" s="441"/>
      <c r="J1" s="441"/>
      <c r="K1" s="441"/>
      <c r="L1" s="441"/>
      <c r="M1" s="441"/>
      <c r="N1" s="441"/>
      <c r="O1" s="441"/>
      <c r="P1" s="441"/>
      <c r="Q1" s="441"/>
      <c r="R1" s="441"/>
      <c r="S1" s="441"/>
      <c r="T1" s="441"/>
      <c r="U1" s="441"/>
      <c r="V1" s="441"/>
      <c r="W1" s="441"/>
      <c r="Z1" s="276"/>
    </row>
    <row r="2" spans="1:60" ht="23.25" customHeight="1">
      <c r="A2" s="279" t="s">
        <v>1065</v>
      </c>
      <c r="Q2" s="393" t="s">
        <v>1030</v>
      </c>
      <c r="AC2" s="282"/>
    </row>
    <row r="3" spans="1:60" ht="22.5" customHeight="1" thickBot="1">
      <c r="A3" s="513" t="s">
        <v>1031</v>
      </c>
      <c r="B3" s="514" t="s">
        <v>1036</v>
      </c>
      <c r="C3" s="515" t="s">
        <v>1037</v>
      </c>
      <c r="D3" s="552" t="s">
        <v>768</v>
      </c>
      <c r="E3" s="552" t="s">
        <v>1052</v>
      </c>
      <c r="F3" s="552" t="s">
        <v>758</v>
      </c>
      <c r="G3" s="552" t="s">
        <v>759</v>
      </c>
      <c r="H3" s="552" t="s">
        <v>760</v>
      </c>
      <c r="I3" s="552" t="s">
        <v>761</v>
      </c>
      <c r="J3" s="552" t="s">
        <v>762</v>
      </c>
      <c r="K3" s="552" t="s">
        <v>763</v>
      </c>
      <c r="L3" s="552" t="s">
        <v>764</v>
      </c>
      <c r="M3" s="552" t="s">
        <v>765</v>
      </c>
      <c r="N3" s="552" t="s">
        <v>766</v>
      </c>
      <c r="O3" s="552" t="s">
        <v>767</v>
      </c>
      <c r="P3" s="516" t="s">
        <v>1393</v>
      </c>
      <c r="Q3" s="516" t="s">
        <v>1039</v>
      </c>
      <c r="R3" s="513" t="s">
        <v>2</v>
      </c>
      <c r="S3" s="513" t="s">
        <v>1033</v>
      </c>
      <c r="T3" s="513" t="s">
        <v>1066</v>
      </c>
      <c r="U3" s="513"/>
      <c r="V3" s="551" t="s">
        <v>1067</v>
      </c>
      <c r="W3" s="552"/>
      <c r="Z3" s="291" t="s">
        <v>1040</v>
      </c>
      <c r="AA3" s="627"/>
      <c r="AB3" s="628"/>
      <c r="AC3" s="629"/>
      <c r="AD3" s="630"/>
      <c r="AE3" s="630"/>
      <c r="AF3" s="630"/>
      <c r="AG3" s="630"/>
      <c r="AH3" s="630"/>
      <c r="AI3" s="630"/>
      <c r="AJ3" s="630"/>
      <c r="AK3" s="630"/>
      <c r="AL3" s="630"/>
      <c r="AM3" s="630"/>
      <c r="AN3" s="630"/>
      <c r="AO3" s="630"/>
      <c r="AP3" s="630"/>
      <c r="AQ3" s="630"/>
      <c r="AR3" s="630"/>
      <c r="AS3" s="630"/>
      <c r="AT3" s="630"/>
      <c r="AU3" s="630"/>
      <c r="AV3" s="630"/>
      <c r="AW3" s="630"/>
      <c r="AX3" s="630"/>
      <c r="AY3" s="630"/>
      <c r="AZ3" s="630"/>
      <c r="BA3" s="630"/>
    </row>
    <row r="4" spans="1:60" ht="22.7" customHeight="1" thickBot="1">
      <c r="A4" s="563" t="s">
        <v>1394</v>
      </c>
      <c r="B4" s="681">
        <v>0.35</v>
      </c>
      <c r="C4" s="555">
        <f>B4+D4+E4+F4+G4+H4+J4+K4+I4+L4+M4+N4+O4</f>
        <v>0.85000000000000009</v>
      </c>
      <c r="D4" s="636">
        <v>0.45</v>
      </c>
      <c r="E4" s="636">
        <v>0.05</v>
      </c>
      <c r="F4" s="636">
        <v>0</v>
      </c>
      <c r="G4" s="636">
        <v>0</v>
      </c>
      <c r="H4" s="636">
        <v>0</v>
      </c>
      <c r="I4" s="636">
        <v>0</v>
      </c>
      <c r="J4" s="636">
        <v>0</v>
      </c>
      <c r="K4" s="636">
        <v>0</v>
      </c>
      <c r="L4" s="636">
        <v>0</v>
      </c>
      <c r="M4" s="636">
        <v>0</v>
      </c>
      <c r="N4" s="636">
        <v>0</v>
      </c>
      <c r="O4" s="636">
        <v>0</v>
      </c>
      <c r="P4" s="682" t="s">
        <v>1398</v>
      </c>
      <c r="Q4" s="683" t="s">
        <v>1399</v>
      </c>
      <c r="R4" s="680" t="s">
        <v>1396</v>
      </c>
      <c r="S4" s="631" t="s">
        <v>1397</v>
      </c>
      <c r="T4" s="632" t="s">
        <v>814</v>
      </c>
      <c r="U4" s="633">
        <f>BJ4/1100000</f>
        <v>0</v>
      </c>
      <c r="V4" s="634" t="s">
        <v>832</v>
      </c>
      <c r="W4" s="635" t="e">
        <f>U4*0.75-(#REF!+W5)</f>
        <v>#REF!</v>
      </c>
      <c r="X4" s="299" t="s">
        <v>812</v>
      </c>
      <c r="Y4" s="79" t="s">
        <v>813</v>
      </c>
      <c r="Z4" s="260" t="s">
        <v>1147</v>
      </c>
      <c r="AA4" s="80" t="s">
        <v>814</v>
      </c>
      <c r="AB4" s="81">
        <v>19250000</v>
      </c>
      <c r="AC4" s="82" t="s">
        <v>35</v>
      </c>
      <c r="AD4" s="83">
        <f>SUM(AE4:BA4)</f>
        <v>0</v>
      </c>
      <c r="AE4" s="91" t="s">
        <v>1104</v>
      </c>
      <c r="AF4" s="92"/>
      <c r="AG4" s="92" t="s">
        <v>1105</v>
      </c>
      <c r="AH4" s="92"/>
      <c r="AI4" s="92" t="s">
        <v>207</v>
      </c>
      <c r="AJ4" s="92"/>
      <c r="AK4" s="92" t="s">
        <v>207</v>
      </c>
      <c r="AL4" s="92"/>
      <c r="AM4" s="92" t="s">
        <v>207</v>
      </c>
      <c r="AN4" s="92"/>
      <c r="AO4" s="92"/>
      <c r="AP4" s="92"/>
      <c r="AQ4" s="92"/>
      <c r="AR4" s="92"/>
      <c r="AS4" s="92"/>
      <c r="AT4" s="92"/>
      <c r="AU4" s="92"/>
      <c r="AV4" s="92"/>
      <c r="AW4" s="92"/>
      <c r="AX4" s="92"/>
      <c r="AY4" s="92"/>
      <c r="AZ4" s="92"/>
      <c r="BA4" s="92"/>
    </row>
    <row r="5" spans="1:60" ht="22.7" customHeight="1" thickBot="1">
      <c r="A5" s="564"/>
      <c r="B5" s="685"/>
      <c r="C5" s="559"/>
      <c r="D5" s="687" t="s">
        <v>1400</v>
      </c>
      <c r="E5" s="687" t="s">
        <v>1401</v>
      </c>
      <c r="F5" s="687" t="s">
        <v>806</v>
      </c>
      <c r="G5" s="687" t="s">
        <v>806</v>
      </c>
      <c r="H5" s="687" t="s">
        <v>806</v>
      </c>
      <c r="I5" s="687" t="s">
        <v>806</v>
      </c>
      <c r="J5" s="687" t="s">
        <v>806</v>
      </c>
      <c r="K5" s="687" t="s">
        <v>806</v>
      </c>
      <c r="L5" s="687" t="s">
        <v>806</v>
      </c>
      <c r="M5" s="687" t="s">
        <v>806</v>
      </c>
      <c r="N5" s="687" t="s">
        <v>806</v>
      </c>
      <c r="O5" s="687"/>
      <c r="P5" s="686"/>
      <c r="Q5" s="640"/>
      <c r="R5" s="684"/>
      <c r="S5" s="640" t="s">
        <v>67</v>
      </c>
      <c r="T5" s="637" t="s">
        <v>196</v>
      </c>
      <c r="U5" s="638" t="e">
        <f>U4-#REF!</f>
        <v>#REF!</v>
      </c>
      <c r="V5" s="641" t="s">
        <v>15</v>
      </c>
      <c r="W5" s="639" t="e">
        <f>(#REF!+BL5)/1100000</f>
        <v>#REF!</v>
      </c>
      <c r="X5" s="85"/>
      <c r="Y5" s="69"/>
      <c r="Z5" s="261"/>
      <c r="AA5" s="80" t="s">
        <v>196</v>
      </c>
      <c r="AB5" s="81" t="e">
        <f>AB4-#REF!</f>
        <v>#REF!</v>
      </c>
      <c r="AC5" s="82" t="s">
        <v>100</v>
      </c>
      <c r="AD5" s="83"/>
      <c r="BB5" s="68"/>
      <c r="BC5" s="68"/>
      <c r="BD5" s="68"/>
      <c r="BE5" s="68"/>
      <c r="BF5" s="68"/>
      <c r="BG5" s="68"/>
      <c r="BH5" s="68"/>
    </row>
    <row r="6" spans="1:60" ht="22.7" customHeight="1" thickBot="1">
      <c r="A6" s="563" t="s">
        <v>1402</v>
      </c>
      <c r="B6" s="681">
        <v>0</v>
      </c>
      <c r="C6" s="555">
        <f>B6+D6+E6+F6+G6+H6+J6+K6+I6+L6+M6+N6+O6</f>
        <v>1</v>
      </c>
      <c r="D6" s="636">
        <v>0.8</v>
      </c>
      <c r="E6" s="636">
        <v>0.2</v>
      </c>
      <c r="F6" s="636">
        <v>0</v>
      </c>
      <c r="G6" s="636">
        <v>0</v>
      </c>
      <c r="H6" s="636">
        <v>0</v>
      </c>
      <c r="I6" s="636">
        <v>0</v>
      </c>
      <c r="J6" s="636">
        <v>0</v>
      </c>
      <c r="K6" s="636">
        <v>0</v>
      </c>
      <c r="L6" s="636">
        <v>0</v>
      </c>
      <c r="M6" s="636">
        <v>0</v>
      </c>
      <c r="N6" s="636">
        <v>0</v>
      </c>
      <c r="O6" s="636">
        <v>0</v>
      </c>
      <c r="P6" s="689" t="s">
        <v>1404</v>
      </c>
      <c r="Q6" s="683" t="s">
        <v>1405</v>
      </c>
      <c r="R6" s="680" t="s">
        <v>1395</v>
      </c>
      <c r="S6" s="631" t="s">
        <v>1403</v>
      </c>
      <c r="T6" s="632" t="s">
        <v>89</v>
      </c>
      <c r="U6" s="633">
        <f>BJ6/1100000</f>
        <v>0</v>
      </c>
      <c r="V6" s="634" t="s">
        <v>7</v>
      </c>
      <c r="W6" s="635" t="e">
        <f>U6*0.75-(#REF!+W7)</f>
        <v>#REF!</v>
      </c>
      <c r="X6" s="299" t="s">
        <v>90</v>
      </c>
      <c r="Y6" s="79" t="s">
        <v>34</v>
      </c>
      <c r="Z6" s="260" t="s">
        <v>65</v>
      </c>
      <c r="AA6" s="80" t="s">
        <v>89</v>
      </c>
      <c r="AB6" s="81">
        <v>8250000</v>
      </c>
      <c r="AC6" s="82" t="s">
        <v>98</v>
      </c>
      <c r="AD6" s="83">
        <f>SUM(AE6:BA6)</f>
        <v>0</v>
      </c>
      <c r="AE6" s="91" t="s">
        <v>1104</v>
      </c>
      <c r="AF6" s="92"/>
      <c r="AG6" s="92" t="s">
        <v>1105</v>
      </c>
      <c r="AH6" s="92"/>
      <c r="AI6" s="92" t="s">
        <v>207</v>
      </c>
      <c r="AJ6" s="92"/>
      <c r="AK6" s="92" t="s">
        <v>207</v>
      </c>
      <c r="AL6" s="92"/>
      <c r="AM6" s="92" t="s">
        <v>207</v>
      </c>
      <c r="AN6" s="92"/>
      <c r="AO6" s="92"/>
      <c r="AP6" s="92"/>
      <c r="AQ6" s="92"/>
      <c r="AR6" s="92"/>
      <c r="AS6" s="92"/>
      <c r="AT6" s="92"/>
      <c r="AU6" s="92"/>
      <c r="AV6" s="92"/>
      <c r="AW6" s="92"/>
      <c r="AX6" s="92"/>
      <c r="AY6" s="92"/>
      <c r="AZ6" s="92"/>
      <c r="BA6" s="92"/>
    </row>
    <row r="7" spans="1:60" ht="22.7" customHeight="1" thickBot="1">
      <c r="A7" s="564"/>
      <c r="B7" s="685"/>
      <c r="C7" s="559"/>
      <c r="D7" s="687" t="s">
        <v>1406</v>
      </c>
      <c r="E7" s="687" t="s">
        <v>1407</v>
      </c>
      <c r="F7" s="687" t="s">
        <v>996</v>
      </c>
      <c r="G7" s="687" t="s">
        <v>996</v>
      </c>
      <c r="H7" s="687" t="s">
        <v>996</v>
      </c>
      <c r="I7" s="687" t="s">
        <v>996</v>
      </c>
      <c r="J7" s="687" t="s">
        <v>996</v>
      </c>
      <c r="K7" s="687" t="s">
        <v>996</v>
      </c>
      <c r="L7" s="687" t="s">
        <v>996</v>
      </c>
      <c r="M7" s="687" t="s">
        <v>996</v>
      </c>
      <c r="N7" s="687" t="s">
        <v>996</v>
      </c>
      <c r="O7" s="687" t="s">
        <v>996</v>
      </c>
      <c r="P7" s="690"/>
      <c r="Q7" s="640"/>
      <c r="R7" s="684"/>
      <c r="S7" s="640" t="s">
        <v>816</v>
      </c>
      <c r="T7" s="637" t="s">
        <v>817</v>
      </c>
      <c r="U7" s="638" t="e">
        <f>U6-#REF!</f>
        <v>#REF!</v>
      </c>
      <c r="V7" s="641" t="s">
        <v>818</v>
      </c>
      <c r="W7" s="639" t="e">
        <f>(#REF!+BL7)/1100000</f>
        <v>#REF!</v>
      </c>
      <c r="X7" s="85"/>
      <c r="Y7" s="69"/>
      <c r="Z7" s="261"/>
      <c r="AA7" s="80" t="s">
        <v>817</v>
      </c>
      <c r="AB7" s="81" t="e">
        <f>AB6-#REF!</f>
        <v>#REF!</v>
      </c>
      <c r="AC7" s="82" t="s">
        <v>824</v>
      </c>
      <c r="AD7" s="83"/>
      <c r="BB7" s="68"/>
      <c r="BC7" s="68"/>
      <c r="BD7" s="68"/>
      <c r="BE7" s="68"/>
      <c r="BF7" s="68"/>
      <c r="BG7" s="68"/>
      <c r="BH7" s="68"/>
    </row>
    <row r="8" spans="1:60" ht="22.7" customHeight="1" thickBot="1">
      <c r="A8" s="507" t="s">
        <v>1408</v>
      </c>
      <c r="B8" s="681">
        <v>0.2</v>
      </c>
      <c r="C8" s="555">
        <f>B8+D8+E8+F8+G8+H8+J8+K8+I8+L8+M8+N8+O8</f>
        <v>1</v>
      </c>
      <c r="D8" s="636">
        <v>0</v>
      </c>
      <c r="E8" s="636">
        <v>0.8</v>
      </c>
      <c r="F8" s="636">
        <v>0</v>
      </c>
      <c r="G8" s="636">
        <v>0</v>
      </c>
      <c r="H8" s="636">
        <v>0</v>
      </c>
      <c r="I8" s="636">
        <v>0</v>
      </c>
      <c r="J8" s="636">
        <v>0</v>
      </c>
      <c r="K8" s="636">
        <v>0</v>
      </c>
      <c r="L8" s="636">
        <v>0</v>
      </c>
      <c r="M8" s="636">
        <v>0</v>
      </c>
      <c r="N8" s="636">
        <v>0</v>
      </c>
      <c r="O8" s="636">
        <v>0</v>
      </c>
      <c r="P8" s="689" t="s">
        <v>1411</v>
      </c>
      <c r="Q8" s="683" t="s">
        <v>1412</v>
      </c>
      <c r="R8" s="680" t="s">
        <v>1409</v>
      </c>
      <c r="S8" s="631" t="s">
        <v>1410</v>
      </c>
      <c r="T8" s="632" t="s">
        <v>814</v>
      </c>
      <c r="U8" s="633">
        <f>BJ8/1100000</f>
        <v>0</v>
      </c>
      <c r="V8" s="634" t="s">
        <v>832</v>
      </c>
      <c r="W8" s="635" t="e">
        <f>U8*0.75-(#REF!+W9)</f>
        <v>#REF!</v>
      </c>
      <c r="X8" s="299" t="s">
        <v>812</v>
      </c>
      <c r="Y8" s="79" t="s">
        <v>813</v>
      </c>
      <c r="Z8" s="691" t="s">
        <v>1413</v>
      </c>
      <c r="AA8" s="80" t="s">
        <v>814</v>
      </c>
      <c r="AB8" s="81">
        <v>8800000</v>
      </c>
      <c r="AC8" s="82" t="s">
        <v>35</v>
      </c>
      <c r="AD8" s="83"/>
      <c r="AE8" s="91" t="s">
        <v>1078</v>
      </c>
      <c r="AF8" s="92"/>
      <c r="AG8" s="92" t="s">
        <v>1079</v>
      </c>
      <c r="AH8" s="92"/>
      <c r="AI8" s="92" t="s">
        <v>1080</v>
      </c>
      <c r="AJ8" s="92"/>
      <c r="AK8" s="92" t="s">
        <v>1080</v>
      </c>
      <c r="AL8" s="92"/>
      <c r="AM8" s="92" t="s">
        <v>1080</v>
      </c>
      <c r="AN8" s="92"/>
      <c r="AO8" s="92"/>
      <c r="AP8" s="92"/>
      <c r="AQ8" s="92"/>
      <c r="AR8" s="92"/>
      <c r="AS8" s="92"/>
      <c r="AT8" s="92"/>
      <c r="AU8" s="92"/>
      <c r="AV8" s="92"/>
      <c r="AW8" s="92"/>
      <c r="AX8" s="92"/>
      <c r="AY8" s="92"/>
      <c r="AZ8" s="92"/>
      <c r="BA8" s="92"/>
    </row>
    <row r="9" spans="1:60" ht="22.7" customHeight="1" thickBot="1">
      <c r="A9" s="508" t="s">
        <v>1669</v>
      </c>
      <c r="B9" s="685"/>
      <c r="C9" s="559"/>
      <c r="D9" s="687" t="s">
        <v>1414</v>
      </c>
      <c r="E9" s="687" t="s">
        <v>1415</v>
      </c>
      <c r="F9" s="687" t="s">
        <v>996</v>
      </c>
      <c r="G9" s="687" t="s">
        <v>996</v>
      </c>
      <c r="H9" s="687" t="s">
        <v>996</v>
      </c>
      <c r="I9" s="687" t="s">
        <v>996</v>
      </c>
      <c r="J9" s="687" t="s">
        <v>996</v>
      </c>
      <c r="K9" s="687" t="s">
        <v>996</v>
      </c>
      <c r="L9" s="687" t="s">
        <v>996</v>
      </c>
      <c r="M9" s="687" t="s">
        <v>996</v>
      </c>
      <c r="N9" s="687" t="s">
        <v>996</v>
      </c>
      <c r="O9" s="687" t="s">
        <v>996</v>
      </c>
      <c r="P9" s="690"/>
      <c r="Q9" s="640"/>
      <c r="R9" s="684"/>
      <c r="S9" s="640" t="s">
        <v>816</v>
      </c>
      <c r="T9" s="637" t="s">
        <v>817</v>
      </c>
      <c r="U9" s="638" t="e">
        <f>U8-#REF!</f>
        <v>#REF!</v>
      </c>
      <c r="V9" s="641" t="s">
        <v>818</v>
      </c>
      <c r="W9" s="639" t="e">
        <f>(#REF!+BL9)/1100000</f>
        <v>#REF!</v>
      </c>
      <c r="X9" s="85"/>
      <c r="Y9" s="69"/>
      <c r="Z9" s="692"/>
      <c r="AA9" s="80" t="s">
        <v>817</v>
      </c>
      <c r="AB9" s="81" t="e">
        <f>AB8-#REF!</f>
        <v>#REF!</v>
      </c>
      <c r="AC9" s="82" t="s">
        <v>824</v>
      </c>
      <c r="AD9" s="83"/>
      <c r="BB9" s="68"/>
      <c r="BC9" s="68"/>
      <c r="BD9" s="68"/>
      <c r="BE9" s="68"/>
      <c r="BF9" s="68"/>
      <c r="BG9" s="68"/>
      <c r="BH9" s="68"/>
    </row>
    <row r="10" spans="1:60" ht="22.7" customHeight="1" thickBot="1">
      <c r="A10" s="563" t="s">
        <v>1416</v>
      </c>
      <c r="B10" s="681">
        <v>0.81</v>
      </c>
      <c r="C10" s="555">
        <f>B10+D10+E10+F10+G10+H10+J10+K10+I10+L10+M10+N10+O10</f>
        <v>1.0010000000000001</v>
      </c>
      <c r="D10" s="636">
        <v>2.5999999999999999E-2</v>
      </c>
      <c r="E10" s="636">
        <v>2.5999999999999999E-2</v>
      </c>
      <c r="F10" s="636">
        <v>2.7E-2</v>
      </c>
      <c r="G10" s="636">
        <v>2.5999999999999999E-2</v>
      </c>
      <c r="H10" s="636">
        <v>2.5999999999999999E-2</v>
      </c>
      <c r="I10" s="636">
        <v>0.03</v>
      </c>
      <c r="J10" s="636">
        <v>0.02</v>
      </c>
      <c r="K10" s="636">
        <v>0.01</v>
      </c>
      <c r="L10" s="636">
        <v>0</v>
      </c>
      <c r="M10" s="636">
        <v>0</v>
      </c>
      <c r="N10" s="636">
        <v>0</v>
      </c>
      <c r="O10" s="636">
        <v>0</v>
      </c>
      <c r="P10" s="689" t="s">
        <v>1419</v>
      </c>
      <c r="Q10" s="683" t="s">
        <v>1420</v>
      </c>
      <c r="R10" s="680" t="s">
        <v>1417</v>
      </c>
      <c r="S10" s="631" t="s">
        <v>1418</v>
      </c>
      <c r="T10" s="632" t="s">
        <v>814</v>
      </c>
      <c r="U10" s="633">
        <f>BJ10/1100000</f>
        <v>0</v>
      </c>
      <c r="V10" s="634" t="s">
        <v>832</v>
      </c>
      <c r="W10" s="635" t="e">
        <f>U10*0.75-(#REF!+W11)</f>
        <v>#REF!</v>
      </c>
      <c r="X10" s="299" t="s">
        <v>812</v>
      </c>
      <c r="Y10" s="79" t="s">
        <v>813</v>
      </c>
      <c r="Z10" s="260" t="s">
        <v>1421</v>
      </c>
      <c r="AA10" s="80" t="s">
        <v>814</v>
      </c>
      <c r="AB10" s="81">
        <v>174091500</v>
      </c>
      <c r="AC10" s="82" t="s">
        <v>35</v>
      </c>
      <c r="AD10" s="83">
        <f>SUM(AE10:BA10)</f>
        <v>0</v>
      </c>
      <c r="AE10" s="91" t="s">
        <v>1078</v>
      </c>
      <c r="AF10" s="92"/>
      <c r="AG10" s="92" t="s">
        <v>1079</v>
      </c>
      <c r="AH10" s="92"/>
      <c r="AI10" s="92" t="s">
        <v>1080</v>
      </c>
      <c r="AJ10" s="92"/>
      <c r="AK10" s="92" t="s">
        <v>1080</v>
      </c>
      <c r="AL10" s="92"/>
      <c r="AM10" s="92" t="s">
        <v>1080</v>
      </c>
      <c r="AN10" s="92"/>
      <c r="AO10" s="92"/>
      <c r="AP10" s="92"/>
      <c r="AQ10" s="92"/>
      <c r="AR10" s="92"/>
      <c r="AS10" s="92"/>
      <c r="AT10" s="92"/>
      <c r="AU10" s="92"/>
      <c r="AV10" s="92"/>
      <c r="AW10" s="92"/>
      <c r="AX10" s="92"/>
      <c r="AY10" s="92"/>
      <c r="AZ10" s="92"/>
      <c r="BA10" s="92"/>
    </row>
    <row r="11" spans="1:60" ht="22.7" customHeight="1" thickBot="1">
      <c r="A11" s="564"/>
      <c r="B11" s="685"/>
      <c r="C11" s="559"/>
      <c r="D11" s="693" t="s">
        <v>1425</v>
      </c>
      <c r="E11" s="687" t="s">
        <v>1426</v>
      </c>
      <c r="F11" s="687" t="s">
        <v>1427</v>
      </c>
      <c r="G11" s="687" t="s">
        <v>1428</v>
      </c>
      <c r="H11" s="687" t="s">
        <v>1429</v>
      </c>
      <c r="I11" s="693" t="s">
        <v>1430</v>
      </c>
      <c r="J11" s="693" t="s">
        <v>1431</v>
      </c>
      <c r="K11" s="687" t="s">
        <v>1432</v>
      </c>
      <c r="L11" s="687" t="s">
        <v>1433</v>
      </c>
      <c r="M11" s="687" t="s">
        <v>1433</v>
      </c>
      <c r="N11" s="687" t="s">
        <v>1433</v>
      </c>
      <c r="O11" s="687" t="s">
        <v>1433</v>
      </c>
      <c r="P11" s="690"/>
      <c r="Q11" s="640"/>
      <c r="R11" s="684"/>
      <c r="S11" s="640" t="s">
        <v>1422</v>
      </c>
      <c r="T11" s="637" t="s">
        <v>1423</v>
      </c>
      <c r="U11" s="638" t="e">
        <f>U10-#REF!</f>
        <v>#REF!</v>
      </c>
      <c r="V11" s="641" t="s">
        <v>1424</v>
      </c>
      <c r="W11" s="639" t="e">
        <f>(#REF!+BL11)/1100000</f>
        <v>#REF!</v>
      </c>
      <c r="X11" s="85"/>
      <c r="Y11" s="69"/>
      <c r="Z11" s="261"/>
      <c r="AA11" s="80" t="s">
        <v>1423</v>
      </c>
      <c r="AB11" s="81" t="e">
        <f>AB10-#REF!</f>
        <v>#REF!</v>
      </c>
      <c r="AC11" s="82" t="s">
        <v>1434</v>
      </c>
      <c r="AD11" s="83"/>
      <c r="AE11" s="77" t="s">
        <v>1435</v>
      </c>
      <c r="BB11" s="68"/>
      <c r="BC11" s="68"/>
      <c r="BD11" s="68"/>
      <c r="BE11" s="68"/>
      <c r="BF11" s="68"/>
      <c r="BG11" s="68"/>
      <c r="BH11" s="68"/>
    </row>
    <row r="12" spans="1:60" ht="22.9" customHeight="1" thickBot="1">
      <c r="A12" s="563" t="s">
        <v>1436</v>
      </c>
      <c r="B12" s="694">
        <v>0.25</v>
      </c>
      <c r="C12" s="555">
        <f>B12+D12+E12+F12+G12+H12+J12+K12+I12+L12+M12+N12+O12</f>
        <v>0.26</v>
      </c>
      <c r="D12" s="636">
        <v>0.01</v>
      </c>
      <c r="E12" s="636">
        <v>0</v>
      </c>
      <c r="F12" s="636">
        <v>0</v>
      </c>
      <c r="G12" s="636">
        <v>0</v>
      </c>
      <c r="H12" s="636">
        <v>0</v>
      </c>
      <c r="I12" s="636">
        <v>0</v>
      </c>
      <c r="J12" s="636">
        <v>0</v>
      </c>
      <c r="K12" s="636">
        <v>0</v>
      </c>
      <c r="L12" s="636">
        <v>0</v>
      </c>
      <c r="M12" s="636">
        <v>0</v>
      </c>
      <c r="N12" s="636">
        <v>0</v>
      </c>
      <c r="O12" s="636">
        <v>0</v>
      </c>
      <c r="P12" s="695" t="s">
        <v>1441</v>
      </c>
      <c r="Q12" s="683" t="s">
        <v>1442</v>
      </c>
      <c r="R12" s="232" t="s">
        <v>1437</v>
      </c>
      <c r="S12" s="643" t="s">
        <v>1438</v>
      </c>
      <c r="T12" s="632" t="s">
        <v>1439</v>
      </c>
      <c r="U12" s="633">
        <f>BJ12/1100000</f>
        <v>0</v>
      </c>
      <c r="V12" s="634" t="s">
        <v>1440</v>
      </c>
      <c r="W12" s="635" t="e">
        <f>U12*0.75-(#REF!+W13)</f>
        <v>#REF!</v>
      </c>
      <c r="X12" s="299" t="s">
        <v>1443</v>
      </c>
      <c r="Y12" s="79" t="s">
        <v>1444</v>
      </c>
      <c r="Z12" s="260" t="s">
        <v>1445</v>
      </c>
      <c r="AA12" s="80" t="s">
        <v>1439</v>
      </c>
      <c r="AB12" s="81">
        <v>99000000</v>
      </c>
      <c r="AC12" s="82" t="s">
        <v>1446</v>
      </c>
      <c r="AD12" s="83">
        <f>SUM(AE12:BA12)</f>
        <v>0</v>
      </c>
      <c r="AE12" s="91" t="s">
        <v>1447</v>
      </c>
      <c r="AF12" s="92"/>
      <c r="AG12" s="92" t="s">
        <v>1448</v>
      </c>
      <c r="AH12" s="92"/>
      <c r="AI12" s="92" t="s">
        <v>1449</v>
      </c>
      <c r="AJ12" s="92"/>
      <c r="AK12" s="92" t="s">
        <v>1449</v>
      </c>
      <c r="AL12" s="92"/>
      <c r="AM12" s="92" t="s">
        <v>1449</v>
      </c>
      <c r="AN12" s="92"/>
      <c r="AO12" s="92"/>
      <c r="AP12" s="92"/>
      <c r="AQ12" s="92"/>
      <c r="AR12" s="92"/>
      <c r="AS12" s="92"/>
      <c r="AT12" s="92"/>
      <c r="AU12" s="92"/>
      <c r="AV12" s="92"/>
      <c r="AW12" s="92"/>
      <c r="AX12" s="92"/>
      <c r="AY12" s="92"/>
      <c r="AZ12" s="92"/>
      <c r="BA12" s="92"/>
    </row>
    <row r="13" spans="1:60" ht="22.9" customHeight="1" thickBot="1">
      <c r="A13" s="564"/>
      <c r="B13" s="696"/>
      <c r="C13" s="559"/>
      <c r="D13" s="687" t="s">
        <v>1450</v>
      </c>
      <c r="E13" s="687" t="s">
        <v>1451</v>
      </c>
      <c r="F13" s="687" t="s">
        <v>1451</v>
      </c>
      <c r="G13" s="687" t="s">
        <v>1451</v>
      </c>
      <c r="H13" s="687" t="s">
        <v>1451</v>
      </c>
      <c r="I13" s="687" t="s">
        <v>1451</v>
      </c>
      <c r="J13" s="687" t="s">
        <v>1451</v>
      </c>
      <c r="K13" s="687" t="s">
        <v>1451</v>
      </c>
      <c r="L13" s="687" t="s">
        <v>1451</v>
      </c>
      <c r="M13" s="687" t="s">
        <v>1451</v>
      </c>
      <c r="N13" s="687" t="s">
        <v>1451</v>
      </c>
      <c r="O13" s="687"/>
      <c r="P13" s="697"/>
      <c r="Q13" s="640"/>
      <c r="R13" s="233"/>
      <c r="S13" s="229" t="s">
        <v>1422</v>
      </c>
      <c r="T13" s="637" t="s">
        <v>1423</v>
      </c>
      <c r="U13" s="638" t="e">
        <f>U12-#REF!</f>
        <v>#REF!</v>
      </c>
      <c r="V13" s="641" t="s">
        <v>1424</v>
      </c>
      <c r="W13" s="639" t="e">
        <f>(#REF!+BL13)/1100000</f>
        <v>#REF!</v>
      </c>
      <c r="X13" s="85"/>
      <c r="Y13" s="69"/>
      <c r="Z13" s="261"/>
      <c r="AA13" s="80" t="s">
        <v>1423</v>
      </c>
      <c r="AB13" s="81" t="e">
        <f>AB12-#REF!</f>
        <v>#REF!</v>
      </c>
      <c r="AC13" s="82" t="s">
        <v>1434</v>
      </c>
      <c r="AD13" s="83"/>
      <c r="BB13" s="68"/>
      <c r="BC13" s="68"/>
      <c r="BD13" s="68"/>
      <c r="BE13" s="68"/>
      <c r="BF13" s="68"/>
      <c r="BG13" s="68"/>
      <c r="BH13" s="68"/>
    </row>
    <row r="14" spans="1:60" ht="24" customHeight="1" thickBot="1">
      <c r="A14" s="257" t="s">
        <v>1452</v>
      </c>
      <c r="B14" s="698">
        <v>0.85</v>
      </c>
      <c r="C14" s="555">
        <f>B14+D14+E14+F14+G14+H14+J14+K14+I14+L14+M14+N14+O14</f>
        <v>1</v>
      </c>
      <c r="D14" s="636">
        <v>0.05</v>
      </c>
      <c r="E14" s="636">
        <v>0.1</v>
      </c>
      <c r="F14" s="636">
        <v>0</v>
      </c>
      <c r="G14" s="636">
        <v>0</v>
      </c>
      <c r="H14" s="636">
        <v>0</v>
      </c>
      <c r="I14" s="636">
        <v>0</v>
      </c>
      <c r="J14" s="636">
        <v>0</v>
      </c>
      <c r="K14" s="636">
        <v>0</v>
      </c>
      <c r="L14" s="636">
        <v>0</v>
      </c>
      <c r="M14" s="636">
        <v>0</v>
      </c>
      <c r="N14" s="636">
        <v>0</v>
      </c>
      <c r="O14" s="636">
        <v>0</v>
      </c>
      <c r="P14" s="689" t="s">
        <v>1455</v>
      </c>
      <c r="Q14" s="239" t="s">
        <v>1456</v>
      </c>
      <c r="R14" s="254" t="s">
        <v>1453</v>
      </c>
      <c r="S14" s="645" t="s">
        <v>1454</v>
      </c>
      <c r="T14" s="646" t="s">
        <v>1439</v>
      </c>
      <c r="U14" s="633">
        <f>BJ14/1100000</f>
        <v>0</v>
      </c>
      <c r="V14" s="634" t="s">
        <v>1440</v>
      </c>
      <c r="W14" s="635" t="e">
        <f>U14*0.75-(#REF!+W15)</f>
        <v>#REF!</v>
      </c>
      <c r="X14" s="299" t="s">
        <v>1443</v>
      </c>
      <c r="Y14" s="79" t="s">
        <v>1444</v>
      </c>
      <c r="Z14" s="260" t="s">
        <v>1458</v>
      </c>
      <c r="AA14" s="80" t="s">
        <v>1439</v>
      </c>
      <c r="AB14" s="81">
        <v>72110000</v>
      </c>
      <c r="AC14" s="82" t="s">
        <v>1446</v>
      </c>
      <c r="AD14" s="83">
        <f>SUM(AE14:BA14)</f>
        <v>0</v>
      </c>
      <c r="AE14" s="91" t="s">
        <v>1447</v>
      </c>
      <c r="AF14" s="92"/>
      <c r="AG14" s="92" t="s">
        <v>1448</v>
      </c>
      <c r="AH14" s="92"/>
      <c r="AI14" s="92" t="s">
        <v>1449</v>
      </c>
      <c r="AJ14" s="92"/>
      <c r="AK14" s="92" t="s">
        <v>1449</v>
      </c>
      <c r="AL14" s="92"/>
      <c r="AM14" s="92" t="s">
        <v>1449</v>
      </c>
      <c r="AN14" s="92"/>
      <c r="AO14" s="92"/>
      <c r="AP14" s="92"/>
      <c r="AQ14" s="92"/>
      <c r="AR14" s="92"/>
      <c r="AS14" s="92"/>
      <c r="AT14" s="92"/>
      <c r="AU14" s="92"/>
      <c r="AV14" s="92"/>
      <c r="AW14" s="92"/>
      <c r="AX14" s="92"/>
      <c r="AY14" s="92"/>
      <c r="AZ14" s="92"/>
      <c r="BA14" s="92"/>
    </row>
    <row r="15" spans="1:60" ht="24" customHeight="1" thickBot="1">
      <c r="A15" s="258"/>
      <c r="B15" s="699"/>
      <c r="C15" s="559"/>
      <c r="D15" s="256" t="s">
        <v>1459</v>
      </c>
      <c r="E15" s="256" t="s">
        <v>1460</v>
      </c>
      <c r="F15" s="256" t="s">
        <v>1433</v>
      </c>
      <c r="G15" s="256" t="s">
        <v>1433</v>
      </c>
      <c r="H15" s="256" t="s">
        <v>1433</v>
      </c>
      <c r="I15" s="256" t="s">
        <v>1433</v>
      </c>
      <c r="J15" s="256" t="s">
        <v>1433</v>
      </c>
      <c r="K15" s="256" t="s">
        <v>1433</v>
      </c>
      <c r="L15" s="256" t="s">
        <v>1433</v>
      </c>
      <c r="M15" s="256" t="s">
        <v>1433</v>
      </c>
      <c r="N15" s="256" t="s">
        <v>1433</v>
      </c>
      <c r="O15" s="256" t="s">
        <v>1433</v>
      </c>
      <c r="P15" s="690"/>
      <c r="Q15" s="240"/>
      <c r="R15" s="255"/>
      <c r="S15" s="240" t="s">
        <v>1422</v>
      </c>
      <c r="T15" s="647" t="s">
        <v>1423</v>
      </c>
      <c r="U15" s="638" t="e">
        <f>U14-#REF!</f>
        <v>#REF!</v>
      </c>
      <c r="V15" s="641" t="s">
        <v>1424</v>
      </c>
      <c r="W15" s="639" t="e">
        <f>(#REF!+BL15)/1100000</f>
        <v>#REF!</v>
      </c>
      <c r="X15" s="85"/>
      <c r="Y15" s="69"/>
      <c r="Z15" s="261"/>
      <c r="AA15" s="80" t="s">
        <v>1423</v>
      </c>
      <c r="AB15" s="81" t="e">
        <f>AB14-#REF!</f>
        <v>#REF!</v>
      </c>
      <c r="AC15" s="82" t="s">
        <v>1434</v>
      </c>
      <c r="AD15" s="83"/>
      <c r="BB15" s="68"/>
      <c r="BC15" s="68"/>
      <c r="BD15" s="68"/>
      <c r="BE15" s="68"/>
      <c r="BF15" s="68"/>
      <c r="BG15" s="68"/>
      <c r="BH15" s="68"/>
    </row>
    <row r="16" spans="1:60" ht="24" customHeight="1" thickBot="1">
      <c r="A16" s="257" t="s">
        <v>1461</v>
      </c>
      <c r="B16" s="698">
        <v>0.9</v>
      </c>
      <c r="C16" s="555">
        <f>B16+D16+E16+F16+G16+H16+J16+K16+I16+L16+M16+N16+O16</f>
        <v>1</v>
      </c>
      <c r="D16" s="636">
        <v>0.05</v>
      </c>
      <c r="E16" s="636">
        <v>0.05</v>
      </c>
      <c r="F16" s="636">
        <v>0</v>
      </c>
      <c r="G16" s="636">
        <v>0</v>
      </c>
      <c r="H16" s="636">
        <v>0</v>
      </c>
      <c r="I16" s="636">
        <v>0</v>
      </c>
      <c r="J16" s="636">
        <v>0</v>
      </c>
      <c r="K16" s="636">
        <v>0</v>
      </c>
      <c r="L16" s="636">
        <v>0</v>
      </c>
      <c r="M16" s="636">
        <v>0</v>
      </c>
      <c r="N16" s="636">
        <v>0</v>
      </c>
      <c r="O16" s="636">
        <v>0</v>
      </c>
      <c r="P16" s="689" t="s">
        <v>1464</v>
      </c>
      <c r="Q16" s="239" t="s">
        <v>1465</v>
      </c>
      <c r="R16" s="254" t="s">
        <v>1462</v>
      </c>
      <c r="S16" s="645" t="s">
        <v>1463</v>
      </c>
      <c r="T16" s="646" t="s">
        <v>1439</v>
      </c>
      <c r="U16" s="633">
        <f>BJ16/1100000</f>
        <v>0</v>
      </c>
      <c r="V16" s="634" t="s">
        <v>1440</v>
      </c>
      <c r="W16" s="635" t="e">
        <f>U16*0.75-(#REF!+W17)</f>
        <v>#REF!</v>
      </c>
      <c r="X16" s="299" t="s">
        <v>1443</v>
      </c>
      <c r="Y16" s="79" t="s">
        <v>1444</v>
      </c>
      <c r="Z16" s="260" t="s">
        <v>1458</v>
      </c>
      <c r="AA16" s="80" t="s">
        <v>1439</v>
      </c>
      <c r="AB16" s="81">
        <v>19277100</v>
      </c>
      <c r="AC16" s="82" t="s">
        <v>1446</v>
      </c>
      <c r="AD16" s="83">
        <f>SUM(AE16:BA16)</f>
        <v>0</v>
      </c>
      <c r="AE16" s="91" t="s">
        <v>1447</v>
      </c>
      <c r="AF16" s="92"/>
      <c r="AG16" s="92" t="s">
        <v>1448</v>
      </c>
      <c r="AH16" s="92"/>
      <c r="AI16" s="92" t="s">
        <v>1449</v>
      </c>
      <c r="AJ16" s="92"/>
      <c r="AK16" s="92" t="s">
        <v>1449</v>
      </c>
      <c r="AL16" s="92"/>
      <c r="AM16" s="92" t="s">
        <v>1449</v>
      </c>
      <c r="AN16" s="92"/>
      <c r="AO16" s="92"/>
      <c r="AP16" s="92"/>
      <c r="AQ16" s="92"/>
      <c r="AR16" s="92"/>
      <c r="AS16" s="92"/>
      <c r="AT16" s="92"/>
      <c r="AU16" s="92"/>
      <c r="AV16" s="92"/>
      <c r="AW16" s="92"/>
      <c r="AX16" s="92"/>
      <c r="AY16" s="92"/>
      <c r="AZ16" s="92"/>
      <c r="BA16" s="92"/>
    </row>
    <row r="17" spans="1:60" ht="24" customHeight="1" thickBot="1">
      <c r="A17" s="258"/>
      <c r="B17" s="699"/>
      <c r="C17" s="559"/>
      <c r="D17" s="256" t="s">
        <v>1466</v>
      </c>
      <c r="E17" s="256" t="s">
        <v>1467</v>
      </c>
      <c r="F17" s="256" t="s">
        <v>1433</v>
      </c>
      <c r="G17" s="256" t="s">
        <v>1433</v>
      </c>
      <c r="H17" s="256" t="s">
        <v>1433</v>
      </c>
      <c r="I17" s="256" t="s">
        <v>1433</v>
      </c>
      <c r="J17" s="256" t="s">
        <v>1433</v>
      </c>
      <c r="K17" s="256" t="s">
        <v>1433</v>
      </c>
      <c r="L17" s="256" t="s">
        <v>1433</v>
      </c>
      <c r="M17" s="256" t="s">
        <v>1433</v>
      </c>
      <c r="N17" s="256" t="s">
        <v>1433</v>
      </c>
      <c r="O17" s="256" t="s">
        <v>1433</v>
      </c>
      <c r="P17" s="690"/>
      <c r="Q17" s="240"/>
      <c r="R17" s="255"/>
      <c r="S17" s="215" t="s">
        <v>1422</v>
      </c>
      <c r="T17" s="647" t="s">
        <v>1423</v>
      </c>
      <c r="U17" s="638" t="e">
        <f>U16-#REF!</f>
        <v>#REF!</v>
      </c>
      <c r="V17" s="641" t="s">
        <v>1424</v>
      </c>
      <c r="W17" s="639" t="e">
        <f>(#REF!+BL17)/1100000</f>
        <v>#REF!</v>
      </c>
      <c r="X17" s="85"/>
      <c r="Y17" s="69"/>
      <c r="Z17" s="261"/>
      <c r="AA17" s="80" t="s">
        <v>1423</v>
      </c>
      <c r="AB17" s="81" t="e">
        <f>AB16-#REF!</f>
        <v>#REF!</v>
      </c>
      <c r="AC17" s="82" t="s">
        <v>1434</v>
      </c>
      <c r="AD17" s="83"/>
      <c r="BB17" s="68"/>
      <c r="BC17" s="68"/>
      <c r="BD17" s="68"/>
      <c r="BE17" s="68"/>
      <c r="BF17" s="68"/>
      <c r="BG17" s="68"/>
      <c r="BH17" s="68"/>
    </row>
    <row r="18" spans="1:60" ht="24" customHeight="1" thickBot="1">
      <c r="A18" s="257" t="s">
        <v>1468</v>
      </c>
      <c r="B18" s="698">
        <v>0.9</v>
      </c>
      <c r="C18" s="555">
        <f>B18+D18+E18+F18+G18+H18+J18+K18+I18+L18+M18+N18+O18</f>
        <v>1</v>
      </c>
      <c r="D18" s="636">
        <v>0.01</v>
      </c>
      <c r="E18" s="636">
        <v>0.01</v>
      </c>
      <c r="F18" s="636">
        <v>0.01</v>
      </c>
      <c r="G18" s="636">
        <v>0.01</v>
      </c>
      <c r="H18" s="636">
        <v>0.01</v>
      </c>
      <c r="I18" s="636">
        <v>0.05</v>
      </c>
      <c r="J18" s="636">
        <v>0</v>
      </c>
      <c r="K18" s="636">
        <v>0</v>
      </c>
      <c r="L18" s="636">
        <v>0</v>
      </c>
      <c r="M18" s="636">
        <v>0</v>
      </c>
      <c r="N18" s="636">
        <v>0</v>
      </c>
      <c r="O18" s="636">
        <v>0</v>
      </c>
      <c r="P18" s="689" t="s">
        <v>1471</v>
      </c>
      <c r="Q18" s="239" t="s">
        <v>1472</v>
      </c>
      <c r="R18" s="254" t="s">
        <v>1469</v>
      </c>
      <c r="S18" s="645" t="s">
        <v>1470</v>
      </c>
      <c r="T18" s="646" t="s">
        <v>1439</v>
      </c>
      <c r="U18" s="633">
        <f>BJ18/1100000</f>
        <v>0</v>
      </c>
      <c r="V18" s="634" t="s">
        <v>1440</v>
      </c>
      <c r="W18" s="635" t="e">
        <f>U18*0.75-(#REF!+W19)</f>
        <v>#REF!</v>
      </c>
      <c r="X18" s="299" t="s">
        <v>1443</v>
      </c>
      <c r="Y18" s="79" t="s">
        <v>1444</v>
      </c>
      <c r="Z18" s="260" t="s">
        <v>1458</v>
      </c>
      <c r="AA18" s="80" t="s">
        <v>1439</v>
      </c>
      <c r="AB18" s="81">
        <v>171177000</v>
      </c>
      <c r="AC18" s="82" t="s">
        <v>1446</v>
      </c>
      <c r="AD18" s="83">
        <f>SUM(AE18:BA18)</f>
        <v>0</v>
      </c>
      <c r="AE18" s="91" t="s">
        <v>1447</v>
      </c>
      <c r="AF18" s="92"/>
      <c r="AG18" s="92" t="s">
        <v>1448</v>
      </c>
      <c r="AH18" s="92"/>
      <c r="AI18" s="92" t="s">
        <v>1449</v>
      </c>
      <c r="AJ18" s="92"/>
      <c r="AK18" s="92" t="s">
        <v>1449</v>
      </c>
      <c r="AL18" s="92"/>
      <c r="AM18" s="92" t="s">
        <v>1449</v>
      </c>
      <c r="AN18" s="92"/>
      <c r="AO18" s="92"/>
      <c r="AP18" s="92"/>
      <c r="AQ18" s="92"/>
      <c r="AR18" s="92"/>
      <c r="AS18" s="92"/>
      <c r="AT18" s="92"/>
      <c r="AU18" s="92"/>
      <c r="AV18" s="92"/>
      <c r="AW18" s="92"/>
      <c r="AX18" s="92"/>
      <c r="AY18" s="92"/>
      <c r="AZ18" s="92"/>
      <c r="BA18" s="92"/>
    </row>
    <row r="19" spans="1:60" ht="24" customHeight="1" thickBot="1">
      <c r="A19" s="258"/>
      <c r="B19" s="699"/>
      <c r="C19" s="559"/>
      <c r="D19" s="256" t="s">
        <v>1474</v>
      </c>
      <c r="E19" s="256" t="s">
        <v>1475</v>
      </c>
      <c r="F19" s="256" t="s">
        <v>1475</v>
      </c>
      <c r="G19" s="687" t="s">
        <v>1476</v>
      </c>
      <c r="H19" s="687" t="s">
        <v>1477</v>
      </c>
      <c r="I19" s="687" t="s">
        <v>1478</v>
      </c>
      <c r="J19" s="256" t="s">
        <v>1433</v>
      </c>
      <c r="K19" s="256" t="s">
        <v>1433</v>
      </c>
      <c r="L19" s="256" t="s">
        <v>1433</v>
      </c>
      <c r="M19" s="256" t="s">
        <v>1433</v>
      </c>
      <c r="N19" s="256" t="s">
        <v>1433</v>
      </c>
      <c r="O19" s="256" t="s">
        <v>1433</v>
      </c>
      <c r="P19" s="690"/>
      <c r="Q19" s="240"/>
      <c r="R19" s="255"/>
      <c r="S19" s="215" t="s">
        <v>1473</v>
      </c>
      <c r="T19" s="647" t="s">
        <v>1423</v>
      </c>
      <c r="U19" s="638" t="e">
        <f>U18-#REF!</f>
        <v>#REF!</v>
      </c>
      <c r="V19" s="641" t="s">
        <v>1424</v>
      </c>
      <c r="W19" s="639" t="e">
        <f>(#REF!+BL19)/1100000</f>
        <v>#REF!</v>
      </c>
      <c r="X19" s="85"/>
      <c r="Y19" s="69"/>
      <c r="Z19" s="261"/>
      <c r="AA19" s="80" t="s">
        <v>1423</v>
      </c>
      <c r="AB19" s="81" t="e">
        <f>AB18-#REF!</f>
        <v>#REF!</v>
      </c>
      <c r="AC19" s="82" t="s">
        <v>1434</v>
      </c>
      <c r="AD19" s="83"/>
      <c r="BB19" s="68"/>
      <c r="BC19" s="68"/>
      <c r="BD19" s="68"/>
      <c r="BE19" s="68"/>
      <c r="BF19" s="68"/>
      <c r="BG19" s="68"/>
      <c r="BH19" s="68"/>
    </row>
    <row r="20" spans="1:60" ht="24" customHeight="1" thickBot="1">
      <c r="A20" s="257" t="s">
        <v>1479</v>
      </c>
      <c r="B20" s="698">
        <v>0.85</v>
      </c>
      <c r="C20" s="555">
        <f>B20+D20+E20+F20+G20+H20+J20+K20+I20+L20+M20+N20+O20</f>
        <v>1</v>
      </c>
      <c r="D20" s="636">
        <v>0</v>
      </c>
      <c r="E20" s="636">
        <v>0.05</v>
      </c>
      <c r="F20" s="636">
        <v>0.05</v>
      </c>
      <c r="G20" s="636">
        <v>0.02</v>
      </c>
      <c r="H20" s="636">
        <v>0.01</v>
      </c>
      <c r="I20" s="636">
        <v>0.02</v>
      </c>
      <c r="J20" s="636">
        <v>0</v>
      </c>
      <c r="K20" s="636">
        <v>0</v>
      </c>
      <c r="L20" s="636">
        <v>0</v>
      </c>
      <c r="M20" s="636">
        <v>0</v>
      </c>
      <c r="N20" s="636">
        <v>0</v>
      </c>
      <c r="O20" s="636">
        <v>0</v>
      </c>
      <c r="P20" s="689" t="s">
        <v>1482</v>
      </c>
      <c r="Q20" s="239" t="s">
        <v>1483</v>
      </c>
      <c r="R20" s="254" t="s">
        <v>1480</v>
      </c>
      <c r="S20" s="645" t="s">
        <v>1481</v>
      </c>
      <c r="T20" s="646" t="s">
        <v>1439</v>
      </c>
      <c r="U20" s="633">
        <f>BJ20/1100000</f>
        <v>0</v>
      </c>
      <c r="V20" s="634" t="s">
        <v>1440</v>
      </c>
      <c r="W20" s="635" t="e">
        <f>U20*0.75-(#REF!+W21)</f>
        <v>#REF!</v>
      </c>
      <c r="X20" s="299" t="s">
        <v>1443</v>
      </c>
      <c r="Y20" s="79" t="s">
        <v>1444</v>
      </c>
      <c r="Z20" s="260" t="s">
        <v>1458</v>
      </c>
      <c r="AA20" s="80" t="s">
        <v>1439</v>
      </c>
      <c r="AB20" s="81">
        <v>51000000</v>
      </c>
      <c r="AC20" s="82" t="s">
        <v>1446</v>
      </c>
      <c r="AD20" s="83">
        <f>SUM(AE20:BA20)</f>
        <v>0</v>
      </c>
      <c r="AE20" s="91" t="s">
        <v>1447</v>
      </c>
      <c r="AF20" s="92"/>
      <c r="AG20" s="92" t="s">
        <v>1448</v>
      </c>
      <c r="AH20" s="92"/>
      <c r="AI20" s="92" t="s">
        <v>1449</v>
      </c>
      <c r="AJ20" s="92"/>
      <c r="AK20" s="92" t="s">
        <v>1449</v>
      </c>
      <c r="AL20" s="92"/>
      <c r="AM20" s="92" t="s">
        <v>1449</v>
      </c>
      <c r="AN20" s="92"/>
      <c r="AO20" s="92"/>
      <c r="AP20" s="92"/>
      <c r="AQ20" s="92"/>
      <c r="AR20" s="92"/>
      <c r="AS20" s="92"/>
      <c r="AT20" s="92"/>
      <c r="AU20" s="92"/>
      <c r="AV20" s="92"/>
      <c r="AW20" s="92"/>
      <c r="AX20" s="92"/>
      <c r="AY20" s="92"/>
      <c r="AZ20" s="92"/>
      <c r="BA20" s="92"/>
    </row>
    <row r="21" spans="1:60" ht="24" customHeight="1" thickBot="1">
      <c r="A21" s="258"/>
      <c r="B21" s="699"/>
      <c r="C21" s="559"/>
      <c r="D21" s="256" t="s">
        <v>1484</v>
      </c>
      <c r="E21" s="256" t="s">
        <v>1475</v>
      </c>
      <c r="F21" s="256" t="s">
        <v>1485</v>
      </c>
      <c r="G21" s="256" t="s">
        <v>1486</v>
      </c>
      <c r="H21" s="256" t="s">
        <v>1487</v>
      </c>
      <c r="I21" s="687" t="s">
        <v>1488</v>
      </c>
      <c r="J21" s="256" t="s">
        <v>1433</v>
      </c>
      <c r="K21" s="256" t="s">
        <v>1433</v>
      </c>
      <c r="L21" s="256" t="s">
        <v>1433</v>
      </c>
      <c r="M21" s="256" t="s">
        <v>1433</v>
      </c>
      <c r="N21" s="256" t="s">
        <v>1433</v>
      </c>
      <c r="O21" s="256" t="s">
        <v>1433</v>
      </c>
      <c r="P21" s="690"/>
      <c r="Q21" s="240"/>
      <c r="R21" s="255"/>
      <c r="S21" s="240" t="s">
        <v>1422</v>
      </c>
      <c r="T21" s="647" t="s">
        <v>1423</v>
      </c>
      <c r="U21" s="638" t="e">
        <f>U20-#REF!</f>
        <v>#REF!</v>
      </c>
      <c r="V21" s="641" t="s">
        <v>1424</v>
      </c>
      <c r="W21" s="639" t="e">
        <f>(#REF!+BL21)/1100000</f>
        <v>#REF!</v>
      </c>
      <c r="X21" s="85"/>
      <c r="Y21" s="69"/>
      <c r="Z21" s="261"/>
      <c r="AA21" s="80" t="s">
        <v>1423</v>
      </c>
      <c r="AB21" s="81" t="e">
        <f>AB20-#REF!</f>
        <v>#REF!</v>
      </c>
      <c r="AC21" s="82" t="s">
        <v>1434</v>
      </c>
      <c r="AD21" s="83"/>
      <c r="BB21" s="68"/>
      <c r="BC21" s="68"/>
      <c r="BD21" s="68"/>
      <c r="BE21" s="68"/>
      <c r="BF21" s="68"/>
      <c r="BG21" s="68"/>
      <c r="BH21" s="68"/>
    </row>
    <row r="22" spans="1:60" ht="24" customHeight="1" thickBot="1">
      <c r="A22" s="257" t="s">
        <v>1489</v>
      </c>
      <c r="B22" s="698">
        <v>0.8</v>
      </c>
      <c r="C22" s="555">
        <f>B22+D22+E22+F22+G22+H22+J22+K22+I22+L22+M22+N22+O22</f>
        <v>0.92000000000000015</v>
      </c>
      <c r="D22" s="636">
        <v>0.05</v>
      </c>
      <c r="E22" s="636">
        <v>0.01</v>
      </c>
      <c r="F22" s="636">
        <v>0.04</v>
      </c>
      <c r="G22" s="636">
        <v>0</v>
      </c>
      <c r="H22" s="636">
        <v>0</v>
      </c>
      <c r="I22" s="636">
        <v>0</v>
      </c>
      <c r="J22" s="636">
        <v>0</v>
      </c>
      <c r="K22" s="636">
        <v>0.01</v>
      </c>
      <c r="L22" s="636">
        <v>0.01</v>
      </c>
      <c r="M22" s="636">
        <v>0</v>
      </c>
      <c r="N22" s="636">
        <v>0</v>
      </c>
      <c r="O22" s="636">
        <v>0</v>
      </c>
      <c r="P22" s="689" t="s">
        <v>1492</v>
      </c>
      <c r="Q22" s="239" t="s">
        <v>1493</v>
      </c>
      <c r="R22" s="254" t="s">
        <v>1490</v>
      </c>
      <c r="S22" s="645" t="s">
        <v>1491</v>
      </c>
      <c r="T22" s="646" t="s">
        <v>1439</v>
      </c>
      <c r="U22" s="633">
        <f>BJ22/1100000</f>
        <v>0</v>
      </c>
      <c r="V22" s="634" t="s">
        <v>1440</v>
      </c>
      <c r="W22" s="635" t="e">
        <f>U22*0.75-(#REF!+W23)</f>
        <v>#REF!</v>
      </c>
      <c r="X22" s="299" t="s">
        <v>1443</v>
      </c>
      <c r="Y22" s="79" t="s">
        <v>1444</v>
      </c>
      <c r="Z22" s="260" t="s">
        <v>1458</v>
      </c>
      <c r="AA22" s="80" t="s">
        <v>1439</v>
      </c>
      <c r="AB22" s="81">
        <v>39600000</v>
      </c>
      <c r="AC22" s="82" t="s">
        <v>1446</v>
      </c>
      <c r="AD22" s="83">
        <f>SUM(AE22:BA22)</f>
        <v>0</v>
      </c>
      <c r="AE22" s="91" t="s">
        <v>1447</v>
      </c>
      <c r="AF22" s="92"/>
      <c r="AG22" s="92" t="s">
        <v>1448</v>
      </c>
      <c r="AH22" s="92"/>
      <c r="AI22" s="92" t="s">
        <v>1449</v>
      </c>
      <c r="AJ22" s="92"/>
      <c r="AK22" s="92" t="s">
        <v>1449</v>
      </c>
      <c r="AL22" s="92"/>
      <c r="AM22" s="92" t="s">
        <v>1449</v>
      </c>
      <c r="AN22" s="92"/>
      <c r="AO22" s="92"/>
      <c r="AP22" s="92"/>
      <c r="AQ22" s="92"/>
      <c r="AR22" s="92"/>
      <c r="AS22" s="92"/>
      <c r="AT22" s="92"/>
      <c r="AU22" s="92"/>
      <c r="AV22" s="92"/>
      <c r="AW22" s="92"/>
      <c r="AX22" s="92"/>
      <c r="AY22" s="92"/>
      <c r="AZ22" s="92"/>
      <c r="BA22" s="92"/>
    </row>
    <row r="23" spans="1:60" ht="24" customHeight="1" thickBot="1">
      <c r="A23" s="258"/>
      <c r="B23" s="699"/>
      <c r="C23" s="559"/>
      <c r="D23" s="256" t="s">
        <v>1494</v>
      </c>
      <c r="E23" s="256" t="s">
        <v>1495</v>
      </c>
      <c r="F23" s="256" t="s">
        <v>1494</v>
      </c>
      <c r="G23" s="256" t="s">
        <v>1451</v>
      </c>
      <c r="H23" s="256" t="s">
        <v>1451</v>
      </c>
      <c r="I23" s="256" t="s">
        <v>1451</v>
      </c>
      <c r="J23" s="256" t="s">
        <v>1451</v>
      </c>
      <c r="K23" s="687" t="s">
        <v>1496</v>
      </c>
      <c r="L23" s="687" t="s">
        <v>1496</v>
      </c>
      <c r="M23" s="687" t="s">
        <v>1451</v>
      </c>
      <c r="N23" s="687" t="s">
        <v>1451</v>
      </c>
      <c r="O23" s="256"/>
      <c r="P23" s="690"/>
      <c r="Q23" s="240"/>
      <c r="R23" s="255"/>
      <c r="S23" s="240" t="s">
        <v>1422</v>
      </c>
      <c r="T23" s="647" t="s">
        <v>1423</v>
      </c>
      <c r="U23" s="638" t="e">
        <f>U22-#REF!</f>
        <v>#REF!</v>
      </c>
      <c r="V23" s="641" t="s">
        <v>1424</v>
      </c>
      <c r="W23" s="639" t="e">
        <f>(#REF!+BL23)/1100000</f>
        <v>#REF!</v>
      </c>
      <c r="X23" s="85"/>
      <c r="Y23" s="69"/>
      <c r="Z23" s="261"/>
      <c r="AA23" s="80" t="s">
        <v>1423</v>
      </c>
      <c r="AB23" s="81" t="e">
        <f>AB22-#REF!</f>
        <v>#REF!</v>
      </c>
      <c r="AC23" s="82" t="s">
        <v>1434</v>
      </c>
      <c r="AD23" s="83"/>
      <c r="BB23" s="68"/>
      <c r="BC23" s="68"/>
      <c r="BD23" s="68"/>
      <c r="BE23" s="68"/>
      <c r="BF23" s="68"/>
      <c r="BG23" s="68"/>
      <c r="BH23" s="68"/>
    </row>
    <row r="24" spans="1:60" ht="24" customHeight="1" thickBot="1">
      <c r="A24" s="257" t="s">
        <v>1497</v>
      </c>
      <c r="B24" s="698">
        <v>0</v>
      </c>
      <c r="C24" s="555">
        <f>B24+D24+E24+F24+G24+H24+J24+K24+I24+L24+M24+N24+O24</f>
        <v>0.55000000000000004</v>
      </c>
      <c r="D24" s="636">
        <v>0.15</v>
      </c>
      <c r="E24" s="636">
        <v>0.1</v>
      </c>
      <c r="F24" s="636">
        <v>0.05</v>
      </c>
      <c r="G24" s="636">
        <v>0.05</v>
      </c>
      <c r="H24" s="636">
        <v>0.05</v>
      </c>
      <c r="I24" s="636">
        <v>0</v>
      </c>
      <c r="J24" s="636">
        <v>0.05</v>
      </c>
      <c r="K24" s="636">
        <v>0.02</v>
      </c>
      <c r="L24" s="636">
        <v>0.02</v>
      </c>
      <c r="M24" s="636">
        <v>0.01</v>
      </c>
      <c r="N24" s="636">
        <v>0.05</v>
      </c>
      <c r="O24" s="636">
        <v>0</v>
      </c>
      <c r="P24" s="689" t="s">
        <v>1500</v>
      </c>
      <c r="Q24" s="239" t="s">
        <v>1501</v>
      </c>
      <c r="R24" s="254" t="s">
        <v>1498</v>
      </c>
      <c r="S24" s="645" t="s">
        <v>1499</v>
      </c>
      <c r="T24" s="646" t="s">
        <v>1439</v>
      </c>
      <c r="U24" s="633">
        <f>BJ24/1100000</f>
        <v>0</v>
      </c>
      <c r="V24" s="634" t="s">
        <v>1440</v>
      </c>
      <c r="W24" s="635" t="e">
        <f>U24*0.75-(#REF!+W25)</f>
        <v>#REF!</v>
      </c>
      <c r="X24" s="299" t="s">
        <v>1443</v>
      </c>
      <c r="Y24" s="79" t="s">
        <v>1444</v>
      </c>
      <c r="Z24" s="260" t="s">
        <v>1502</v>
      </c>
      <c r="AA24" s="80" t="s">
        <v>1439</v>
      </c>
      <c r="AB24" s="81">
        <v>122751000</v>
      </c>
      <c r="AC24" s="82" t="s">
        <v>1446</v>
      </c>
      <c r="AD24" s="83">
        <f>SUM(AE24:BA24)</f>
        <v>0</v>
      </c>
      <c r="AE24" s="91" t="s">
        <v>1447</v>
      </c>
      <c r="AF24" s="92"/>
      <c r="AG24" s="92" t="s">
        <v>1448</v>
      </c>
      <c r="AH24" s="92"/>
      <c r="AI24" s="92" t="s">
        <v>1449</v>
      </c>
      <c r="AJ24" s="92"/>
      <c r="AK24" s="92" t="s">
        <v>1449</v>
      </c>
      <c r="AL24" s="92"/>
      <c r="AM24" s="92" t="s">
        <v>1449</v>
      </c>
      <c r="AN24" s="92"/>
      <c r="AO24" s="92"/>
      <c r="AP24" s="92"/>
      <c r="AQ24" s="92"/>
      <c r="AR24" s="92"/>
      <c r="AS24" s="92"/>
      <c r="AT24" s="92"/>
      <c r="AU24" s="92"/>
      <c r="AV24" s="92"/>
      <c r="AW24" s="92"/>
      <c r="AX24" s="92"/>
      <c r="AY24" s="92"/>
      <c r="AZ24" s="92"/>
      <c r="BA24" s="92"/>
    </row>
    <row r="25" spans="1:60" ht="24" customHeight="1" thickBot="1">
      <c r="A25" s="258"/>
      <c r="B25" s="699"/>
      <c r="C25" s="559"/>
      <c r="D25" s="256" t="s">
        <v>1503</v>
      </c>
      <c r="E25" s="256" t="s">
        <v>1504</v>
      </c>
      <c r="F25" s="256" t="s">
        <v>1505</v>
      </c>
      <c r="G25" s="256" t="s">
        <v>1506</v>
      </c>
      <c r="H25" s="256" t="s">
        <v>1507</v>
      </c>
      <c r="I25" s="256" t="s">
        <v>1508</v>
      </c>
      <c r="J25" s="687" t="s">
        <v>1509</v>
      </c>
      <c r="K25" s="687" t="s">
        <v>1510</v>
      </c>
      <c r="L25" s="687" t="s">
        <v>1510</v>
      </c>
      <c r="M25" s="687" t="s">
        <v>1511</v>
      </c>
      <c r="N25" s="687" t="s">
        <v>1512</v>
      </c>
      <c r="O25" s="256"/>
      <c r="P25" s="690"/>
      <c r="Q25" s="240"/>
      <c r="R25" s="255"/>
      <c r="S25" s="240" t="s">
        <v>1422</v>
      </c>
      <c r="T25" s="647" t="s">
        <v>1423</v>
      </c>
      <c r="U25" s="638" t="e">
        <f>U24-#REF!</f>
        <v>#REF!</v>
      </c>
      <c r="V25" s="641" t="s">
        <v>1424</v>
      </c>
      <c r="W25" s="639" t="e">
        <f>(#REF!+BL25)/1100000</f>
        <v>#REF!</v>
      </c>
      <c r="X25" s="85"/>
      <c r="Y25" s="69"/>
      <c r="Z25" s="261"/>
      <c r="AA25" s="80" t="s">
        <v>1423</v>
      </c>
      <c r="AB25" s="81" t="e">
        <f>AB24-#REF!</f>
        <v>#REF!</v>
      </c>
      <c r="AC25" s="82" t="s">
        <v>1434</v>
      </c>
      <c r="AD25" s="83"/>
      <c r="BB25" s="68"/>
      <c r="BC25" s="68"/>
      <c r="BD25" s="68"/>
      <c r="BE25" s="68"/>
      <c r="BF25" s="68"/>
      <c r="BG25" s="68"/>
      <c r="BH25" s="68"/>
    </row>
    <row r="26" spans="1:60" ht="24" customHeight="1" thickBot="1">
      <c r="A26" s="257" t="s">
        <v>1513</v>
      </c>
      <c r="B26" s="698">
        <v>0</v>
      </c>
      <c r="C26" s="555">
        <f>B26+D26+E26+F26+G26+H26+J26+K26+I26+L26+M26+N26+O26</f>
        <v>0.95</v>
      </c>
      <c r="D26" s="636">
        <v>0</v>
      </c>
      <c r="E26" s="636">
        <v>0</v>
      </c>
      <c r="F26" s="636">
        <v>0.3</v>
      </c>
      <c r="G26" s="636">
        <v>0.2</v>
      </c>
      <c r="H26" s="636">
        <v>0.2</v>
      </c>
      <c r="I26" s="636">
        <v>0.2</v>
      </c>
      <c r="J26" s="636">
        <v>0.02</v>
      </c>
      <c r="K26" s="636">
        <v>0.01</v>
      </c>
      <c r="L26" s="636">
        <v>0.01</v>
      </c>
      <c r="M26" s="636">
        <v>0.01</v>
      </c>
      <c r="N26" s="636">
        <v>0</v>
      </c>
      <c r="O26" s="636">
        <v>0</v>
      </c>
      <c r="P26" s="689" t="s">
        <v>1500</v>
      </c>
      <c r="Q26" s="239" t="s">
        <v>1516</v>
      </c>
      <c r="R26" s="254" t="s">
        <v>1514</v>
      </c>
      <c r="S26" s="645" t="s">
        <v>1515</v>
      </c>
      <c r="T26" s="646" t="s">
        <v>1439</v>
      </c>
      <c r="U26" s="633">
        <f>BJ26/1100000</f>
        <v>0</v>
      </c>
      <c r="V26" s="634" t="s">
        <v>1440</v>
      </c>
      <c r="W26" s="635" t="e">
        <f>U26*0.75-(#REF!+W27)</f>
        <v>#REF!</v>
      </c>
      <c r="X26" s="299" t="s">
        <v>1443</v>
      </c>
      <c r="Y26" s="79" t="s">
        <v>1444</v>
      </c>
      <c r="Z26" s="260" t="s">
        <v>1518</v>
      </c>
      <c r="AA26" s="80" t="s">
        <v>1439</v>
      </c>
      <c r="AB26" s="81">
        <v>132000000</v>
      </c>
      <c r="AC26" s="82" t="s">
        <v>1446</v>
      </c>
      <c r="AD26" s="83">
        <f>SUM(AE26:BA26)</f>
        <v>0</v>
      </c>
      <c r="AE26" s="91" t="s">
        <v>1447</v>
      </c>
      <c r="AF26" s="92"/>
      <c r="AG26" s="92" t="s">
        <v>1448</v>
      </c>
      <c r="AH26" s="92"/>
      <c r="AI26" s="92" t="s">
        <v>1449</v>
      </c>
      <c r="AJ26" s="92"/>
      <c r="AK26" s="92" t="s">
        <v>1449</v>
      </c>
      <c r="AL26" s="92"/>
      <c r="AM26" s="92" t="s">
        <v>1449</v>
      </c>
      <c r="AN26" s="92"/>
      <c r="AO26" s="92"/>
      <c r="AP26" s="92"/>
      <c r="AQ26" s="92"/>
      <c r="AR26" s="92"/>
      <c r="AS26" s="92"/>
      <c r="AT26" s="92"/>
      <c r="AU26" s="92"/>
      <c r="AV26" s="92"/>
      <c r="AW26" s="92"/>
      <c r="AX26" s="92"/>
      <c r="AY26" s="92"/>
      <c r="AZ26" s="92"/>
      <c r="BA26" s="92"/>
    </row>
    <row r="27" spans="1:60" ht="24" customHeight="1" thickBot="1">
      <c r="A27" s="258"/>
      <c r="B27" s="699"/>
      <c r="C27" s="559"/>
      <c r="D27" s="256"/>
      <c r="E27" s="256"/>
      <c r="F27" s="256" t="s">
        <v>1519</v>
      </c>
      <c r="G27" s="256" t="s">
        <v>1520</v>
      </c>
      <c r="H27" s="256" t="s">
        <v>1521</v>
      </c>
      <c r="I27" s="256" t="s">
        <v>1522</v>
      </c>
      <c r="J27" s="687" t="s">
        <v>1523</v>
      </c>
      <c r="K27" s="687" t="s">
        <v>1523</v>
      </c>
      <c r="L27" s="687" t="s">
        <v>1523</v>
      </c>
      <c r="M27" s="687" t="s">
        <v>1524</v>
      </c>
      <c r="N27" s="687" t="s">
        <v>1451</v>
      </c>
      <c r="O27" s="256"/>
      <c r="P27" s="690"/>
      <c r="Q27" s="240"/>
      <c r="R27" s="255"/>
      <c r="S27" s="240" t="s">
        <v>1422</v>
      </c>
      <c r="T27" s="647" t="s">
        <v>1423</v>
      </c>
      <c r="U27" s="638" t="e">
        <f>U26-#REF!</f>
        <v>#REF!</v>
      </c>
      <c r="V27" s="641" t="s">
        <v>1424</v>
      </c>
      <c r="W27" s="639" t="e">
        <f>(#REF!+BL27)/1100000</f>
        <v>#REF!</v>
      </c>
      <c r="X27" s="85"/>
      <c r="Y27" s="69"/>
      <c r="Z27" s="261"/>
      <c r="AA27" s="80" t="s">
        <v>1423</v>
      </c>
      <c r="AB27" s="81" t="e">
        <f>AB26-#REF!</f>
        <v>#REF!</v>
      </c>
      <c r="AC27" s="82" t="s">
        <v>1434</v>
      </c>
      <c r="AD27" s="83"/>
      <c r="BB27" s="68"/>
      <c r="BC27" s="68"/>
      <c r="BD27" s="68"/>
      <c r="BE27" s="68"/>
      <c r="BF27" s="68"/>
      <c r="BG27" s="68"/>
      <c r="BH27" s="68"/>
    </row>
    <row r="28" spans="1:60" ht="24" customHeight="1" thickBot="1">
      <c r="A28" s="257" t="s">
        <v>1525</v>
      </c>
      <c r="B28" s="698">
        <v>0</v>
      </c>
      <c r="C28" s="555">
        <f>B28+D28+E28+F28+G28+H28+J28+K28+I28+L28+M28+N28+O28</f>
        <v>0.55000000000000016</v>
      </c>
      <c r="D28" s="636">
        <v>0</v>
      </c>
      <c r="E28" s="636">
        <v>0</v>
      </c>
      <c r="F28" s="636">
        <v>0</v>
      </c>
      <c r="G28" s="636">
        <v>0.1</v>
      </c>
      <c r="H28" s="636">
        <v>0.2</v>
      </c>
      <c r="I28" s="636">
        <v>0.1</v>
      </c>
      <c r="J28" s="636">
        <v>0.05</v>
      </c>
      <c r="K28" s="636">
        <v>0.02</v>
      </c>
      <c r="L28" s="636">
        <v>0.02</v>
      </c>
      <c r="M28" s="636">
        <v>0.01</v>
      </c>
      <c r="N28" s="636">
        <v>0.05</v>
      </c>
      <c r="O28" s="636">
        <v>0</v>
      </c>
      <c r="P28" s="689" t="s">
        <v>1500</v>
      </c>
      <c r="Q28" s="239" t="s">
        <v>1526</v>
      </c>
      <c r="R28" s="254" t="s">
        <v>1498</v>
      </c>
      <c r="S28" s="645" t="s">
        <v>1499</v>
      </c>
      <c r="T28" s="646" t="s">
        <v>1439</v>
      </c>
      <c r="U28" s="633">
        <f>BJ28/1100000</f>
        <v>0</v>
      </c>
      <c r="V28" s="634" t="s">
        <v>1440</v>
      </c>
      <c r="W28" s="635" t="e">
        <f>U28*0.75-(#REF!+W29)</f>
        <v>#REF!</v>
      </c>
      <c r="X28" s="299" t="s">
        <v>1443</v>
      </c>
      <c r="Y28" s="79" t="s">
        <v>1444</v>
      </c>
      <c r="Z28" s="260" t="s">
        <v>1502</v>
      </c>
      <c r="AA28" s="80" t="s">
        <v>1439</v>
      </c>
      <c r="AB28" s="81">
        <v>88600000</v>
      </c>
      <c r="AC28" s="82" t="s">
        <v>1446</v>
      </c>
      <c r="AD28" s="83">
        <f>SUM(AE28:BA28)</f>
        <v>0</v>
      </c>
      <c r="AE28" s="91" t="s">
        <v>1447</v>
      </c>
      <c r="AF28" s="92"/>
      <c r="AG28" s="92" t="s">
        <v>1448</v>
      </c>
      <c r="AH28" s="92"/>
      <c r="AI28" s="92" t="s">
        <v>1449</v>
      </c>
      <c r="AJ28" s="92"/>
      <c r="AK28" s="92" t="s">
        <v>1449</v>
      </c>
      <c r="AL28" s="92"/>
      <c r="AM28" s="92" t="s">
        <v>1449</v>
      </c>
      <c r="AN28" s="92"/>
      <c r="AO28" s="92"/>
      <c r="AP28" s="92"/>
      <c r="AQ28" s="92"/>
      <c r="AR28" s="92"/>
      <c r="AS28" s="92"/>
      <c r="AT28" s="92"/>
      <c r="AU28" s="92"/>
      <c r="AV28" s="92"/>
      <c r="AW28" s="92"/>
      <c r="AX28" s="92"/>
      <c r="AY28" s="92"/>
      <c r="AZ28" s="92"/>
      <c r="BA28" s="92"/>
    </row>
    <row r="29" spans="1:60" ht="24" customHeight="1" thickBot="1">
      <c r="A29" s="258"/>
      <c r="B29" s="699"/>
      <c r="C29" s="559"/>
      <c r="D29" s="256"/>
      <c r="E29" s="256"/>
      <c r="F29" s="256"/>
      <c r="G29" s="256" t="s">
        <v>1506</v>
      </c>
      <c r="H29" s="256" t="s">
        <v>1507</v>
      </c>
      <c r="I29" s="256" t="s">
        <v>1508</v>
      </c>
      <c r="J29" s="687" t="s">
        <v>1509</v>
      </c>
      <c r="K29" s="687" t="s">
        <v>1510</v>
      </c>
      <c r="L29" s="687" t="s">
        <v>1510</v>
      </c>
      <c r="M29" s="687" t="s">
        <v>1511</v>
      </c>
      <c r="N29" s="687" t="s">
        <v>1512</v>
      </c>
      <c r="O29" s="256"/>
      <c r="P29" s="690"/>
      <c r="Q29" s="240"/>
      <c r="R29" s="255"/>
      <c r="S29" s="240" t="s">
        <v>1422</v>
      </c>
      <c r="T29" s="647" t="s">
        <v>1423</v>
      </c>
      <c r="U29" s="638" t="e">
        <f>U28-#REF!</f>
        <v>#REF!</v>
      </c>
      <c r="V29" s="641" t="s">
        <v>1424</v>
      </c>
      <c r="W29" s="639" t="e">
        <f>(#REF!+BL29)/1100000</f>
        <v>#REF!</v>
      </c>
      <c r="X29" s="85"/>
      <c r="Y29" s="69"/>
      <c r="Z29" s="261"/>
      <c r="AA29" s="80" t="s">
        <v>1423</v>
      </c>
      <c r="AB29" s="81" t="e">
        <f>AB28-#REF!</f>
        <v>#REF!</v>
      </c>
      <c r="AC29" s="82" t="s">
        <v>1434</v>
      </c>
      <c r="AD29" s="83"/>
      <c r="BB29" s="68"/>
      <c r="BC29" s="68"/>
      <c r="BD29" s="68"/>
      <c r="BE29" s="68"/>
      <c r="BF29" s="68"/>
      <c r="BG29" s="68"/>
      <c r="BH29" s="68"/>
    </row>
    <row r="30" spans="1:60" ht="24" customHeight="1" thickBot="1">
      <c r="A30" s="257" t="s">
        <v>1527</v>
      </c>
      <c r="B30" s="698">
        <v>0</v>
      </c>
      <c r="C30" s="555">
        <f>B30+D30+E30+F30+G30+H30+J30+K30+I30+L30+M30+N30+O30</f>
        <v>0.95000000000000007</v>
      </c>
      <c r="D30" s="636">
        <v>0</v>
      </c>
      <c r="E30" s="636">
        <v>0</v>
      </c>
      <c r="F30" s="636">
        <v>0</v>
      </c>
      <c r="G30" s="636">
        <v>0</v>
      </c>
      <c r="H30" s="636">
        <v>0</v>
      </c>
      <c r="I30" s="636">
        <v>0.05</v>
      </c>
      <c r="J30" s="636">
        <v>0.15</v>
      </c>
      <c r="K30" s="636">
        <v>0.15</v>
      </c>
      <c r="L30" s="636">
        <v>0.2</v>
      </c>
      <c r="M30" s="636">
        <v>0.3</v>
      </c>
      <c r="N30" s="636">
        <v>0.1</v>
      </c>
      <c r="O30" s="636">
        <v>0</v>
      </c>
      <c r="P30" s="689" t="s">
        <v>1500</v>
      </c>
      <c r="Q30" s="239" t="s">
        <v>1530</v>
      </c>
      <c r="R30" s="254" t="s">
        <v>1528</v>
      </c>
      <c r="S30" s="645" t="s">
        <v>1529</v>
      </c>
      <c r="T30" s="646" t="s">
        <v>1439</v>
      </c>
      <c r="U30" s="633">
        <f>BJ30/1100000</f>
        <v>0</v>
      </c>
      <c r="V30" s="634" t="s">
        <v>1440</v>
      </c>
      <c r="W30" s="635" t="e">
        <f>U30*0.75-(#REF!+W31)</f>
        <v>#REF!</v>
      </c>
      <c r="X30" s="299" t="s">
        <v>1443</v>
      </c>
      <c r="Y30" s="79" t="s">
        <v>1444</v>
      </c>
      <c r="Z30" s="260" t="s">
        <v>1531</v>
      </c>
      <c r="AA30" s="80" t="s">
        <v>1439</v>
      </c>
      <c r="AB30" s="81">
        <v>18500000</v>
      </c>
      <c r="AC30" s="82" t="s">
        <v>1446</v>
      </c>
      <c r="AD30" s="83">
        <f>SUM(AE30:BA30)</f>
        <v>0</v>
      </c>
      <c r="AE30" s="91" t="s">
        <v>1447</v>
      </c>
      <c r="AF30" s="92"/>
      <c r="AG30" s="92" t="s">
        <v>1448</v>
      </c>
      <c r="AH30" s="92"/>
      <c r="AI30" s="92" t="s">
        <v>1449</v>
      </c>
      <c r="AJ30" s="92"/>
      <c r="AK30" s="92" t="s">
        <v>1449</v>
      </c>
      <c r="AL30" s="92"/>
      <c r="AM30" s="92" t="s">
        <v>1449</v>
      </c>
      <c r="AN30" s="92"/>
      <c r="AO30" s="92"/>
      <c r="AP30" s="92"/>
      <c r="AQ30" s="92"/>
      <c r="AR30" s="92"/>
      <c r="AS30" s="92"/>
      <c r="AT30" s="92"/>
      <c r="AU30" s="92"/>
      <c r="AV30" s="92"/>
      <c r="AW30" s="92"/>
      <c r="AX30" s="92"/>
      <c r="AY30" s="92"/>
      <c r="AZ30" s="92"/>
      <c r="BA30" s="92"/>
    </row>
    <row r="31" spans="1:60" ht="24" customHeight="1" thickBot="1">
      <c r="A31" s="258"/>
      <c r="B31" s="699"/>
      <c r="C31" s="559"/>
      <c r="D31" s="256"/>
      <c r="E31" s="256"/>
      <c r="F31" s="256"/>
      <c r="G31" s="256"/>
      <c r="H31" s="256"/>
      <c r="I31" s="256" t="s">
        <v>1532</v>
      </c>
      <c r="J31" s="687" t="s">
        <v>1533</v>
      </c>
      <c r="K31" s="687" t="s">
        <v>1534</v>
      </c>
      <c r="L31" s="687" t="s">
        <v>1534</v>
      </c>
      <c r="M31" s="687" t="s">
        <v>1535</v>
      </c>
      <c r="N31" s="687" t="s">
        <v>1536</v>
      </c>
      <c r="O31" s="687" t="s">
        <v>1537</v>
      </c>
      <c r="P31" s="690"/>
      <c r="Q31" s="240"/>
      <c r="R31" s="255"/>
      <c r="S31" s="240" t="s">
        <v>1422</v>
      </c>
      <c r="T31" s="647" t="s">
        <v>1423</v>
      </c>
      <c r="U31" s="638" t="e">
        <f>U30-#REF!</f>
        <v>#REF!</v>
      </c>
      <c r="V31" s="641" t="s">
        <v>1424</v>
      </c>
      <c r="W31" s="639" t="e">
        <f>(#REF!+BL31)/1100000</f>
        <v>#REF!</v>
      </c>
      <c r="X31" s="85"/>
      <c r="Y31" s="69"/>
      <c r="Z31" s="261"/>
      <c r="AA31" s="80" t="s">
        <v>1423</v>
      </c>
      <c r="AB31" s="81" t="e">
        <f>AB30-#REF!</f>
        <v>#REF!</v>
      </c>
      <c r="AC31" s="82" t="s">
        <v>1434</v>
      </c>
      <c r="AD31" s="83"/>
      <c r="BB31" s="68"/>
      <c r="BC31" s="68"/>
      <c r="BD31" s="68"/>
      <c r="BE31" s="68"/>
      <c r="BF31" s="68"/>
      <c r="BG31" s="68"/>
      <c r="BH31" s="68"/>
    </row>
    <row r="32" spans="1:60" ht="24" customHeight="1" thickBot="1">
      <c r="A32" s="257" t="s">
        <v>1538</v>
      </c>
      <c r="B32" s="698">
        <v>0</v>
      </c>
      <c r="C32" s="555">
        <f>B32+D32+E32+F32+G32+H32+J32+K32+I32+L32+M32+N32+O32</f>
        <v>0.30000000000000004</v>
      </c>
      <c r="D32" s="636">
        <v>0</v>
      </c>
      <c r="E32" s="636">
        <v>0</v>
      </c>
      <c r="F32" s="636">
        <v>0</v>
      </c>
      <c r="G32" s="636">
        <v>0</v>
      </c>
      <c r="H32" s="636">
        <v>0</v>
      </c>
      <c r="I32" s="636">
        <v>0</v>
      </c>
      <c r="J32" s="636">
        <v>0</v>
      </c>
      <c r="K32" s="636">
        <v>0</v>
      </c>
      <c r="L32" s="636">
        <v>0.05</v>
      </c>
      <c r="M32" s="636">
        <v>0.15</v>
      </c>
      <c r="N32" s="636">
        <v>0.1</v>
      </c>
      <c r="O32" s="636">
        <v>0</v>
      </c>
      <c r="P32" s="689" t="s">
        <v>1500</v>
      </c>
      <c r="Q32" s="239" t="s">
        <v>1541</v>
      </c>
      <c r="R32" s="254" t="s">
        <v>1539</v>
      </c>
      <c r="S32" s="645" t="s">
        <v>1540</v>
      </c>
      <c r="T32" s="646" t="s">
        <v>1439</v>
      </c>
      <c r="U32" s="633">
        <f>BJ32/1100000</f>
        <v>0</v>
      </c>
      <c r="V32" s="634" t="s">
        <v>1440</v>
      </c>
      <c r="W32" s="635" t="e">
        <f>U32*0.75-(#REF!+W33)</f>
        <v>#REF!</v>
      </c>
      <c r="X32" s="299" t="s">
        <v>1443</v>
      </c>
      <c r="Y32" s="79" t="s">
        <v>1444</v>
      </c>
      <c r="Z32" s="260" t="s">
        <v>1531</v>
      </c>
      <c r="AA32" s="80" t="s">
        <v>1439</v>
      </c>
      <c r="AB32" s="81">
        <v>140030000</v>
      </c>
      <c r="AC32" s="82" t="s">
        <v>1446</v>
      </c>
      <c r="AD32" s="83">
        <f>SUM(AE32:BA32)</f>
        <v>0</v>
      </c>
      <c r="AE32" s="91" t="s">
        <v>1447</v>
      </c>
      <c r="AF32" s="92"/>
      <c r="AG32" s="92" t="s">
        <v>1448</v>
      </c>
      <c r="AH32" s="92"/>
      <c r="AI32" s="92" t="s">
        <v>1449</v>
      </c>
      <c r="AJ32" s="92"/>
      <c r="AK32" s="92" t="s">
        <v>1449</v>
      </c>
      <c r="AL32" s="92"/>
      <c r="AM32" s="92" t="s">
        <v>1449</v>
      </c>
      <c r="AN32" s="92"/>
      <c r="AO32" s="92"/>
      <c r="AP32" s="92"/>
      <c r="AQ32" s="92"/>
      <c r="AR32" s="92"/>
      <c r="AS32" s="92"/>
      <c r="AT32" s="92"/>
      <c r="AU32" s="92"/>
      <c r="AV32" s="92"/>
      <c r="AW32" s="92"/>
      <c r="AX32" s="92"/>
      <c r="AY32" s="92"/>
      <c r="AZ32" s="92"/>
      <c r="BA32" s="92"/>
    </row>
    <row r="33" spans="1:60" ht="24" customHeight="1">
      <c r="A33" s="258"/>
      <c r="B33" s="699"/>
      <c r="C33" s="559"/>
      <c r="D33" s="256"/>
      <c r="E33" s="256"/>
      <c r="F33" s="256"/>
      <c r="G33" s="256"/>
      <c r="H33" s="256"/>
      <c r="I33" s="256"/>
      <c r="J33" s="687"/>
      <c r="K33" s="687" t="s">
        <v>1433</v>
      </c>
      <c r="L33" s="256" t="s">
        <v>1542</v>
      </c>
      <c r="M33" s="687" t="s">
        <v>1543</v>
      </c>
      <c r="N33" s="687" t="s">
        <v>1544</v>
      </c>
      <c r="O33" s="256"/>
      <c r="P33" s="690"/>
      <c r="Q33" s="240"/>
      <c r="R33" s="255"/>
      <c r="S33" s="240" t="s">
        <v>1422</v>
      </c>
      <c r="T33" s="647" t="s">
        <v>1423</v>
      </c>
      <c r="U33" s="638" t="e">
        <f>U32-#REF!</f>
        <v>#REF!</v>
      </c>
      <c r="V33" s="641" t="s">
        <v>1424</v>
      </c>
      <c r="W33" s="639" t="e">
        <f>(#REF!+BL33)/1100000</f>
        <v>#REF!</v>
      </c>
      <c r="X33" s="85"/>
      <c r="Y33" s="69"/>
      <c r="Z33" s="261"/>
      <c r="AA33" s="80" t="s">
        <v>1423</v>
      </c>
      <c r="AB33" s="81" t="e">
        <f>AB32-#REF!</f>
        <v>#REF!</v>
      </c>
      <c r="AC33" s="82" t="s">
        <v>1434</v>
      </c>
      <c r="AD33" s="83"/>
      <c r="BB33" s="68"/>
      <c r="BC33" s="68"/>
      <c r="BD33" s="68"/>
      <c r="BE33" s="68"/>
      <c r="BF33" s="68"/>
      <c r="BG33" s="68"/>
      <c r="BH33" s="68"/>
    </row>
    <row r="34" spans="1:60" ht="30.75" customHeight="1">
      <c r="AD34" s="649"/>
    </row>
  </sheetData>
  <phoneticPr fontId="2" type="noConversion"/>
  <printOptions horizontalCentered="1"/>
  <pageMargins left="0.39370078740157483" right="0.39370078740157483" top="0.47244094488188981" bottom="0.39370078740157483"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J45"/>
  <sheetViews>
    <sheetView view="pageBreakPreview" zoomScale="85" zoomScaleSheetLayoutView="85" workbookViewId="0">
      <pane xSplit="1" ySplit="2" topLeftCell="B21" activePane="bottomRight" state="frozen"/>
      <selection activeCell="W34" sqref="W34"/>
      <selection pane="topRight" activeCell="W34" sqref="W34"/>
      <selection pane="bottomLeft" activeCell="W34" sqref="W34"/>
      <selection pane="bottomRight" activeCell="W34" sqref="W34"/>
    </sheetView>
  </sheetViews>
  <sheetFormatPr defaultColWidth="10.25" defaultRowHeight="30.75" customHeight="1"/>
  <cols>
    <col min="1" max="1" width="12.625" style="275" customWidth="1"/>
    <col min="2" max="3" width="5.625" style="282" customWidth="1"/>
    <col min="4" max="8" width="10.25" style="275" customWidth="1"/>
    <col min="9" max="9" width="11.375" style="275" customWidth="1"/>
    <col min="10" max="10" width="10.875" style="275" customWidth="1"/>
    <col min="11" max="11" width="10.25" style="275" customWidth="1"/>
    <col min="12" max="12" width="9.75" style="275" customWidth="1"/>
    <col min="13" max="13" width="9.625" style="275" customWidth="1"/>
    <col min="14" max="14" width="10.25" style="275" customWidth="1"/>
    <col min="15" max="15" width="9.625" style="275" customWidth="1"/>
    <col min="16" max="16" width="12.875" style="275" customWidth="1"/>
    <col min="17" max="19" width="9.75" style="275" customWidth="1"/>
    <col min="20" max="20" width="16.25" style="68" customWidth="1"/>
    <col min="21" max="21" width="8.625" style="275" customWidth="1"/>
    <col min="22" max="22" width="7.125" style="275" customWidth="1"/>
    <col min="23" max="23" width="9.25" style="275" customWidth="1"/>
    <col min="24" max="24" width="7.125" style="275" customWidth="1"/>
    <col min="25" max="25" width="8.875" style="275" customWidth="1"/>
    <col min="26" max="27" width="10.25" style="275"/>
    <col min="28" max="28" width="4.5" style="275" customWidth="1"/>
    <col min="29" max="29" width="6.125" style="275" customWidth="1"/>
    <col min="30" max="30" width="16" style="275" customWidth="1"/>
    <col min="31" max="31" width="14.625" style="277" customWidth="1"/>
    <col min="32" max="32" width="17.375" style="77" customWidth="1"/>
    <col min="33" max="33" width="16" style="77" customWidth="1"/>
    <col min="34" max="34" width="16.75" style="77" customWidth="1"/>
    <col min="35" max="55" width="16" style="77" customWidth="1"/>
    <col min="56" max="16384" width="10.25" style="78"/>
  </cols>
  <sheetData>
    <row r="1" spans="1:62" ht="39.75" customHeight="1">
      <c r="A1" s="279" t="s">
        <v>1265</v>
      </c>
      <c r="Q1" s="393" t="s">
        <v>785</v>
      </c>
      <c r="R1" s="393"/>
      <c r="S1" s="393"/>
    </row>
    <row r="2" spans="1:62" ht="22.5" customHeight="1" thickBot="1">
      <c r="A2" s="513" t="s">
        <v>786</v>
      </c>
      <c r="B2" s="514" t="s">
        <v>22</v>
      </c>
      <c r="C2" s="515" t="s">
        <v>23</v>
      </c>
      <c r="D2" s="552" t="s">
        <v>768</v>
      </c>
      <c r="E2" s="552" t="s">
        <v>1052</v>
      </c>
      <c r="F2" s="552" t="s">
        <v>758</v>
      </c>
      <c r="G2" s="552" t="s">
        <v>759</v>
      </c>
      <c r="H2" s="552" t="s">
        <v>760</v>
      </c>
      <c r="I2" s="552" t="s">
        <v>761</v>
      </c>
      <c r="J2" s="552" t="s">
        <v>762</v>
      </c>
      <c r="K2" s="552" t="s">
        <v>763</v>
      </c>
      <c r="L2" s="552" t="s">
        <v>764</v>
      </c>
      <c r="M2" s="552" t="s">
        <v>765</v>
      </c>
      <c r="N2" s="552" t="s">
        <v>766</v>
      </c>
      <c r="O2" s="552" t="s">
        <v>767</v>
      </c>
      <c r="P2" s="513" t="s">
        <v>1008</v>
      </c>
      <c r="Q2" s="516" t="s">
        <v>1009</v>
      </c>
      <c r="R2" s="8" t="s">
        <v>770</v>
      </c>
      <c r="S2" s="8" t="s">
        <v>772</v>
      </c>
      <c r="T2" s="513" t="s">
        <v>24</v>
      </c>
      <c r="U2" s="513" t="s">
        <v>3</v>
      </c>
      <c r="V2" s="513" t="s">
        <v>1006</v>
      </c>
      <c r="W2" s="513"/>
      <c r="X2" s="551" t="s">
        <v>20</v>
      </c>
      <c r="Y2" s="552"/>
      <c r="AB2" s="291" t="s">
        <v>1</v>
      </c>
      <c r="AE2" s="282" t="e">
        <f>#REF!/#REF!</f>
        <v>#REF!</v>
      </c>
    </row>
    <row r="3" spans="1:62" ht="23.1" customHeight="1" thickBot="1">
      <c r="A3" s="257" t="s">
        <v>736</v>
      </c>
      <c r="B3" s="554">
        <v>0.85</v>
      </c>
      <c r="C3" s="555">
        <f>B3+D3+E3+F3+G3+H3+I3+J3+K3+L3+M3+N3+O3</f>
        <v>0.95000000000000007</v>
      </c>
      <c r="D3" s="651">
        <v>0.05</v>
      </c>
      <c r="E3" s="651">
        <v>0.05</v>
      </c>
      <c r="F3" s="651">
        <v>0</v>
      </c>
      <c r="G3" s="651">
        <v>0</v>
      </c>
      <c r="H3" s="651">
        <v>0</v>
      </c>
      <c r="I3" s="651">
        <v>0</v>
      </c>
      <c r="J3" s="651">
        <v>0</v>
      </c>
      <c r="K3" s="651">
        <v>0</v>
      </c>
      <c r="L3" s="651">
        <v>0</v>
      </c>
      <c r="M3" s="651">
        <v>0</v>
      </c>
      <c r="N3" s="651">
        <v>0</v>
      </c>
      <c r="O3" s="651">
        <v>0</v>
      </c>
      <c r="P3" s="701" t="s">
        <v>1546</v>
      </c>
      <c r="Q3" s="563" t="s">
        <v>1547</v>
      </c>
      <c r="R3" s="723" t="s">
        <v>797</v>
      </c>
      <c r="S3" s="723">
        <v>47</v>
      </c>
      <c r="T3" s="254" t="s">
        <v>1545</v>
      </c>
      <c r="U3" s="631" t="s">
        <v>465</v>
      </c>
      <c r="V3" s="648" t="s">
        <v>104</v>
      </c>
      <c r="W3" s="650">
        <f>BN3/1000000</f>
        <v>0</v>
      </c>
      <c r="X3" s="523" t="s">
        <v>7</v>
      </c>
      <c r="Y3" s="524" t="e">
        <f>W3-(#REF!+Y4)/1.1</f>
        <v>#REF!</v>
      </c>
      <c r="Z3" s="299" t="s">
        <v>90</v>
      </c>
      <c r="AA3" s="79" t="s">
        <v>34</v>
      </c>
      <c r="AB3" s="260"/>
      <c r="AC3" s="652" t="s">
        <v>104</v>
      </c>
      <c r="AD3" s="653">
        <v>97500000</v>
      </c>
      <c r="AE3" s="654"/>
      <c r="AF3" s="83">
        <f>SUM(AG3:BC3)</f>
        <v>0</v>
      </c>
      <c r="AG3" s="91"/>
      <c r="AH3" s="92"/>
      <c r="AI3" s="92"/>
      <c r="AJ3" s="92"/>
      <c r="AK3" s="92"/>
      <c r="AL3" s="92"/>
      <c r="AM3" s="92"/>
      <c r="AN3" s="92"/>
      <c r="AO3" s="92"/>
      <c r="AP3" s="92"/>
      <c r="AQ3" s="92"/>
      <c r="AR3" s="92"/>
      <c r="AS3" s="92"/>
      <c r="AT3" s="92"/>
      <c r="AU3" s="92"/>
      <c r="AV3" s="92"/>
      <c r="AW3" s="92"/>
      <c r="AX3" s="92"/>
      <c r="AY3" s="92"/>
      <c r="AZ3" s="92"/>
      <c r="BA3" s="92"/>
      <c r="BB3" s="92"/>
      <c r="BC3" s="92"/>
    </row>
    <row r="4" spans="1:62" ht="23.1" customHeight="1" thickBot="1">
      <c r="A4" s="258"/>
      <c r="B4" s="558"/>
      <c r="C4" s="559"/>
      <c r="D4" s="231" t="s">
        <v>1548</v>
      </c>
      <c r="E4" s="704" t="s">
        <v>1549</v>
      </c>
      <c r="F4" s="704" t="s">
        <v>1549</v>
      </c>
      <c r="G4" s="704" t="s">
        <v>1549</v>
      </c>
      <c r="H4" s="704" t="s">
        <v>1549</v>
      </c>
      <c r="I4" s="704" t="s">
        <v>1549</v>
      </c>
      <c r="J4" s="704" t="s">
        <v>1549</v>
      </c>
      <c r="K4" s="704" t="s">
        <v>1549</v>
      </c>
      <c r="L4" s="704" t="s">
        <v>1549</v>
      </c>
      <c r="M4" s="704" t="s">
        <v>1549</v>
      </c>
      <c r="N4" s="704" t="s">
        <v>1549</v>
      </c>
      <c r="O4" s="687"/>
      <c r="P4" s="702"/>
      <c r="Q4" s="564"/>
      <c r="R4" s="723"/>
      <c r="S4" s="723"/>
      <c r="T4" s="255"/>
      <c r="U4" s="531" t="s">
        <v>67</v>
      </c>
      <c r="V4" s="578" t="s">
        <v>27</v>
      </c>
      <c r="W4" s="579"/>
      <c r="X4" s="532" t="s">
        <v>207</v>
      </c>
      <c r="Y4" s="529">
        <f>BP4/1000000</f>
        <v>0</v>
      </c>
      <c r="Z4" s="85"/>
      <c r="AA4" s="69"/>
      <c r="AB4" s="261"/>
      <c r="AC4" s="656" t="s">
        <v>196</v>
      </c>
      <c r="AD4" s="657" t="e">
        <f>AD3-#REF!</f>
        <v>#REF!</v>
      </c>
      <c r="AE4" s="82" t="s">
        <v>100</v>
      </c>
      <c r="AF4" s="83"/>
      <c r="BD4" s="68"/>
      <c r="BE4" s="68"/>
      <c r="BF4" s="68"/>
      <c r="BG4" s="68"/>
      <c r="BH4" s="68"/>
      <c r="BI4" s="68"/>
      <c r="BJ4" s="68"/>
    </row>
    <row r="5" spans="1:62" ht="23.1" customHeight="1" thickBot="1">
      <c r="A5" s="257" t="s">
        <v>1550</v>
      </c>
      <c r="B5" s="554">
        <v>0.2</v>
      </c>
      <c r="C5" s="555">
        <f>B5+D5+E5+F5+G5+H5+I5+J5+K5+L5+M5+N5+O5</f>
        <v>0.2</v>
      </c>
      <c r="D5" s="651">
        <v>0</v>
      </c>
      <c r="E5" s="651">
        <v>0</v>
      </c>
      <c r="F5" s="651">
        <v>0</v>
      </c>
      <c r="G5" s="651">
        <v>0</v>
      </c>
      <c r="H5" s="636">
        <v>0</v>
      </c>
      <c r="I5" s="636">
        <v>0</v>
      </c>
      <c r="J5" s="651">
        <v>0</v>
      </c>
      <c r="K5" s="651">
        <v>0</v>
      </c>
      <c r="L5" s="651">
        <v>0</v>
      </c>
      <c r="M5" s="651">
        <v>0</v>
      </c>
      <c r="N5" s="651">
        <v>0</v>
      </c>
      <c r="O5" s="651">
        <v>0</v>
      </c>
      <c r="P5" s="701" t="s">
        <v>1553</v>
      </c>
      <c r="Q5" s="563" t="s">
        <v>1547</v>
      </c>
      <c r="R5" s="723" t="s">
        <v>1670</v>
      </c>
      <c r="S5" s="723">
        <v>51</v>
      </c>
      <c r="T5" s="254" t="s">
        <v>1551</v>
      </c>
      <c r="U5" s="631" t="s">
        <v>1552</v>
      </c>
      <c r="V5" s="648" t="s">
        <v>104</v>
      </c>
      <c r="W5" s="650">
        <f>BN5/1000000</f>
        <v>0</v>
      </c>
      <c r="X5" s="523" t="s">
        <v>7</v>
      </c>
      <c r="Y5" s="524" t="e">
        <f>W5-(#REF!+Y6)/1.1</f>
        <v>#REF!</v>
      </c>
      <c r="Z5" s="299" t="s">
        <v>90</v>
      </c>
      <c r="AA5" s="79" t="s">
        <v>34</v>
      </c>
      <c r="AB5" s="260"/>
      <c r="AC5" s="652" t="s">
        <v>104</v>
      </c>
      <c r="AD5" s="653">
        <v>10000000</v>
      </c>
      <c r="AE5" s="654"/>
      <c r="AF5" s="83">
        <f>SUM(AG5:BC5)</f>
        <v>0</v>
      </c>
      <c r="AG5" s="91"/>
      <c r="AH5" s="92"/>
      <c r="AI5" s="92"/>
      <c r="AJ5" s="92"/>
      <c r="AK5" s="92"/>
      <c r="AL5" s="92"/>
      <c r="AM5" s="92"/>
      <c r="AN5" s="92"/>
      <c r="AO5" s="92"/>
      <c r="AP5" s="92"/>
      <c r="AQ5" s="92"/>
      <c r="AR5" s="92"/>
      <c r="AS5" s="92"/>
      <c r="AT5" s="92"/>
      <c r="AU5" s="92"/>
      <c r="AV5" s="92"/>
      <c r="AW5" s="92"/>
      <c r="AX5" s="92"/>
      <c r="AY5" s="92"/>
      <c r="AZ5" s="92"/>
      <c r="BA5" s="92"/>
      <c r="BB5" s="92"/>
      <c r="BC5" s="92"/>
    </row>
    <row r="6" spans="1:62" ht="23.1" customHeight="1" thickBot="1">
      <c r="A6" s="258"/>
      <c r="B6" s="558"/>
      <c r="C6" s="559"/>
      <c r="D6" s="231" t="s">
        <v>821</v>
      </c>
      <c r="E6" s="231" t="s">
        <v>821</v>
      </c>
      <c r="F6" s="231" t="s">
        <v>821</v>
      </c>
      <c r="G6" s="231" t="s">
        <v>821</v>
      </c>
      <c r="H6" s="231" t="s">
        <v>821</v>
      </c>
      <c r="I6" s="231" t="s">
        <v>821</v>
      </c>
      <c r="J6" s="231" t="s">
        <v>821</v>
      </c>
      <c r="K6" s="231" t="s">
        <v>821</v>
      </c>
      <c r="L6" s="231" t="s">
        <v>821</v>
      </c>
      <c r="M6" s="231" t="s">
        <v>821</v>
      </c>
      <c r="N6" s="231" t="s">
        <v>821</v>
      </c>
      <c r="O6" s="687"/>
      <c r="P6" s="702"/>
      <c r="Q6" s="564"/>
      <c r="R6" s="723"/>
      <c r="S6" s="723"/>
      <c r="T6" s="255"/>
      <c r="U6" s="531" t="s">
        <v>816</v>
      </c>
      <c r="V6" s="578" t="s">
        <v>1277</v>
      </c>
      <c r="W6" s="579"/>
      <c r="X6" s="532" t="s">
        <v>1080</v>
      </c>
      <c r="Y6" s="529">
        <f>BP6/1000000</f>
        <v>0</v>
      </c>
      <c r="Z6" s="85"/>
      <c r="AA6" s="69"/>
      <c r="AB6" s="261"/>
      <c r="AC6" s="656" t="s">
        <v>817</v>
      </c>
      <c r="AD6" s="657" t="e">
        <f>AD5-#REF!</f>
        <v>#REF!</v>
      </c>
      <c r="AE6" s="82" t="s">
        <v>824</v>
      </c>
      <c r="AF6" s="83"/>
      <c r="BD6" s="68"/>
      <c r="BE6" s="68"/>
      <c r="BF6" s="68"/>
      <c r="BG6" s="68"/>
      <c r="BH6" s="68"/>
      <c r="BI6" s="68"/>
      <c r="BJ6" s="68"/>
    </row>
    <row r="7" spans="1:62" ht="23.1" customHeight="1" thickBot="1">
      <c r="A7" s="563" t="s">
        <v>829</v>
      </c>
      <c r="B7" s="554">
        <v>0.9</v>
      </c>
      <c r="C7" s="555">
        <f>B7+D7+E7+F7+G7+H7+I7+J7+K7+L7+M7+N7+O7</f>
        <v>0.9</v>
      </c>
      <c r="D7" s="651">
        <v>0</v>
      </c>
      <c r="E7" s="651">
        <v>0</v>
      </c>
      <c r="F7" s="651">
        <v>0</v>
      </c>
      <c r="G7" s="651">
        <v>0</v>
      </c>
      <c r="H7" s="636">
        <v>0</v>
      </c>
      <c r="I7" s="636">
        <v>0</v>
      </c>
      <c r="J7" s="651">
        <v>0</v>
      </c>
      <c r="K7" s="651">
        <v>0</v>
      </c>
      <c r="L7" s="651">
        <v>0</v>
      </c>
      <c r="M7" s="651">
        <v>0</v>
      </c>
      <c r="N7" s="651">
        <v>0</v>
      </c>
      <c r="O7" s="651">
        <v>0</v>
      </c>
      <c r="P7" s="701" t="s">
        <v>1556</v>
      </c>
      <c r="Q7" s="563" t="s">
        <v>1557</v>
      </c>
      <c r="R7" s="723" t="s">
        <v>1670</v>
      </c>
      <c r="S7" s="723">
        <v>220</v>
      </c>
      <c r="T7" s="254" t="s">
        <v>1555</v>
      </c>
      <c r="U7" s="631" t="s">
        <v>831</v>
      </c>
      <c r="V7" s="648" t="s">
        <v>799</v>
      </c>
      <c r="W7" s="650">
        <f>BN7/1000000</f>
        <v>0</v>
      </c>
      <c r="X7" s="523" t="s">
        <v>832</v>
      </c>
      <c r="Y7" s="524" t="e">
        <f>W7-(#REF!+Y8)/1.1</f>
        <v>#REF!</v>
      </c>
      <c r="Z7" s="299" t="s">
        <v>812</v>
      </c>
      <c r="AA7" s="79" t="s">
        <v>813</v>
      </c>
      <c r="AB7" s="260"/>
      <c r="AC7" s="652" t="s">
        <v>799</v>
      </c>
      <c r="AD7" s="653">
        <v>81000000</v>
      </c>
      <c r="AE7" s="82"/>
      <c r="AF7" s="83">
        <f>SUM(AG7:BC7)</f>
        <v>0</v>
      </c>
      <c r="AG7" s="91"/>
      <c r="AH7" s="92"/>
      <c r="AI7" s="92"/>
      <c r="AJ7" s="92"/>
      <c r="AK7" s="92"/>
      <c r="AL7" s="92"/>
      <c r="AM7" s="92"/>
      <c r="AN7" s="92"/>
      <c r="AO7" s="92"/>
      <c r="AP7" s="92"/>
      <c r="AQ7" s="92"/>
      <c r="AR7" s="92"/>
      <c r="AS7" s="92"/>
      <c r="AT7" s="92"/>
      <c r="AU7" s="92"/>
      <c r="AV7" s="92"/>
      <c r="AW7" s="92"/>
      <c r="AX7" s="92"/>
      <c r="AY7" s="92"/>
      <c r="AZ7" s="92"/>
      <c r="BA7" s="92"/>
      <c r="BB7" s="92"/>
      <c r="BC7" s="92"/>
    </row>
    <row r="8" spans="1:62" ht="23.1" customHeight="1" thickBot="1">
      <c r="A8" s="564"/>
      <c r="B8" s="558"/>
      <c r="C8" s="559"/>
      <c r="D8" s="231" t="s">
        <v>1558</v>
      </c>
      <c r="E8" s="704" t="s">
        <v>1559</v>
      </c>
      <c r="F8" s="704" t="s">
        <v>1559</v>
      </c>
      <c r="G8" s="704" t="s">
        <v>1559</v>
      </c>
      <c r="H8" s="704" t="s">
        <v>1559</v>
      </c>
      <c r="I8" s="704" t="s">
        <v>1559</v>
      </c>
      <c r="J8" s="704" t="s">
        <v>1559</v>
      </c>
      <c r="K8" s="704" t="s">
        <v>1559</v>
      </c>
      <c r="L8" s="704" t="s">
        <v>1559</v>
      </c>
      <c r="M8" s="704" t="s">
        <v>1559</v>
      </c>
      <c r="N8" s="704" t="s">
        <v>1559</v>
      </c>
      <c r="O8" s="687"/>
      <c r="P8" s="706"/>
      <c r="Q8" s="564"/>
      <c r="R8" s="723"/>
      <c r="S8" s="723"/>
      <c r="T8" s="255"/>
      <c r="U8" s="531" t="s">
        <v>816</v>
      </c>
      <c r="V8" s="578" t="s">
        <v>1277</v>
      </c>
      <c r="W8" s="579"/>
      <c r="X8" s="532" t="s">
        <v>1080</v>
      </c>
      <c r="Y8" s="529">
        <f>BP8/1000000</f>
        <v>0</v>
      </c>
      <c r="Z8" s="85"/>
      <c r="AA8" s="69"/>
      <c r="AB8" s="261"/>
      <c r="AC8" s="656" t="s">
        <v>817</v>
      </c>
      <c r="AD8" s="657" t="e">
        <f>AD7-#REF!</f>
        <v>#REF!</v>
      </c>
      <c r="AE8" s="82" t="s">
        <v>824</v>
      </c>
      <c r="AF8" s="83"/>
      <c r="BD8" s="68"/>
      <c r="BE8" s="68"/>
      <c r="BF8" s="68"/>
      <c r="BG8" s="68"/>
      <c r="BH8" s="68"/>
      <c r="BI8" s="68"/>
      <c r="BJ8" s="68"/>
    </row>
    <row r="9" spans="1:62" ht="23.1" customHeight="1" thickBot="1">
      <c r="A9" s="257" t="s">
        <v>848</v>
      </c>
      <c r="B9" s="681">
        <v>0.94</v>
      </c>
      <c r="C9" s="555">
        <f>B9+D9+E9+F9+G9+H9+J9+K9+I9+L9+M9+N9+O9</f>
        <v>1</v>
      </c>
      <c r="D9" s="651">
        <v>0</v>
      </c>
      <c r="E9" s="651">
        <v>0</v>
      </c>
      <c r="F9" s="651">
        <v>0</v>
      </c>
      <c r="G9" s="636">
        <v>0.06</v>
      </c>
      <c r="H9" s="636">
        <v>0</v>
      </c>
      <c r="I9" s="636">
        <v>0</v>
      </c>
      <c r="J9" s="636">
        <v>0</v>
      </c>
      <c r="K9" s="636">
        <v>0</v>
      </c>
      <c r="L9" s="636">
        <v>0</v>
      </c>
      <c r="M9" s="651">
        <v>0</v>
      </c>
      <c r="N9" s="651">
        <v>0</v>
      </c>
      <c r="O9" s="651">
        <v>0</v>
      </c>
      <c r="P9" s="701" t="s">
        <v>1562</v>
      </c>
      <c r="Q9" s="563" t="s">
        <v>1557</v>
      </c>
      <c r="R9" s="723" t="s">
        <v>1670</v>
      </c>
      <c r="S9" s="723">
        <v>233</v>
      </c>
      <c r="T9" s="250" t="s">
        <v>1560</v>
      </c>
      <c r="U9" s="631" t="s">
        <v>1561</v>
      </c>
      <c r="V9" s="660" t="s">
        <v>799</v>
      </c>
      <c r="W9" s="661">
        <f>BN9/1000000</f>
        <v>0</v>
      </c>
      <c r="X9" s="634" t="s">
        <v>832</v>
      </c>
      <c r="Y9" s="524" t="e">
        <f>W9-(#REF!+Y10)/1.1</f>
        <v>#REF!</v>
      </c>
      <c r="Z9" s="299" t="s">
        <v>812</v>
      </c>
      <c r="AA9" s="79" t="s">
        <v>813</v>
      </c>
      <c r="AB9" s="260" t="s">
        <v>1563</v>
      </c>
      <c r="AC9" s="652" t="s">
        <v>799</v>
      </c>
      <c r="AD9" s="653">
        <v>19250000</v>
      </c>
      <c r="AE9" s="82"/>
      <c r="AF9" s="83">
        <f>SUM(AG9:BC9)</f>
        <v>0</v>
      </c>
      <c r="AG9" s="91"/>
      <c r="AH9" s="92"/>
      <c r="AI9" s="92"/>
      <c r="AJ9" s="92"/>
      <c r="AK9" s="92"/>
      <c r="AL9" s="92"/>
      <c r="AM9" s="92"/>
      <c r="AN9" s="92"/>
      <c r="AO9" s="92"/>
      <c r="AP9" s="92"/>
      <c r="AQ9" s="92"/>
      <c r="AR9" s="92"/>
      <c r="AS9" s="92"/>
      <c r="AT9" s="92"/>
      <c r="AU9" s="92"/>
      <c r="AV9" s="92"/>
      <c r="AW9" s="92"/>
      <c r="AX9" s="92"/>
      <c r="AY9" s="92"/>
      <c r="AZ9" s="92"/>
      <c r="BA9" s="92"/>
      <c r="BB9" s="92"/>
      <c r="BC9" s="92"/>
    </row>
    <row r="10" spans="1:62" ht="23.1" customHeight="1" thickBot="1">
      <c r="A10" s="258"/>
      <c r="B10" s="685"/>
      <c r="C10" s="559"/>
      <c r="D10" s="231" t="s">
        <v>1558</v>
      </c>
      <c r="E10" s="704" t="s">
        <v>1559</v>
      </c>
      <c r="F10" s="704" t="s">
        <v>1559</v>
      </c>
      <c r="G10" s="687" t="s">
        <v>1564</v>
      </c>
      <c r="H10" s="687" t="s">
        <v>996</v>
      </c>
      <c r="I10" s="687" t="s">
        <v>996</v>
      </c>
      <c r="J10" s="687" t="s">
        <v>996</v>
      </c>
      <c r="K10" s="687" t="s">
        <v>996</v>
      </c>
      <c r="L10" s="687" t="s">
        <v>996</v>
      </c>
      <c r="M10" s="687" t="s">
        <v>996</v>
      </c>
      <c r="N10" s="687" t="s">
        <v>996</v>
      </c>
      <c r="O10" s="687"/>
      <c r="P10" s="706"/>
      <c r="Q10" s="564"/>
      <c r="R10" s="723"/>
      <c r="S10" s="723"/>
      <c r="T10" s="251"/>
      <c r="U10" s="640" t="s">
        <v>816</v>
      </c>
      <c r="V10" s="707" t="s">
        <v>1277</v>
      </c>
      <c r="W10" s="708"/>
      <c r="X10" s="641" t="s">
        <v>1080</v>
      </c>
      <c r="Y10" s="529">
        <f>BP10/1000000</f>
        <v>0</v>
      </c>
      <c r="Z10" s="85"/>
      <c r="AA10" s="69"/>
      <c r="AB10" s="261"/>
      <c r="AC10" s="656" t="s">
        <v>817</v>
      </c>
      <c r="AD10" s="657" t="e">
        <f>AD9-#REF!</f>
        <v>#REF!</v>
      </c>
      <c r="AE10" s="82" t="s">
        <v>824</v>
      </c>
      <c r="AF10" s="83"/>
      <c r="BD10" s="68"/>
      <c r="BE10" s="68"/>
      <c r="BF10" s="68"/>
      <c r="BG10" s="68"/>
      <c r="BH10" s="68"/>
      <c r="BI10" s="68"/>
      <c r="BJ10" s="68"/>
    </row>
    <row r="11" spans="1:62" ht="23.1" customHeight="1" thickBot="1">
      <c r="A11" s="507" t="s">
        <v>1565</v>
      </c>
      <c r="B11" s="681">
        <v>0.4</v>
      </c>
      <c r="C11" s="555">
        <f>B11+D11+E11+F11+G11+H11+J11+K11+I11+L11+M11+N11+O11</f>
        <v>0.4</v>
      </c>
      <c r="D11" s="651">
        <v>0</v>
      </c>
      <c r="E11" s="651">
        <v>0</v>
      </c>
      <c r="F11" s="651">
        <v>0</v>
      </c>
      <c r="G11" s="651">
        <v>0</v>
      </c>
      <c r="H11" s="636">
        <v>0</v>
      </c>
      <c r="I11" s="636">
        <v>0</v>
      </c>
      <c r="J11" s="636">
        <v>0</v>
      </c>
      <c r="K11" s="636">
        <v>0</v>
      </c>
      <c r="L11" s="636">
        <v>0</v>
      </c>
      <c r="M11" s="651">
        <v>0</v>
      </c>
      <c r="N11" s="651">
        <v>0</v>
      </c>
      <c r="O11" s="651">
        <v>0</v>
      </c>
      <c r="P11" s="701" t="s">
        <v>1568</v>
      </c>
      <c r="Q11" s="563" t="s">
        <v>1569</v>
      </c>
      <c r="R11" s="723"/>
      <c r="S11" s="723"/>
      <c r="T11" s="254" t="s">
        <v>1566</v>
      </c>
      <c r="U11" s="631" t="s">
        <v>1567</v>
      </c>
      <c r="V11" s="660" t="s">
        <v>1354</v>
      </c>
      <c r="W11" s="661">
        <f>BN11/1000000</f>
        <v>0</v>
      </c>
      <c r="X11" s="634" t="s">
        <v>1355</v>
      </c>
      <c r="Y11" s="524" t="e">
        <f>W11-(#REF!+Y12)/1.1</f>
        <v>#REF!</v>
      </c>
      <c r="Z11" s="299" t="s">
        <v>1356</v>
      </c>
      <c r="AA11" s="79" t="s">
        <v>1357</v>
      </c>
      <c r="AB11" s="260"/>
      <c r="AC11" s="80" t="s">
        <v>1354</v>
      </c>
      <c r="AD11" s="81">
        <v>0</v>
      </c>
      <c r="AE11" s="82"/>
      <c r="AF11" s="83">
        <f>SUM(AG11:BC11)</f>
        <v>0</v>
      </c>
      <c r="AG11" s="91"/>
      <c r="AH11" s="92"/>
      <c r="AI11" s="92"/>
      <c r="AJ11" s="92"/>
      <c r="AK11" s="102"/>
      <c r="AL11" s="102"/>
      <c r="AM11" s="102"/>
      <c r="AN11" s="102"/>
      <c r="AO11" s="102"/>
      <c r="AP11" s="102"/>
      <c r="AQ11" s="102"/>
      <c r="AR11" s="102"/>
      <c r="AS11" s="102"/>
      <c r="AT11" s="102"/>
      <c r="AU11" s="102"/>
      <c r="AV11" s="102"/>
      <c r="AW11" s="102"/>
      <c r="AX11" s="102"/>
      <c r="AY11" s="102"/>
      <c r="AZ11" s="102"/>
      <c r="BA11" s="102"/>
      <c r="BB11" s="102"/>
      <c r="BC11" s="102"/>
    </row>
    <row r="12" spans="1:62" ht="23.1" customHeight="1" thickBot="1">
      <c r="A12" s="508" t="s">
        <v>1061</v>
      </c>
      <c r="B12" s="685"/>
      <c r="C12" s="559"/>
      <c r="D12" s="704" t="s">
        <v>1573</v>
      </c>
      <c r="E12" s="704" t="s">
        <v>1573</v>
      </c>
      <c r="F12" s="704" t="s">
        <v>1573</v>
      </c>
      <c r="G12" s="704" t="s">
        <v>1574</v>
      </c>
      <c r="H12" s="704" t="s">
        <v>1574</v>
      </c>
      <c r="I12" s="704" t="s">
        <v>1574</v>
      </c>
      <c r="J12" s="704" t="s">
        <v>1574</v>
      </c>
      <c r="K12" s="704" t="s">
        <v>1574</v>
      </c>
      <c r="L12" s="704" t="s">
        <v>1574</v>
      </c>
      <c r="M12" s="704" t="s">
        <v>1574</v>
      </c>
      <c r="N12" s="704" t="s">
        <v>1574</v>
      </c>
      <c r="O12" s="687"/>
      <c r="P12" s="706"/>
      <c r="Q12" s="564"/>
      <c r="R12" s="723"/>
      <c r="S12" s="723"/>
      <c r="T12" s="255"/>
      <c r="U12" s="640" t="s">
        <v>1571</v>
      </c>
      <c r="V12" s="707" t="s">
        <v>1572</v>
      </c>
      <c r="W12" s="708"/>
      <c r="X12" s="641" t="s">
        <v>1570</v>
      </c>
      <c r="Y12" s="529">
        <f>BP12/1000000</f>
        <v>0</v>
      </c>
      <c r="Z12" s="85"/>
      <c r="AA12" s="69"/>
      <c r="AB12" s="261"/>
      <c r="AC12" s="80" t="s">
        <v>1575</v>
      </c>
      <c r="AD12" s="81" t="e">
        <f>AD11-#REF!</f>
        <v>#REF!</v>
      </c>
      <c r="AE12" s="82" t="s">
        <v>1358</v>
      </c>
      <c r="AF12" s="83"/>
      <c r="AK12" s="662"/>
      <c r="AL12" s="662"/>
      <c r="AM12" s="662"/>
      <c r="AN12" s="662"/>
      <c r="AO12" s="662"/>
      <c r="AP12" s="662"/>
      <c r="AQ12" s="662"/>
      <c r="AR12" s="662"/>
      <c r="AS12" s="662"/>
      <c r="AT12" s="662"/>
      <c r="AU12" s="662"/>
      <c r="AV12" s="662"/>
      <c r="AW12" s="662"/>
      <c r="AX12" s="662"/>
      <c r="AY12" s="662"/>
      <c r="AZ12" s="662"/>
      <c r="BA12" s="662"/>
      <c r="BB12" s="662"/>
      <c r="BC12" s="662"/>
      <c r="BD12" s="68"/>
      <c r="BE12" s="68"/>
      <c r="BF12" s="68"/>
      <c r="BG12" s="68"/>
      <c r="BH12" s="68"/>
      <c r="BI12" s="68"/>
      <c r="BJ12" s="68"/>
    </row>
    <row r="13" spans="1:62" ht="23.1" customHeight="1" thickBot="1">
      <c r="A13" s="257" t="s">
        <v>1576</v>
      </c>
      <c r="B13" s="681">
        <v>0.5</v>
      </c>
      <c r="C13" s="555">
        <f>B13+D13+E13+F13+G13+H13+J13+K13+I13+L13+M13+N13+O13</f>
        <v>0.5</v>
      </c>
      <c r="D13" s="636">
        <v>0</v>
      </c>
      <c r="E13" s="636">
        <v>0</v>
      </c>
      <c r="F13" s="651">
        <v>0</v>
      </c>
      <c r="G13" s="651">
        <v>0</v>
      </c>
      <c r="H13" s="636">
        <v>0</v>
      </c>
      <c r="I13" s="636">
        <v>0</v>
      </c>
      <c r="J13" s="636">
        <v>0</v>
      </c>
      <c r="K13" s="636">
        <v>0</v>
      </c>
      <c r="L13" s="636">
        <v>0</v>
      </c>
      <c r="M13" s="651">
        <v>0</v>
      </c>
      <c r="N13" s="651">
        <v>0</v>
      </c>
      <c r="O13" s="651">
        <v>0</v>
      </c>
      <c r="P13" s="701" t="s">
        <v>1579</v>
      </c>
      <c r="Q13" s="563" t="s">
        <v>1580</v>
      </c>
      <c r="R13" s="723" t="s">
        <v>1670</v>
      </c>
      <c r="S13" s="723">
        <v>245</v>
      </c>
      <c r="T13" s="254" t="s">
        <v>1577</v>
      </c>
      <c r="U13" s="631" t="s">
        <v>1578</v>
      </c>
      <c r="V13" s="660" t="s">
        <v>1354</v>
      </c>
      <c r="W13" s="661">
        <f>BN13/1000000</f>
        <v>0</v>
      </c>
      <c r="X13" s="634" t="s">
        <v>1355</v>
      </c>
      <c r="Y13" s="524" t="e">
        <f>W13-(#REF!+Y14)/1.1</f>
        <v>#REF!</v>
      </c>
      <c r="Z13" s="299" t="s">
        <v>1356</v>
      </c>
      <c r="AA13" s="79" t="s">
        <v>1357</v>
      </c>
      <c r="AB13" s="691"/>
      <c r="AC13" s="663" t="s">
        <v>1354</v>
      </c>
      <c r="AD13" s="664">
        <f>35000000</f>
        <v>35000000</v>
      </c>
      <c r="AE13" s="101"/>
      <c r="AF13" s="83">
        <f>SUM(AG13:BC13)</f>
        <v>0</v>
      </c>
      <c r="AG13" s="665"/>
      <c r="AH13" s="102"/>
      <c r="AI13" s="102"/>
      <c r="AJ13" s="102"/>
      <c r="AK13" s="92"/>
      <c r="AL13" s="92"/>
      <c r="AM13" s="92"/>
      <c r="AN13" s="92"/>
      <c r="AO13" s="92"/>
      <c r="AP13" s="92"/>
      <c r="AQ13" s="92"/>
      <c r="AR13" s="92"/>
      <c r="AS13" s="92"/>
      <c r="AT13" s="92"/>
      <c r="AU13" s="92"/>
      <c r="AV13" s="92"/>
      <c r="AW13" s="92"/>
      <c r="AX13" s="92"/>
      <c r="AY13" s="92"/>
      <c r="AZ13" s="92"/>
      <c r="BA13" s="92"/>
      <c r="BB13" s="92"/>
      <c r="BC13" s="92"/>
    </row>
    <row r="14" spans="1:62" ht="23.1" customHeight="1" thickBot="1">
      <c r="A14" s="258"/>
      <c r="B14" s="685"/>
      <c r="C14" s="559"/>
      <c r="D14" s="704" t="s">
        <v>821</v>
      </c>
      <c r="E14" s="704" t="s">
        <v>821</v>
      </c>
      <c r="F14" s="704" t="s">
        <v>821</v>
      </c>
      <c r="G14" s="704" t="s">
        <v>821</v>
      </c>
      <c r="H14" s="704" t="s">
        <v>821</v>
      </c>
      <c r="I14" s="704" t="s">
        <v>821</v>
      </c>
      <c r="J14" s="704" t="s">
        <v>821</v>
      </c>
      <c r="K14" s="704" t="s">
        <v>821</v>
      </c>
      <c r="L14" s="704" t="s">
        <v>821</v>
      </c>
      <c r="M14" s="704" t="s">
        <v>821</v>
      </c>
      <c r="N14" s="704" t="s">
        <v>821</v>
      </c>
      <c r="O14" s="687"/>
      <c r="P14" s="706"/>
      <c r="Q14" s="564"/>
      <c r="R14" s="723"/>
      <c r="S14" s="723"/>
      <c r="T14" s="255"/>
      <c r="U14" s="640" t="s">
        <v>816</v>
      </c>
      <c r="V14" s="707" t="s">
        <v>1277</v>
      </c>
      <c r="W14" s="708"/>
      <c r="X14" s="641" t="s">
        <v>1080</v>
      </c>
      <c r="Y14" s="529">
        <f>BP14/1000000</f>
        <v>0</v>
      </c>
      <c r="Z14" s="85"/>
      <c r="AA14" s="69"/>
      <c r="AB14" s="692"/>
      <c r="AC14" s="656" t="s">
        <v>817</v>
      </c>
      <c r="AD14" s="657" t="e">
        <f>AD13-#REF!</f>
        <v>#REF!</v>
      </c>
      <c r="AE14" s="101" t="s">
        <v>824</v>
      </c>
      <c r="AF14" s="83"/>
      <c r="AG14" s="662"/>
      <c r="AH14" s="662"/>
      <c r="AI14" s="662"/>
      <c r="AJ14" s="662"/>
      <c r="BD14" s="68"/>
      <c r="BE14" s="68"/>
      <c r="BF14" s="68"/>
      <c r="BG14" s="68"/>
      <c r="BH14" s="68"/>
      <c r="BI14" s="68"/>
      <c r="BJ14" s="68"/>
    </row>
    <row r="15" spans="1:62" ht="23.1" customHeight="1" thickBot="1">
      <c r="A15" s="563" t="s">
        <v>1581</v>
      </c>
      <c r="B15" s="681">
        <v>0.3</v>
      </c>
      <c r="C15" s="555">
        <f>B15+D15+E15+F15+G15+H15+J15+K15+I15+L15+M15+N15+O15</f>
        <v>0.85000000000000009</v>
      </c>
      <c r="D15" s="636">
        <v>0</v>
      </c>
      <c r="E15" s="636">
        <v>0</v>
      </c>
      <c r="F15" s="636">
        <v>0.05</v>
      </c>
      <c r="G15" s="636">
        <v>0.1</v>
      </c>
      <c r="H15" s="636">
        <v>0.05</v>
      </c>
      <c r="I15" s="636">
        <v>0.02</v>
      </c>
      <c r="J15" s="636">
        <v>0.03</v>
      </c>
      <c r="K15" s="636">
        <v>0.05</v>
      </c>
      <c r="L15" s="636">
        <v>0.15</v>
      </c>
      <c r="M15" s="651">
        <v>0.05</v>
      </c>
      <c r="N15" s="651">
        <v>0.05</v>
      </c>
      <c r="O15" s="651">
        <v>0</v>
      </c>
      <c r="P15" s="709" t="s">
        <v>1584</v>
      </c>
      <c r="Q15" s="563" t="s">
        <v>1557</v>
      </c>
      <c r="R15" s="723" t="s">
        <v>1670</v>
      </c>
      <c r="S15" s="723">
        <v>350</v>
      </c>
      <c r="T15" s="250" t="s">
        <v>1582</v>
      </c>
      <c r="U15" s="631" t="s">
        <v>1583</v>
      </c>
      <c r="V15" s="660" t="s">
        <v>799</v>
      </c>
      <c r="W15" s="661">
        <f>BN15/1000000</f>
        <v>0</v>
      </c>
      <c r="X15" s="634" t="s">
        <v>832</v>
      </c>
      <c r="Y15" s="524" t="e">
        <f>W15-(#REF!+Y16)/1.1</f>
        <v>#REF!</v>
      </c>
      <c r="Z15" s="299" t="s">
        <v>812</v>
      </c>
      <c r="AA15" s="79" t="s">
        <v>813</v>
      </c>
      <c r="AB15" s="260"/>
      <c r="AC15" s="652" t="s">
        <v>799</v>
      </c>
      <c r="AD15" s="653">
        <v>246000000</v>
      </c>
      <c r="AE15" s="82"/>
      <c r="AF15" s="83">
        <f>SUM(AG15:BC15)</f>
        <v>0</v>
      </c>
      <c r="AG15" s="91"/>
      <c r="AH15" s="92"/>
      <c r="AI15" s="92"/>
      <c r="AJ15" s="92"/>
      <c r="AK15" s="92"/>
      <c r="AL15" s="92"/>
      <c r="AM15" s="92"/>
      <c r="AN15" s="92"/>
      <c r="AO15" s="92"/>
      <c r="AP15" s="92"/>
      <c r="AQ15" s="92"/>
      <c r="AR15" s="92"/>
      <c r="AS15" s="92"/>
      <c r="AT15" s="92"/>
      <c r="AU15" s="92"/>
      <c r="AV15" s="92"/>
      <c r="AW15" s="92"/>
      <c r="AX15" s="92"/>
      <c r="AY15" s="92"/>
      <c r="AZ15" s="92"/>
      <c r="BA15" s="92"/>
      <c r="BB15" s="92"/>
      <c r="BC15" s="92"/>
    </row>
    <row r="16" spans="1:62" ht="23.1" customHeight="1" thickBot="1">
      <c r="A16" s="564"/>
      <c r="B16" s="685"/>
      <c r="C16" s="559"/>
      <c r="D16" s="704" t="s">
        <v>1586</v>
      </c>
      <c r="E16" s="704" t="s">
        <v>1587</v>
      </c>
      <c r="F16" s="704" t="s">
        <v>1587</v>
      </c>
      <c r="G16" s="704" t="s">
        <v>1587</v>
      </c>
      <c r="H16" s="687" t="s">
        <v>1588</v>
      </c>
      <c r="I16" s="687" t="s">
        <v>1589</v>
      </c>
      <c r="J16" s="687" t="s">
        <v>1589</v>
      </c>
      <c r="K16" s="711" t="s">
        <v>1590</v>
      </c>
      <c r="L16" s="711" t="s">
        <v>1590</v>
      </c>
      <c r="M16" s="711" t="s">
        <v>1591</v>
      </c>
      <c r="N16" s="711" t="s">
        <v>1592</v>
      </c>
      <c r="O16" s="687"/>
      <c r="P16" s="710"/>
      <c r="Q16" s="564"/>
      <c r="R16" s="723"/>
      <c r="S16" s="723"/>
      <c r="T16" s="251"/>
      <c r="U16" s="640" t="s">
        <v>1585</v>
      </c>
      <c r="V16" s="707" t="s">
        <v>1277</v>
      </c>
      <c r="W16" s="708"/>
      <c r="X16" s="641" t="s">
        <v>1080</v>
      </c>
      <c r="Y16" s="529">
        <f>BP16/1000000</f>
        <v>0</v>
      </c>
      <c r="Z16" s="85"/>
      <c r="AA16" s="69"/>
      <c r="AB16" s="261"/>
      <c r="AC16" s="666" t="s">
        <v>817</v>
      </c>
      <c r="AD16" s="657" t="e">
        <f>AD15-#REF!</f>
        <v>#REF!</v>
      </c>
      <c r="AE16" s="82" t="s">
        <v>824</v>
      </c>
      <c r="AF16" s="83"/>
      <c r="BD16" s="68"/>
      <c r="BE16" s="68"/>
      <c r="BF16" s="68"/>
      <c r="BG16" s="68"/>
      <c r="BH16" s="68"/>
      <c r="BI16" s="68"/>
      <c r="BJ16" s="68"/>
    </row>
    <row r="17" spans="1:62" ht="23.1" customHeight="1" thickBot="1">
      <c r="A17" s="257" t="s">
        <v>1594</v>
      </c>
      <c r="B17" s="681">
        <v>0.99</v>
      </c>
      <c r="C17" s="211">
        <f>B17+D17+E17+F17+G17+H17+I17+J17+K17+L17+M17+N17+O17</f>
        <v>0.99</v>
      </c>
      <c r="D17" s="636">
        <v>0</v>
      </c>
      <c r="E17" s="636">
        <v>0</v>
      </c>
      <c r="F17" s="636">
        <v>0</v>
      </c>
      <c r="G17" s="636">
        <v>0</v>
      </c>
      <c r="H17" s="636">
        <v>0</v>
      </c>
      <c r="I17" s="636">
        <v>0</v>
      </c>
      <c r="J17" s="636">
        <v>0</v>
      </c>
      <c r="K17" s="636">
        <v>0</v>
      </c>
      <c r="L17" s="636">
        <v>0</v>
      </c>
      <c r="M17" s="651">
        <v>0</v>
      </c>
      <c r="N17" s="651">
        <v>0</v>
      </c>
      <c r="O17" s="651">
        <v>0</v>
      </c>
      <c r="P17" s="631" t="s">
        <v>1597</v>
      </c>
      <c r="Q17" s="563" t="s">
        <v>1598</v>
      </c>
      <c r="R17" s="723" t="s">
        <v>1670</v>
      </c>
      <c r="S17" s="723">
        <v>269</v>
      </c>
      <c r="T17" s="206" t="s">
        <v>1595</v>
      </c>
      <c r="U17" s="643" t="s">
        <v>1596</v>
      </c>
      <c r="V17" s="660" t="s">
        <v>799</v>
      </c>
      <c r="W17" s="661">
        <f>BN17/1000000</f>
        <v>0</v>
      </c>
      <c r="X17" s="634" t="s">
        <v>832</v>
      </c>
      <c r="Y17" s="524" t="e">
        <f>W17-(#REF!+Y18)/1.1</f>
        <v>#REF!</v>
      </c>
      <c r="Z17" s="299" t="s">
        <v>812</v>
      </c>
      <c r="AA17" s="79" t="s">
        <v>813</v>
      </c>
      <c r="AB17" s="260"/>
      <c r="AC17" s="652" t="s">
        <v>799</v>
      </c>
      <c r="AD17" s="667">
        <v>10000000</v>
      </c>
      <c r="AE17" s="82"/>
      <c r="AF17" s="83">
        <f>SUM(AG17:BC17)</f>
        <v>0</v>
      </c>
      <c r="AG17" s="91"/>
      <c r="AH17" s="92"/>
      <c r="AI17" s="92"/>
      <c r="AJ17" s="92"/>
      <c r="AK17" s="92"/>
      <c r="AL17" s="92"/>
      <c r="AM17" s="92"/>
      <c r="AN17" s="92"/>
      <c r="AO17" s="92"/>
      <c r="AP17" s="92"/>
      <c r="AQ17" s="92"/>
      <c r="AR17" s="92"/>
      <c r="AS17" s="92"/>
      <c r="AT17" s="92"/>
      <c r="AU17" s="92"/>
      <c r="AV17" s="92"/>
      <c r="AW17" s="92"/>
      <c r="AX17" s="92"/>
      <c r="AY17" s="92"/>
      <c r="AZ17" s="92"/>
      <c r="BA17" s="92"/>
      <c r="BB17" s="92"/>
      <c r="BC17" s="92"/>
    </row>
    <row r="18" spans="1:62" ht="23.1" customHeight="1" thickBot="1">
      <c r="A18" s="258"/>
      <c r="B18" s="685"/>
      <c r="C18" s="212"/>
      <c r="D18" s="687" t="s">
        <v>1599</v>
      </c>
      <c r="E18" s="687" t="s">
        <v>1599</v>
      </c>
      <c r="F18" s="687" t="s">
        <v>1599</v>
      </c>
      <c r="G18" s="687" t="s">
        <v>1599</v>
      </c>
      <c r="H18" s="687" t="s">
        <v>1599</v>
      </c>
      <c r="I18" s="687" t="s">
        <v>1599</v>
      </c>
      <c r="J18" s="687" t="s">
        <v>1599</v>
      </c>
      <c r="K18" s="687" t="s">
        <v>1599</v>
      </c>
      <c r="L18" s="687" t="s">
        <v>1599</v>
      </c>
      <c r="M18" s="687" t="s">
        <v>1599</v>
      </c>
      <c r="N18" s="687" t="s">
        <v>1599</v>
      </c>
      <c r="O18" s="687"/>
      <c r="P18" s="713"/>
      <c r="Q18" s="564"/>
      <c r="R18" s="723"/>
      <c r="S18" s="723"/>
      <c r="T18" s="207"/>
      <c r="U18" s="229" t="s">
        <v>816</v>
      </c>
      <c r="V18" s="707" t="s">
        <v>1277</v>
      </c>
      <c r="W18" s="708"/>
      <c r="X18" s="641" t="s">
        <v>1080</v>
      </c>
      <c r="Y18" s="529">
        <f>BP18/1000000</f>
        <v>0</v>
      </c>
      <c r="Z18" s="85"/>
      <c r="AA18" s="69"/>
      <c r="AB18" s="261"/>
      <c r="AC18" s="666" t="s">
        <v>817</v>
      </c>
      <c r="AD18" s="668" t="e">
        <f>AD17-#REF!</f>
        <v>#REF!</v>
      </c>
      <c r="AE18" s="82" t="s">
        <v>824</v>
      </c>
      <c r="AF18" s="83"/>
      <c r="BD18" s="68"/>
      <c r="BE18" s="68"/>
      <c r="BF18" s="68"/>
      <c r="BG18" s="68"/>
      <c r="BH18" s="68"/>
      <c r="BI18" s="68"/>
      <c r="BJ18" s="68"/>
    </row>
    <row r="19" spans="1:62" ht="23.1" customHeight="1" thickBot="1">
      <c r="A19" s="257" t="s">
        <v>1600</v>
      </c>
      <c r="B19" s="681">
        <v>0.15</v>
      </c>
      <c r="C19" s="211">
        <f>B19+D19+E19+F19+G19+H19+I19+J19+K19+L19+M19+N19+O19</f>
        <v>0.8</v>
      </c>
      <c r="D19" s="636">
        <v>0</v>
      </c>
      <c r="E19" s="636">
        <v>0</v>
      </c>
      <c r="F19" s="636">
        <v>0</v>
      </c>
      <c r="G19" s="636">
        <v>0</v>
      </c>
      <c r="H19" s="636">
        <v>0.15</v>
      </c>
      <c r="I19" s="636">
        <v>0.1</v>
      </c>
      <c r="J19" s="636">
        <v>0.1</v>
      </c>
      <c r="K19" s="636">
        <v>0.25</v>
      </c>
      <c r="L19" s="636">
        <v>0.05</v>
      </c>
      <c r="M19" s="651">
        <v>0</v>
      </c>
      <c r="N19" s="651">
        <v>0</v>
      </c>
      <c r="O19" s="651">
        <v>0</v>
      </c>
      <c r="P19" s="631" t="s">
        <v>1603</v>
      </c>
      <c r="Q19" s="563" t="s">
        <v>1604</v>
      </c>
      <c r="R19" s="723" t="s">
        <v>1670</v>
      </c>
      <c r="S19" s="723">
        <v>319</v>
      </c>
      <c r="T19" s="206" t="s">
        <v>1601</v>
      </c>
      <c r="U19" s="645" t="s">
        <v>1602</v>
      </c>
      <c r="V19" s="660" t="s">
        <v>799</v>
      </c>
      <c r="W19" s="661">
        <f>BN19/1000000</f>
        <v>0</v>
      </c>
      <c r="X19" s="634" t="s">
        <v>832</v>
      </c>
      <c r="Y19" s="524" t="e">
        <f>W19-(#REF!+Y20)/1.1</f>
        <v>#REF!</v>
      </c>
      <c r="Z19" s="299" t="s">
        <v>812</v>
      </c>
      <c r="AA19" s="79" t="s">
        <v>813</v>
      </c>
      <c r="AB19" s="260"/>
      <c r="AC19" s="652" t="s">
        <v>799</v>
      </c>
      <c r="AD19" s="653">
        <v>4000000</v>
      </c>
      <c r="AE19" s="82"/>
      <c r="AF19" s="83">
        <f>SUM(AG19:BC19)</f>
        <v>0</v>
      </c>
      <c r="AG19" s="91"/>
      <c r="AH19" s="92"/>
      <c r="AI19" s="92"/>
      <c r="AJ19" s="92"/>
      <c r="AK19" s="92"/>
      <c r="AL19" s="92"/>
      <c r="AM19" s="92"/>
      <c r="AN19" s="92"/>
      <c r="AO19" s="92"/>
      <c r="AP19" s="92"/>
      <c r="AQ19" s="92"/>
      <c r="AR19" s="92"/>
      <c r="AS19" s="92"/>
      <c r="AT19" s="92"/>
      <c r="AU19" s="92"/>
      <c r="AV19" s="92"/>
      <c r="AW19" s="92"/>
      <c r="AX19" s="92"/>
      <c r="AY19" s="92"/>
      <c r="AZ19" s="92"/>
      <c r="BA19" s="92"/>
      <c r="BB19" s="92"/>
      <c r="BC19" s="92"/>
    </row>
    <row r="20" spans="1:62" ht="23.1" customHeight="1" thickBot="1">
      <c r="A20" s="258"/>
      <c r="B20" s="685"/>
      <c r="C20" s="212"/>
      <c r="D20" s="687" t="s">
        <v>1605</v>
      </c>
      <c r="E20" s="704" t="s">
        <v>821</v>
      </c>
      <c r="F20" s="704" t="s">
        <v>821</v>
      </c>
      <c r="G20" s="704" t="s">
        <v>821</v>
      </c>
      <c r="H20" s="687" t="s">
        <v>1606</v>
      </c>
      <c r="I20" s="687" t="s">
        <v>1607</v>
      </c>
      <c r="J20" s="687" t="s">
        <v>1607</v>
      </c>
      <c r="K20" s="687" t="s">
        <v>1607</v>
      </c>
      <c r="L20" s="687" t="s">
        <v>1607</v>
      </c>
      <c r="M20" s="704" t="s">
        <v>821</v>
      </c>
      <c r="N20" s="704" t="s">
        <v>821</v>
      </c>
      <c r="O20" s="687"/>
      <c r="P20" s="713"/>
      <c r="Q20" s="564"/>
      <c r="R20" s="723"/>
      <c r="S20" s="723"/>
      <c r="T20" s="207"/>
      <c r="U20" s="229" t="s">
        <v>816</v>
      </c>
      <c r="V20" s="707" t="s">
        <v>1277</v>
      </c>
      <c r="W20" s="708"/>
      <c r="X20" s="641" t="s">
        <v>1080</v>
      </c>
      <c r="Y20" s="529">
        <f>BP20/1000000</f>
        <v>0</v>
      </c>
      <c r="Z20" s="85"/>
      <c r="AA20" s="69"/>
      <c r="AB20" s="261"/>
      <c r="AC20" s="666" t="s">
        <v>817</v>
      </c>
      <c r="AD20" s="657" t="e">
        <f>AD19-#REF!</f>
        <v>#REF!</v>
      </c>
      <c r="AE20" s="82" t="s">
        <v>824</v>
      </c>
      <c r="AF20" s="83"/>
      <c r="BD20" s="68"/>
      <c r="BE20" s="68"/>
      <c r="BF20" s="68"/>
      <c r="BG20" s="68"/>
      <c r="BH20" s="68"/>
      <c r="BI20" s="68"/>
      <c r="BJ20" s="68"/>
    </row>
    <row r="21" spans="1:62" ht="23.1" customHeight="1" thickBot="1">
      <c r="A21" s="563" t="s">
        <v>1608</v>
      </c>
      <c r="B21" s="234">
        <v>0.65</v>
      </c>
      <c r="C21" s="211">
        <f>B21+D21+E21+F21+G21+H21+I21+J21+K21+L21+M21+N21+O21</f>
        <v>1</v>
      </c>
      <c r="D21" s="636">
        <v>0.05</v>
      </c>
      <c r="E21" s="636">
        <v>0.05</v>
      </c>
      <c r="F21" s="636">
        <v>0.1</v>
      </c>
      <c r="G21" s="636">
        <v>0</v>
      </c>
      <c r="H21" s="636">
        <v>0</v>
      </c>
      <c r="I21" s="636">
        <v>0</v>
      </c>
      <c r="J21" s="636">
        <v>0.15</v>
      </c>
      <c r="K21" s="636">
        <v>0</v>
      </c>
      <c r="L21" s="636">
        <v>0</v>
      </c>
      <c r="M21" s="651">
        <v>0</v>
      </c>
      <c r="N21" s="651">
        <v>0</v>
      </c>
      <c r="O21" s="651">
        <v>0</v>
      </c>
      <c r="P21" s="701" t="s">
        <v>1611</v>
      </c>
      <c r="Q21" s="271" t="s">
        <v>1612</v>
      </c>
      <c r="R21" s="584" t="s">
        <v>1670</v>
      </c>
      <c r="S21" s="584">
        <v>337</v>
      </c>
      <c r="T21" s="226" t="s">
        <v>1609</v>
      </c>
      <c r="U21" s="643" t="s">
        <v>1610</v>
      </c>
      <c r="V21" s="669" t="s">
        <v>799</v>
      </c>
      <c r="W21" s="670">
        <f>BN21/1000000</f>
        <v>0</v>
      </c>
      <c r="X21" s="671" t="s">
        <v>832</v>
      </c>
      <c r="Y21" s="524" t="e">
        <f>W21-(#REF!+Y22)/1.1</f>
        <v>#REF!</v>
      </c>
      <c r="Z21" s="299" t="s">
        <v>812</v>
      </c>
      <c r="AA21" s="79" t="s">
        <v>813</v>
      </c>
      <c r="AB21" s="260"/>
      <c r="AC21" s="652" t="s">
        <v>799</v>
      </c>
      <c r="AD21" s="672">
        <v>50000000</v>
      </c>
      <c r="AE21" s="82"/>
      <c r="AF21" s="83">
        <f>SUM(AG21:BC21)</f>
        <v>0</v>
      </c>
      <c r="AG21" s="91"/>
      <c r="AH21" s="92"/>
      <c r="AI21" s="92"/>
      <c r="AJ21" s="92"/>
      <c r="AK21" s="92"/>
      <c r="AL21" s="92"/>
      <c r="AM21" s="92"/>
      <c r="AN21" s="92"/>
      <c r="AO21" s="92"/>
      <c r="AP21" s="92"/>
      <c r="AQ21" s="92"/>
      <c r="AR21" s="92"/>
      <c r="AS21" s="92"/>
      <c r="AT21" s="92"/>
      <c r="AU21" s="92"/>
      <c r="AV21" s="92"/>
      <c r="AW21" s="92"/>
      <c r="AX21" s="92"/>
      <c r="AY21" s="92"/>
      <c r="AZ21" s="92"/>
      <c r="BA21" s="92"/>
      <c r="BB21" s="92"/>
      <c r="BC21" s="92"/>
    </row>
    <row r="22" spans="1:62" ht="23.1" customHeight="1" thickBot="1">
      <c r="A22" s="564"/>
      <c r="B22" s="235"/>
      <c r="C22" s="212"/>
      <c r="D22" s="560" t="s">
        <v>1613</v>
      </c>
      <c r="E22" s="560" t="s">
        <v>1614</v>
      </c>
      <c r="F22" s="560" t="s">
        <v>1615</v>
      </c>
      <c r="G22" s="704" t="s">
        <v>1616</v>
      </c>
      <c r="H22" s="704" t="s">
        <v>1616</v>
      </c>
      <c r="I22" s="704" t="s">
        <v>1616</v>
      </c>
      <c r="J22" s="704" t="s">
        <v>1617</v>
      </c>
      <c r="K22" s="711" t="s">
        <v>996</v>
      </c>
      <c r="L22" s="711" t="s">
        <v>996</v>
      </c>
      <c r="M22" s="711" t="s">
        <v>996</v>
      </c>
      <c r="N22" s="711" t="s">
        <v>996</v>
      </c>
      <c r="O22" s="687"/>
      <c r="P22" s="702"/>
      <c r="Q22" s="237"/>
      <c r="R22" s="584"/>
      <c r="S22" s="584"/>
      <c r="T22" s="227"/>
      <c r="U22" s="229" t="s">
        <v>816</v>
      </c>
      <c r="V22" s="714" t="s">
        <v>1277</v>
      </c>
      <c r="W22" s="715"/>
      <c r="X22" s="674" t="s">
        <v>1080</v>
      </c>
      <c r="Y22" s="529">
        <f>BP22/1000000</f>
        <v>0</v>
      </c>
      <c r="Z22" s="85"/>
      <c r="AA22" s="69"/>
      <c r="AB22" s="261"/>
      <c r="AC22" s="656" t="s">
        <v>817</v>
      </c>
      <c r="AD22" s="657" t="e">
        <f>AD21-#REF!</f>
        <v>#REF!</v>
      </c>
      <c r="AE22" s="82" t="s">
        <v>824</v>
      </c>
      <c r="AF22" s="83"/>
      <c r="BD22" s="68"/>
      <c r="BE22" s="68"/>
      <c r="BF22" s="68"/>
      <c r="BG22" s="68"/>
      <c r="BH22" s="68"/>
      <c r="BI22" s="68"/>
      <c r="BJ22" s="68"/>
    </row>
    <row r="23" spans="1:62" ht="23.1" customHeight="1" thickBot="1">
      <c r="A23" s="563" t="s">
        <v>1618</v>
      </c>
      <c r="B23" s="234">
        <v>0</v>
      </c>
      <c r="C23" s="211">
        <f>B23+D23+E23+F23+G23+H23+I23+J23+K23+L23+M23+N23+O23</f>
        <v>0.9</v>
      </c>
      <c r="D23" s="636">
        <v>0</v>
      </c>
      <c r="E23" s="636">
        <v>0</v>
      </c>
      <c r="F23" s="636">
        <v>0.05</v>
      </c>
      <c r="G23" s="636">
        <v>0.05</v>
      </c>
      <c r="H23" s="636">
        <v>0.2</v>
      </c>
      <c r="I23" s="636">
        <v>0.05</v>
      </c>
      <c r="J23" s="636">
        <v>0</v>
      </c>
      <c r="K23" s="636">
        <v>0.15</v>
      </c>
      <c r="L23" s="636">
        <v>0.15</v>
      </c>
      <c r="M23" s="651">
        <v>0.15</v>
      </c>
      <c r="N23" s="651">
        <v>0.1</v>
      </c>
      <c r="O23" s="651">
        <v>0</v>
      </c>
      <c r="P23" s="701" t="s">
        <v>1621</v>
      </c>
      <c r="Q23" s="271" t="s">
        <v>1622</v>
      </c>
      <c r="R23" s="584" t="s">
        <v>1670</v>
      </c>
      <c r="S23" s="584">
        <v>371</v>
      </c>
      <c r="T23" s="226" t="s">
        <v>1619</v>
      </c>
      <c r="U23" s="643" t="s">
        <v>1620</v>
      </c>
      <c r="V23" s="669" t="s">
        <v>799</v>
      </c>
      <c r="W23" s="670">
        <f>BN23/1000000</f>
        <v>0</v>
      </c>
      <c r="X23" s="671" t="s">
        <v>832</v>
      </c>
      <c r="Y23" s="524" t="e">
        <f>W23-(#REF!+Y24)/1.1</f>
        <v>#REF!</v>
      </c>
      <c r="Z23" s="299" t="s">
        <v>812</v>
      </c>
      <c r="AA23" s="79" t="s">
        <v>813</v>
      </c>
      <c r="AB23" s="260"/>
      <c r="AC23" s="652" t="s">
        <v>799</v>
      </c>
      <c r="AD23" s="672">
        <v>6500000</v>
      </c>
      <c r="AE23" s="82"/>
      <c r="AF23" s="83">
        <f>SUM(AG23:BC23)</f>
        <v>0</v>
      </c>
      <c r="AG23" s="91"/>
      <c r="AH23" s="92"/>
      <c r="AI23" s="92"/>
      <c r="AJ23" s="92"/>
      <c r="AK23" s="92"/>
      <c r="AL23" s="92"/>
      <c r="AM23" s="92"/>
      <c r="AN23" s="92"/>
      <c r="AO23" s="92"/>
      <c r="AP23" s="92"/>
      <c r="AQ23" s="92"/>
      <c r="AR23" s="92"/>
      <c r="AS23" s="92"/>
      <c r="AT23" s="92"/>
      <c r="AU23" s="92"/>
      <c r="AV23" s="92"/>
      <c r="AW23" s="92"/>
      <c r="AX23" s="92"/>
      <c r="AY23" s="92"/>
      <c r="AZ23" s="92"/>
      <c r="BA23" s="92"/>
      <c r="BB23" s="92"/>
      <c r="BC23" s="92"/>
    </row>
    <row r="24" spans="1:62" ht="23.1" customHeight="1" thickBot="1">
      <c r="A24" s="564"/>
      <c r="B24" s="235"/>
      <c r="C24" s="212"/>
      <c r="D24" s="560"/>
      <c r="E24" s="560"/>
      <c r="F24" s="560" t="s">
        <v>1623</v>
      </c>
      <c r="G24" s="560" t="s">
        <v>1624</v>
      </c>
      <c r="H24" s="560" t="s">
        <v>1625</v>
      </c>
      <c r="I24" s="687" t="s">
        <v>1626</v>
      </c>
      <c r="J24" s="711" t="s">
        <v>821</v>
      </c>
      <c r="K24" s="687" t="s">
        <v>1626</v>
      </c>
      <c r="L24" s="687" t="s">
        <v>1626</v>
      </c>
      <c r="M24" s="687" t="s">
        <v>1626</v>
      </c>
      <c r="N24" s="687" t="s">
        <v>1626</v>
      </c>
      <c r="O24" s="687"/>
      <c r="P24" s="702"/>
      <c r="Q24" s="237"/>
      <c r="R24" s="584"/>
      <c r="S24" s="584"/>
      <c r="T24" s="227"/>
      <c r="U24" s="229" t="s">
        <v>816</v>
      </c>
      <c r="V24" s="714" t="s">
        <v>1277</v>
      </c>
      <c r="W24" s="715"/>
      <c r="X24" s="674" t="s">
        <v>1080</v>
      </c>
      <c r="Y24" s="529">
        <f>BP24/1000000</f>
        <v>0</v>
      </c>
      <c r="Z24" s="85"/>
      <c r="AA24" s="69"/>
      <c r="AB24" s="261"/>
      <c r="AC24" s="656" t="s">
        <v>817</v>
      </c>
      <c r="AD24" s="657" t="e">
        <f>AD23-#REF!</f>
        <v>#REF!</v>
      </c>
      <c r="AE24" s="82" t="s">
        <v>824</v>
      </c>
      <c r="AF24" s="83"/>
      <c r="BD24" s="68"/>
      <c r="BE24" s="68"/>
      <c r="BF24" s="68"/>
      <c r="BG24" s="68"/>
      <c r="BH24" s="68"/>
      <c r="BI24" s="68"/>
      <c r="BJ24" s="68"/>
    </row>
    <row r="25" spans="1:62" ht="23.1" customHeight="1" thickBot="1">
      <c r="A25" s="563" t="s">
        <v>1627</v>
      </c>
      <c r="B25" s="234">
        <v>0</v>
      </c>
      <c r="C25" s="211">
        <f>B25+D25+E25+F25+G25+H25+I25+J25+K25+L25+M25+N25+O25</f>
        <v>0.8</v>
      </c>
      <c r="D25" s="636">
        <v>0</v>
      </c>
      <c r="E25" s="636">
        <v>0</v>
      </c>
      <c r="F25" s="636">
        <v>0.15</v>
      </c>
      <c r="G25" s="636">
        <v>0.15</v>
      </c>
      <c r="H25" s="636">
        <v>0.15</v>
      </c>
      <c r="I25" s="636">
        <v>0.05</v>
      </c>
      <c r="J25" s="636">
        <v>0</v>
      </c>
      <c r="K25" s="636">
        <v>0.15</v>
      </c>
      <c r="L25" s="636">
        <v>0.05</v>
      </c>
      <c r="M25" s="651">
        <v>0.05</v>
      </c>
      <c r="N25" s="651">
        <v>0.05</v>
      </c>
      <c r="O25" s="651">
        <v>0</v>
      </c>
      <c r="P25" s="701" t="s">
        <v>1630</v>
      </c>
      <c r="Q25" s="271" t="s">
        <v>1631</v>
      </c>
      <c r="R25" s="584" t="s">
        <v>1670</v>
      </c>
      <c r="S25" s="584">
        <v>363</v>
      </c>
      <c r="T25" s="226" t="s">
        <v>1628</v>
      </c>
      <c r="U25" s="643" t="s">
        <v>1629</v>
      </c>
      <c r="V25" s="669" t="s">
        <v>799</v>
      </c>
      <c r="W25" s="670">
        <f>BN25/1000000</f>
        <v>0</v>
      </c>
      <c r="X25" s="671" t="s">
        <v>832</v>
      </c>
      <c r="Y25" s="524" t="e">
        <f>W25-(#REF!+Y26)/1.1</f>
        <v>#REF!</v>
      </c>
      <c r="Z25" s="299" t="s">
        <v>812</v>
      </c>
      <c r="AA25" s="79" t="s">
        <v>813</v>
      </c>
      <c r="AB25" s="260"/>
      <c r="AC25" s="652" t="s">
        <v>799</v>
      </c>
      <c r="AD25" s="672">
        <v>70000000</v>
      </c>
      <c r="AE25" s="82"/>
      <c r="AF25" s="83">
        <f>SUM(AG25:BC25)</f>
        <v>0</v>
      </c>
      <c r="AG25" s="91"/>
      <c r="AH25" s="92"/>
      <c r="AI25" s="92"/>
      <c r="AJ25" s="92"/>
      <c r="AK25" s="92"/>
      <c r="AL25" s="92"/>
      <c r="AM25" s="92"/>
      <c r="AN25" s="92"/>
      <c r="AO25" s="92"/>
      <c r="AP25" s="92"/>
      <c r="AQ25" s="92"/>
      <c r="AR25" s="92"/>
      <c r="AS25" s="92"/>
      <c r="AT25" s="92"/>
      <c r="AU25" s="92"/>
      <c r="AV25" s="92"/>
      <c r="AW25" s="92"/>
      <c r="AX25" s="92"/>
      <c r="AY25" s="92"/>
      <c r="AZ25" s="92"/>
      <c r="BA25" s="92"/>
      <c r="BB25" s="92"/>
      <c r="BC25" s="92"/>
    </row>
    <row r="26" spans="1:62" ht="23.1" customHeight="1" thickBot="1">
      <c r="A26" s="564"/>
      <c r="B26" s="235"/>
      <c r="C26" s="212"/>
      <c r="D26" s="560"/>
      <c r="E26" s="560"/>
      <c r="F26" s="560" t="s">
        <v>1632</v>
      </c>
      <c r="G26" s="560" t="s">
        <v>1633</v>
      </c>
      <c r="H26" s="560" t="s">
        <v>1634</v>
      </c>
      <c r="I26" s="560" t="s">
        <v>1634</v>
      </c>
      <c r="J26" s="711" t="s">
        <v>821</v>
      </c>
      <c r="K26" s="560" t="s">
        <v>1634</v>
      </c>
      <c r="L26" s="560" t="s">
        <v>1634</v>
      </c>
      <c r="M26" s="560" t="s">
        <v>1634</v>
      </c>
      <c r="N26" s="560" t="s">
        <v>1634</v>
      </c>
      <c r="O26" s="687"/>
      <c r="P26" s="702"/>
      <c r="Q26" s="237"/>
      <c r="R26" s="584"/>
      <c r="S26" s="584"/>
      <c r="T26" s="227"/>
      <c r="U26" s="229" t="s">
        <v>816</v>
      </c>
      <c r="V26" s="714" t="s">
        <v>1277</v>
      </c>
      <c r="W26" s="715"/>
      <c r="X26" s="674" t="s">
        <v>1080</v>
      </c>
      <c r="Y26" s="529">
        <f>BP26/1000000</f>
        <v>0</v>
      </c>
      <c r="Z26" s="85"/>
      <c r="AA26" s="69"/>
      <c r="AB26" s="261"/>
      <c r="AC26" s="656" t="s">
        <v>817</v>
      </c>
      <c r="AD26" s="657" t="e">
        <f>AD25-#REF!</f>
        <v>#REF!</v>
      </c>
      <c r="AE26" s="82" t="s">
        <v>824</v>
      </c>
      <c r="AF26" s="83"/>
      <c r="BD26" s="68"/>
      <c r="BE26" s="68"/>
      <c r="BF26" s="68"/>
      <c r="BG26" s="68"/>
      <c r="BH26" s="68"/>
      <c r="BI26" s="68"/>
      <c r="BJ26" s="68"/>
    </row>
    <row r="27" spans="1:62" ht="23.1" customHeight="1" thickBot="1">
      <c r="A27" s="507" t="s">
        <v>1635</v>
      </c>
      <c r="B27" s="234">
        <v>0.15</v>
      </c>
      <c r="C27" s="211">
        <f>B27+D27+E27+F27+G27+H27+I27+J27+K27+L27+M27+N27+O27</f>
        <v>0.16999999999999998</v>
      </c>
      <c r="D27" s="651">
        <v>0.02</v>
      </c>
      <c r="E27" s="651">
        <v>0</v>
      </c>
      <c r="F27" s="651">
        <v>0</v>
      </c>
      <c r="G27" s="651">
        <v>0</v>
      </c>
      <c r="H27" s="651">
        <v>0</v>
      </c>
      <c r="I27" s="676">
        <v>0</v>
      </c>
      <c r="J27" s="676">
        <v>0</v>
      </c>
      <c r="K27" s="676">
        <v>0</v>
      </c>
      <c r="L27" s="676">
        <v>0</v>
      </c>
      <c r="M27" s="651">
        <v>0</v>
      </c>
      <c r="N27" s="651">
        <v>0</v>
      </c>
      <c r="O27" s="651">
        <v>0</v>
      </c>
      <c r="P27" s="701" t="s">
        <v>1640</v>
      </c>
      <c r="Q27" s="271" t="s">
        <v>1641</v>
      </c>
      <c r="R27" s="584"/>
      <c r="S27" s="584"/>
      <c r="T27" s="226" t="s">
        <v>1637</v>
      </c>
      <c r="U27" s="643" t="s">
        <v>1638</v>
      </c>
      <c r="V27" s="669" t="s">
        <v>799</v>
      </c>
      <c r="W27" s="670">
        <f>BN27/1000000</f>
        <v>0</v>
      </c>
      <c r="X27" s="671" t="s">
        <v>832</v>
      </c>
      <c r="Y27" s="524" t="e">
        <f>W27-(#REF!+Y28)/1.1</f>
        <v>#REF!</v>
      </c>
      <c r="Z27" s="299" t="s">
        <v>812</v>
      </c>
      <c r="AA27" s="79" t="s">
        <v>813</v>
      </c>
      <c r="AB27" s="260"/>
      <c r="AC27" s="652" t="s">
        <v>799</v>
      </c>
      <c r="AD27" s="677">
        <v>284000000</v>
      </c>
      <c r="AE27" s="82"/>
      <c r="AF27" s="83">
        <f>SUM(AG27:BC27)</f>
        <v>0</v>
      </c>
      <c r="AG27" s="91"/>
      <c r="AH27" s="92"/>
      <c r="AI27" s="92"/>
      <c r="AJ27" s="92"/>
      <c r="AK27" s="92"/>
      <c r="AL27" s="92"/>
      <c r="AM27" s="92"/>
      <c r="AN27" s="92"/>
      <c r="AO27" s="92"/>
      <c r="AP27" s="92"/>
      <c r="AQ27" s="92"/>
      <c r="AR27" s="92"/>
      <c r="AS27" s="92"/>
      <c r="AT27" s="92"/>
      <c r="AU27" s="92"/>
      <c r="AV27" s="92"/>
      <c r="AW27" s="92"/>
      <c r="AX27" s="92"/>
      <c r="AY27" s="92"/>
      <c r="AZ27" s="92"/>
      <c r="BA27" s="92"/>
      <c r="BB27" s="92"/>
      <c r="BC27" s="92"/>
    </row>
    <row r="28" spans="1:62" ht="23.1" customHeight="1" thickBot="1">
      <c r="A28" s="508" t="s">
        <v>1061</v>
      </c>
      <c r="B28" s="235"/>
      <c r="C28" s="212"/>
      <c r="D28" s="560" t="s">
        <v>1643</v>
      </c>
      <c r="E28" s="560" t="s">
        <v>821</v>
      </c>
      <c r="F28" s="560" t="s">
        <v>821</v>
      </c>
      <c r="G28" s="560" t="s">
        <v>821</v>
      </c>
      <c r="H28" s="560" t="s">
        <v>821</v>
      </c>
      <c r="I28" s="560" t="s">
        <v>821</v>
      </c>
      <c r="J28" s="711" t="s">
        <v>821</v>
      </c>
      <c r="K28" s="711" t="s">
        <v>821</v>
      </c>
      <c r="L28" s="711" t="s">
        <v>821</v>
      </c>
      <c r="M28" s="711" t="s">
        <v>821</v>
      </c>
      <c r="N28" s="711" t="s">
        <v>821</v>
      </c>
      <c r="O28" s="687"/>
      <c r="P28" s="702"/>
      <c r="Q28" s="237"/>
      <c r="R28" s="584"/>
      <c r="S28" s="584"/>
      <c r="T28" s="227"/>
      <c r="U28" s="229" t="s">
        <v>816</v>
      </c>
      <c r="V28" s="714" t="s">
        <v>1277</v>
      </c>
      <c r="W28" s="715"/>
      <c r="X28" s="674" t="s">
        <v>1080</v>
      </c>
      <c r="Y28" s="529">
        <f>BP28/1000000</f>
        <v>0</v>
      </c>
      <c r="Z28" s="85"/>
      <c r="AA28" s="69"/>
      <c r="AB28" s="261"/>
      <c r="AC28" s="656" t="s">
        <v>817</v>
      </c>
      <c r="AD28" s="657" t="e">
        <f>AD27-#REF!</f>
        <v>#REF!</v>
      </c>
      <c r="AE28" s="82" t="s">
        <v>824</v>
      </c>
      <c r="AF28" s="83"/>
      <c r="BD28" s="68"/>
      <c r="BE28" s="68"/>
      <c r="BF28" s="68"/>
      <c r="BG28" s="68"/>
      <c r="BH28" s="68"/>
      <c r="BI28" s="68"/>
      <c r="BJ28" s="68"/>
    </row>
    <row r="29" spans="1:62" ht="23.1" customHeight="1" thickBot="1">
      <c r="A29" s="563" t="s">
        <v>1644</v>
      </c>
      <c r="B29" s="234">
        <v>0</v>
      </c>
      <c r="C29" s="211">
        <f>B29+D29+E29+F29+G29+H29+I29+J29+K29+L29+M29+N29+O29</f>
        <v>0.75</v>
      </c>
      <c r="D29" s="636">
        <v>0</v>
      </c>
      <c r="E29" s="636">
        <v>0</v>
      </c>
      <c r="F29" s="636">
        <v>0</v>
      </c>
      <c r="G29" s="636">
        <v>0</v>
      </c>
      <c r="H29" s="636">
        <v>0</v>
      </c>
      <c r="I29" s="636">
        <v>0</v>
      </c>
      <c r="J29" s="636">
        <v>0.25</v>
      </c>
      <c r="K29" s="636">
        <v>0.1</v>
      </c>
      <c r="L29" s="636">
        <v>0.1</v>
      </c>
      <c r="M29" s="651">
        <v>0.15</v>
      </c>
      <c r="N29" s="651">
        <v>0.15</v>
      </c>
      <c r="O29" s="651">
        <v>0</v>
      </c>
      <c r="P29" s="701" t="s">
        <v>1646</v>
      </c>
      <c r="Q29" s="271" t="s">
        <v>1647</v>
      </c>
      <c r="R29" s="584" t="s">
        <v>1670</v>
      </c>
      <c r="S29" s="584">
        <v>364</v>
      </c>
      <c r="T29" s="226" t="s">
        <v>1645</v>
      </c>
      <c r="U29" s="643" t="s">
        <v>1629</v>
      </c>
      <c r="V29" s="669" t="s">
        <v>799</v>
      </c>
      <c r="W29" s="670">
        <f>BN29/1000000</f>
        <v>0</v>
      </c>
      <c r="X29" s="671" t="s">
        <v>832</v>
      </c>
      <c r="Y29" s="524" t="e">
        <f>W29-(#REF!+Y30)/1.1</f>
        <v>#REF!</v>
      </c>
      <c r="Z29" s="299" t="s">
        <v>812</v>
      </c>
      <c r="AA29" s="79" t="s">
        <v>813</v>
      </c>
      <c r="AB29" s="260"/>
      <c r="AC29" s="652" t="s">
        <v>799</v>
      </c>
      <c r="AD29" s="672">
        <v>120000000</v>
      </c>
      <c r="AE29" s="82"/>
      <c r="AF29" s="83">
        <f>SUM(AG29:BC29)</f>
        <v>0</v>
      </c>
      <c r="AG29" s="91"/>
      <c r="AH29" s="92"/>
      <c r="AI29" s="92"/>
      <c r="AJ29" s="92"/>
      <c r="AK29" s="92"/>
      <c r="AL29" s="92"/>
      <c r="AM29" s="92"/>
      <c r="AN29" s="92"/>
      <c r="AO29" s="92"/>
      <c r="AP29" s="92"/>
      <c r="AQ29" s="92"/>
      <c r="AR29" s="92"/>
      <c r="AS29" s="92"/>
      <c r="AT29" s="92"/>
      <c r="AU29" s="92"/>
      <c r="AV29" s="92"/>
      <c r="AW29" s="92"/>
      <c r="AX29" s="92"/>
      <c r="AY29" s="92"/>
      <c r="AZ29" s="92"/>
      <c r="BA29" s="92"/>
      <c r="BB29" s="92"/>
      <c r="BC29" s="92"/>
    </row>
    <row r="30" spans="1:62" ht="23.1" customHeight="1" thickBot="1">
      <c r="A30" s="564"/>
      <c r="B30" s="235"/>
      <c r="C30" s="212"/>
      <c r="D30" s="560"/>
      <c r="E30" s="560"/>
      <c r="F30" s="560"/>
      <c r="G30" s="560"/>
      <c r="H30" s="560"/>
      <c r="I30" s="560"/>
      <c r="J30" s="711" t="s">
        <v>1648</v>
      </c>
      <c r="K30" s="711" t="s">
        <v>1649</v>
      </c>
      <c r="L30" s="711" t="s">
        <v>1649</v>
      </c>
      <c r="M30" s="711" t="s">
        <v>1650</v>
      </c>
      <c r="N30" s="711" t="s">
        <v>1650</v>
      </c>
      <c r="O30" s="687"/>
      <c r="P30" s="702"/>
      <c r="Q30" s="237"/>
      <c r="R30" s="584"/>
      <c r="S30" s="584"/>
      <c r="T30" s="227"/>
      <c r="U30" s="229" t="s">
        <v>816</v>
      </c>
      <c r="V30" s="714" t="s">
        <v>1277</v>
      </c>
      <c r="W30" s="715"/>
      <c r="X30" s="674" t="s">
        <v>1080</v>
      </c>
      <c r="Y30" s="529">
        <f>BP30/1000000</f>
        <v>0</v>
      </c>
      <c r="Z30" s="85"/>
      <c r="AA30" s="69"/>
      <c r="AB30" s="261"/>
      <c r="AC30" s="656" t="s">
        <v>817</v>
      </c>
      <c r="AD30" s="657" t="e">
        <f>AD29-#REF!</f>
        <v>#REF!</v>
      </c>
      <c r="AE30" s="82" t="s">
        <v>824</v>
      </c>
      <c r="AF30" s="83"/>
      <c r="BD30" s="68"/>
      <c r="BE30" s="68"/>
      <c r="BF30" s="68"/>
      <c r="BG30" s="68"/>
      <c r="BH30" s="68"/>
      <c r="BI30" s="68"/>
      <c r="BJ30" s="68"/>
    </row>
    <row r="31" spans="1:62" ht="23.1" customHeight="1" thickBot="1">
      <c r="A31" s="563" t="s">
        <v>992</v>
      </c>
      <c r="B31" s="234">
        <v>0</v>
      </c>
      <c r="C31" s="211">
        <f>B31+D31+E31+F31+G31+H31+I31+J31+K31+L31+M31+N31+O31</f>
        <v>0.55000000000000004</v>
      </c>
      <c r="D31" s="636">
        <v>0</v>
      </c>
      <c r="E31" s="636">
        <v>0</v>
      </c>
      <c r="F31" s="636">
        <v>0</v>
      </c>
      <c r="G31" s="636">
        <v>0</v>
      </c>
      <c r="H31" s="636">
        <v>0</v>
      </c>
      <c r="I31" s="636">
        <v>0</v>
      </c>
      <c r="J31" s="636">
        <v>0.1</v>
      </c>
      <c r="K31" s="636">
        <v>0.15</v>
      </c>
      <c r="L31" s="636">
        <v>0.15</v>
      </c>
      <c r="M31" s="651">
        <v>0.15</v>
      </c>
      <c r="N31" s="651">
        <v>0</v>
      </c>
      <c r="O31" s="651">
        <v>0</v>
      </c>
      <c r="P31" s="701" t="s">
        <v>1652</v>
      </c>
      <c r="Q31" s="271" t="s">
        <v>1653</v>
      </c>
      <c r="R31" s="584" t="s">
        <v>1670</v>
      </c>
      <c r="S31" s="584">
        <v>366</v>
      </c>
      <c r="T31" s="226" t="s">
        <v>1651</v>
      </c>
      <c r="U31" s="643" t="s">
        <v>994</v>
      </c>
      <c r="V31" s="669" t="s">
        <v>799</v>
      </c>
      <c r="W31" s="670">
        <f>BN31/1000000</f>
        <v>0</v>
      </c>
      <c r="X31" s="671" t="s">
        <v>832</v>
      </c>
      <c r="Y31" s="524" t="e">
        <f>W31-(#REF!+Y32)/1.1</f>
        <v>#REF!</v>
      </c>
      <c r="Z31" s="299" t="s">
        <v>812</v>
      </c>
      <c r="AA31" s="79" t="s">
        <v>813</v>
      </c>
      <c r="AB31" s="260"/>
      <c r="AC31" s="652" t="s">
        <v>799</v>
      </c>
      <c r="AD31" s="672">
        <v>6300000</v>
      </c>
      <c r="AE31" s="82"/>
      <c r="AF31" s="83">
        <f>SUM(AG31:BC31)</f>
        <v>0</v>
      </c>
      <c r="AG31" s="91"/>
      <c r="AH31" s="92"/>
      <c r="AI31" s="92"/>
      <c r="AJ31" s="92"/>
      <c r="AK31" s="92"/>
      <c r="AL31" s="92"/>
      <c r="AM31" s="92"/>
      <c r="AN31" s="92"/>
      <c r="AO31" s="92"/>
      <c r="AP31" s="92"/>
      <c r="AQ31" s="92"/>
      <c r="AR31" s="92"/>
      <c r="AS31" s="92"/>
      <c r="AT31" s="92"/>
      <c r="AU31" s="92"/>
      <c r="AV31" s="92"/>
      <c r="AW31" s="92"/>
      <c r="AX31" s="92"/>
      <c r="AY31" s="92"/>
      <c r="AZ31" s="92"/>
      <c r="BA31" s="92"/>
      <c r="BB31" s="92"/>
      <c r="BC31" s="92"/>
    </row>
    <row r="32" spans="1:62" ht="23.1" customHeight="1">
      <c r="A32" s="564"/>
      <c r="B32" s="235"/>
      <c r="C32" s="212"/>
      <c r="D32" s="560"/>
      <c r="E32" s="560"/>
      <c r="F32" s="560"/>
      <c r="G32" s="560"/>
      <c r="H32" s="560"/>
      <c r="I32" s="560"/>
      <c r="J32" s="711" t="s">
        <v>1654</v>
      </c>
      <c r="K32" s="711" t="s">
        <v>1649</v>
      </c>
      <c r="L32" s="711" t="s">
        <v>1649</v>
      </c>
      <c r="M32" s="711" t="s">
        <v>1649</v>
      </c>
      <c r="N32" s="687" t="s">
        <v>821</v>
      </c>
      <c r="O32" s="687"/>
      <c r="P32" s="702"/>
      <c r="Q32" s="237"/>
      <c r="R32" s="584"/>
      <c r="S32" s="584"/>
      <c r="T32" s="227"/>
      <c r="U32" s="229" t="s">
        <v>816</v>
      </c>
      <c r="V32" s="714" t="s">
        <v>1277</v>
      </c>
      <c r="W32" s="715"/>
      <c r="X32" s="674" t="s">
        <v>1080</v>
      </c>
      <c r="Y32" s="529">
        <f>BP32/1000000</f>
        <v>0</v>
      </c>
      <c r="Z32" s="85"/>
      <c r="AA32" s="69"/>
      <c r="AB32" s="261"/>
      <c r="AC32" s="656" t="s">
        <v>817</v>
      </c>
      <c r="AD32" s="657" t="e">
        <f>AD31-#REF!</f>
        <v>#REF!</v>
      </c>
      <c r="AE32" s="82" t="s">
        <v>824</v>
      </c>
      <c r="AF32" s="83"/>
      <c r="BD32" s="68"/>
      <c r="BE32" s="68"/>
      <c r="BF32" s="68"/>
      <c r="BG32" s="68"/>
      <c r="BH32" s="68"/>
      <c r="BI32" s="68"/>
      <c r="BJ32" s="68"/>
    </row>
    <row r="33" spans="1:62" ht="30.75" customHeight="1" thickBot="1"/>
    <row r="34" spans="1:62" ht="24" customHeight="1" thickBot="1">
      <c r="A34" s="716" t="e">
        <f>#REF!+1</f>
        <v>#REF!</v>
      </c>
      <c r="B34" s="234">
        <v>0.15</v>
      </c>
      <c r="C34" s="211">
        <f>B34+D34+E34+F34+G34+H34+I34+J34+K34+L34+M34+N34+O34</f>
        <v>0.16999999999999998</v>
      </c>
      <c r="D34" s="651">
        <v>0.02</v>
      </c>
      <c r="E34" s="651">
        <v>0</v>
      </c>
      <c r="F34" s="651">
        <v>0</v>
      </c>
      <c r="G34" s="651">
        <v>0</v>
      </c>
      <c r="H34" s="651">
        <v>0</v>
      </c>
      <c r="I34" s="676">
        <v>0</v>
      </c>
      <c r="J34" s="676">
        <v>0</v>
      </c>
      <c r="K34" s="676">
        <v>0</v>
      </c>
      <c r="L34" s="676">
        <v>0</v>
      </c>
      <c r="M34" s="651">
        <v>0</v>
      </c>
      <c r="N34" s="651">
        <v>0</v>
      </c>
      <c r="O34" s="651">
        <v>0</v>
      </c>
      <c r="P34" s="701" t="s">
        <v>1639</v>
      </c>
      <c r="Q34" s="271" t="s">
        <v>1655</v>
      </c>
      <c r="R34" s="584"/>
      <c r="S34" s="584"/>
      <c r="T34" s="226" t="s">
        <v>1636</v>
      </c>
      <c r="U34" s="643" t="s">
        <v>969</v>
      </c>
      <c r="V34" s="669" t="s">
        <v>104</v>
      </c>
      <c r="W34" s="670">
        <f>BN34/1000000</f>
        <v>0</v>
      </c>
      <c r="X34" s="671" t="s">
        <v>7</v>
      </c>
      <c r="Y34" s="524">
        <f>W34-(Y35+Y36)/1.1</f>
        <v>0</v>
      </c>
      <c r="Z34" s="299" t="s">
        <v>90</v>
      </c>
      <c r="AA34" s="79" t="s">
        <v>34</v>
      </c>
      <c r="AB34" s="260"/>
      <c r="AC34" s="652" t="s">
        <v>104</v>
      </c>
      <c r="AD34" s="677">
        <v>284000000</v>
      </c>
      <c r="AE34" s="82"/>
      <c r="AF34" s="83">
        <f>SUM(AG34:BC34)</f>
        <v>0</v>
      </c>
      <c r="AG34" s="91"/>
      <c r="AH34" s="92"/>
      <c r="AI34" s="92"/>
      <c r="AJ34" s="92"/>
      <c r="AK34" s="92"/>
      <c r="AL34" s="92"/>
      <c r="AM34" s="92"/>
      <c r="AN34" s="92"/>
      <c r="AO34" s="92"/>
      <c r="AP34" s="92"/>
      <c r="AQ34" s="92"/>
      <c r="AR34" s="92"/>
      <c r="AS34" s="92"/>
      <c r="AT34" s="92"/>
      <c r="AU34" s="92"/>
      <c r="AV34" s="92"/>
      <c r="AW34" s="92"/>
      <c r="AX34" s="92"/>
      <c r="AY34" s="92"/>
      <c r="AZ34" s="92"/>
      <c r="BA34" s="92"/>
      <c r="BB34" s="92"/>
      <c r="BC34" s="92"/>
    </row>
    <row r="35" spans="1:62" ht="24" customHeight="1" thickBot="1">
      <c r="A35" s="717"/>
      <c r="B35" s="235"/>
      <c r="C35" s="212"/>
      <c r="D35" s="99" t="e">
        <f>#REF!*D34</f>
        <v>#REF!</v>
      </c>
      <c r="E35" s="99" t="e">
        <f>#REF!*E34</f>
        <v>#REF!</v>
      </c>
      <c r="F35" s="99" t="e">
        <f>#REF!*F34</f>
        <v>#REF!</v>
      </c>
      <c r="G35" s="99" t="e">
        <f>#REF!*G34</f>
        <v>#REF!</v>
      </c>
      <c r="H35" s="99" t="e">
        <f>#REF!*H34</f>
        <v>#REF!</v>
      </c>
      <c r="I35" s="99" t="e">
        <f>#REF!*I34</f>
        <v>#REF!</v>
      </c>
      <c r="J35" s="99" t="e">
        <f>#REF!*J34</f>
        <v>#REF!</v>
      </c>
      <c r="K35" s="99" t="e">
        <f>#REF!*K34</f>
        <v>#REF!</v>
      </c>
      <c r="L35" s="99" t="e">
        <f>#REF!*L34</f>
        <v>#REF!</v>
      </c>
      <c r="M35" s="99" t="e">
        <f>#REF!*M34</f>
        <v>#REF!</v>
      </c>
      <c r="N35" s="99" t="e">
        <f>#REF!*N34</f>
        <v>#REF!</v>
      </c>
      <c r="O35" s="99" t="e">
        <f>#REF!*O34</f>
        <v>#REF!</v>
      </c>
      <c r="P35" s="702"/>
      <c r="Q35" s="237"/>
      <c r="R35" s="584"/>
      <c r="S35" s="584"/>
      <c r="T35" s="227"/>
      <c r="U35" s="644" t="s">
        <v>1656</v>
      </c>
      <c r="V35" s="526"/>
      <c r="W35" s="527"/>
      <c r="X35" s="673" t="s">
        <v>41</v>
      </c>
      <c r="Y35" s="529">
        <f>BP35/1100000</f>
        <v>0</v>
      </c>
      <c r="Z35" s="308" t="e">
        <f>(C34-B34)*#REF!</f>
        <v>#REF!</v>
      </c>
      <c r="AA35" s="84" t="e">
        <f>(1-C34)*#REF!</f>
        <v>#REF!</v>
      </c>
      <c r="AB35" s="703"/>
      <c r="AC35" s="655" t="s">
        <v>1554</v>
      </c>
      <c r="AD35" s="678">
        <v>0</v>
      </c>
      <c r="AE35" s="659" t="s">
        <v>1657</v>
      </c>
      <c r="AF35" s="83">
        <f>SUM(AG35:BC35)</f>
        <v>110000000</v>
      </c>
      <c r="AG35" s="91" t="s">
        <v>1658</v>
      </c>
      <c r="AH35" s="92">
        <v>33000000</v>
      </c>
      <c r="AI35" s="92" t="s">
        <v>1659</v>
      </c>
      <c r="AJ35" s="92">
        <v>55000000</v>
      </c>
      <c r="AK35" s="92" t="s">
        <v>12</v>
      </c>
      <c r="AL35" s="92">
        <v>22000000</v>
      </c>
      <c r="AM35" s="92" t="s">
        <v>13</v>
      </c>
      <c r="AN35" s="92"/>
      <c r="AO35" s="92" t="s">
        <v>207</v>
      </c>
      <c r="AP35" s="92"/>
      <c r="AQ35" s="92"/>
      <c r="AR35" s="92"/>
      <c r="AS35" s="92"/>
      <c r="AT35" s="92"/>
      <c r="AU35" s="92"/>
      <c r="AV35" s="92"/>
      <c r="AW35" s="92"/>
      <c r="AX35" s="92"/>
      <c r="AY35" s="92"/>
      <c r="AZ35" s="92"/>
      <c r="BA35" s="92"/>
      <c r="BB35" s="92"/>
      <c r="BC35" s="92"/>
      <c r="BD35" s="68"/>
      <c r="BE35" s="68"/>
      <c r="BF35" s="68"/>
      <c r="BG35" s="68"/>
      <c r="BH35" s="68"/>
      <c r="BI35" s="68"/>
      <c r="BJ35" s="68"/>
    </row>
    <row r="36" spans="1:62" ht="24" customHeight="1">
      <c r="A36" s="717"/>
      <c r="B36" s="235"/>
      <c r="C36" s="212"/>
      <c r="D36" s="560" t="s">
        <v>1642</v>
      </c>
      <c r="E36" s="560" t="s">
        <v>806</v>
      </c>
      <c r="F36" s="560" t="s">
        <v>806</v>
      </c>
      <c r="G36" s="560" t="s">
        <v>806</v>
      </c>
      <c r="H36" s="560" t="s">
        <v>806</v>
      </c>
      <c r="I36" s="560" t="s">
        <v>806</v>
      </c>
      <c r="J36" s="711"/>
      <c r="K36" s="711"/>
      <c r="L36" s="711"/>
      <c r="M36" s="687"/>
      <c r="N36" s="687"/>
      <c r="O36" s="687"/>
      <c r="P36" s="702"/>
      <c r="Q36" s="237"/>
      <c r="R36" s="584"/>
      <c r="S36" s="584"/>
      <c r="T36" s="227"/>
      <c r="U36" s="229" t="s">
        <v>67</v>
      </c>
      <c r="V36" s="714" t="s">
        <v>27</v>
      </c>
      <c r="W36" s="715"/>
      <c r="X36" s="674" t="s">
        <v>207</v>
      </c>
      <c r="Y36" s="529">
        <f>BP36/1000000</f>
        <v>0</v>
      </c>
      <c r="Z36" s="85"/>
      <c r="AA36" s="69"/>
      <c r="AB36" s="261"/>
      <c r="AC36" s="656" t="s">
        <v>196</v>
      </c>
      <c r="AD36" s="657">
        <f>AD34-AD35</f>
        <v>284000000</v>
      </c>
      <c r="AE36" s="82" t="s">
        <v>100</v>
      </c>
      <c r="AF36" s="83"/>
      <c r="BD36" s="68"/>
      <c r="BE36" s="68"/>
      <c r="BF36" s="68"/>
      <c r="BG36" s="68"/>
      <c r="BH36" s="68"/>
      <c r="BI36" s="68"/>
      <c r="BJ36" s="68"/>
    </row>
    <row r="37" spans="1:62" ht="24" customHeight="1" thickBot="1">
      <c r="A37" s="718"/>
      <c r="B37" s="236"/>
      <c r="C37" s="213"/>
      <c r="D37" s="562"/>
      <c r="E37" s="562"/>
      <c r="F37" s="562"/>
      <c r="G37" s="562"/>
      <c r="H37" s="562"/>
      <c r="I37" s="562"/>
      <c r="J37" s="712"/>
      <c r="K37" s="712"/>
      <c r="L37" s="712"/>
      <c r="M37" s="688"/>
      <c r="N37" s="688"/>
      <c r="O37" s="688"/>
      <c r="P37" s="705"/>
      <c r="Q37" s="238"/>
      <c r="R37" s="584"/>
      <c r="S37" s="584"/>
      <c r="T37" s="95" t="s">
        <v>482</v>
      </c>
      <c r="U37" s="230" t="s">
        <v>75</v>
      </c>
      <c r="V37" s="675" t="s">
        <v>17</v>
      </c>
      <c r="W37" s="642" t="e">
        <f>BN35/BN34</f>
        <v>#DIV/0!</v>
      </c>
      <c r="X37" s="675" t="s">
        <v>88</v>
      </c>
      <c r="Y37" s="658" t="e">
        <f>(W34-(Y35+Y36)*1.1)/W34</f>
        <v>#DIV/0!</v>
      </c>
      <c r="Z37" s="86"/>
      <c r="AA37" s="71"/>
      <c r="AB37" s="262"/>
      <c r="AC37" s="80"/>
      <c r="AD37" s="87">
        <f>AD35/AD34</f>
        <v>0</v>
      </c>
      <c r="AE37" s="88" t="s">
        <v>103</v>
      </c>
      <c r="AF37" s="318">
        <f>SUM(AF34:AF36)</f>
        <v>110000000</v>
      </c>
    </row>
    <row r="38" spans="1:62" ht="27" customHeight="1">
      <c r="A38" s="576">
        <v>2</v>
      </c>
      <c r="B38" s="492"/>
      <c r="C38" s="493">
        <f>B38+D38+E38+F38+G38+H38+I38+J38+K38+L38+M38+N38+O38</f>
        <v>0.1</v>
      </c>
      <c r="D38" s="414"/>
      <c r="E38" s="414"/>
      <c r="F38" s="414"/>
      <c r="G38" s="414"/>
      <c r="H38" s="414"/>
      <c r="I38" s="414">
        <v>0.1</v>
      </c>
      <c r="J38" s="414"/>
      <c r="K38" s="414"/>
      <c r="L38" s="414"/>
      <c r="M38" s="414"/>
      <c r="N38" s="414"/>
      <c r="O38" s="414"/>
      <c r="P38" s="494" t="s">
        <v>1661</v>
      </c>
      <c r="Q38" s="719"/>
      <c r="R38" s="724"/>
      <c r="S38" s="724"/>
      <c r="T38" s="605" t="s">
        <v>1660</v>
      </c>
      <c r="U38" s="594"/>
      <c r="V38" s="410" t="s">
        <v>89</v>
      </c>
      <c r="W38" s="411">
        <f>BN38/1000000</f>
        <v>0</v>
      </c>
      <c r="X38" s="412" t="s">
        <v>7</v>
      </c>
      <c r="Y38" s="413">
        <f>W38/1.1*0.75-(Y39+Y40/1.1)</f>
        <v>0</v>
      </c>
      <c r="AB38" s="260"/>
      <c r="AC38" s="80" t="s">
        <v>89</v>
      </c>
      <c r="AD38" s="81">
        <v>790000000</v>
      </c>
      <c r="AE38" s="82" t="s">
        <v>98</v>
      </c>
      <c r="AF38" s="83">
        <f>SUM(AG38:BC38)</f>
        <v>0</v>
      </c>
      <c r="AG38" s="91" t="s">
        <v>1104</v>
      </c>
      <c r="AH38" s="92"/>
      <c r="AI38" s="92" t="s">
        <v>1105</v>
      </c>
      <c r="AJ38" s="92"/>
      <c r="AK38" s="92" t="s">
        <v>207</v>
      </c>
      <c r="AL38" s="92"/>
      <c r="AM38" s="92" t="s">
        <v>207</v>
      </c>
      <c r="AN38" s="92"/>
      <c r="AO38" s="92" t="s">
        <v>207</v>
      </c>
      <c r="AP38" s="92"/>
      <c r="AQ38" s="92"/>
      <c r="AR38" s="92"/>
      <c r="AS38" s="92"/>
      <c r="AT38" s="92"/>
      <c r="AU38" s="92"/>
      <c r="AV38" s="92"/>
      <c r="AW38" s="92"/>
      <c r="AX38" s="92"/>
      <c r="AY38" s="92"/>
      <c r="AZ38" s="92"/>
      <c r="BA38" s="92"/>
      <c r="BB38" s="92"/>
      <c r="BC38" s="92"/>
    </row>
    <row r="39" spans="1:62" ht="27" customHeight="1">
      <c r="A39" s="572"/>
      <c r="B39" s="497"/>
      <c r="C39" s="498"/>
      <c r="D39" s="420" t="e">
        <f>#REF!*D38</f>
        <v>#REF!</v>
      </c>
      <c r="E39" s="420" t="e">
        <f>#REF!*E38</f>
        <v>#REF!</v>
      </c>
      <c r="F39" s="420" t="e">
        <f>#REF!*F38</f>
        <v>#REF!</v>
      </c>
      <c r="G39" s="420" t="e">
        <f>#REF!*G38</f>
        <v>#REF!</v>
      </c>
      <c r="H39" s="420" t="e">
        <f>#REF!*H38</f>
        <v>#REF!</v>
      </c>
      <c r="I39" s="420" t="e">
        <f>#REF!*I38</f>
        <v>#REF!</v>
      </c>
      <c r="J39" s="420" t="e">
        <f>#REF!*J38</f>
        <v>#REF!</v>
      </c>
      <c r="K39" s="420" t="e">
        <f>#REF!*K38</f>
        <v>#REF!</v>
      </c>
      <c r="L39" s="420" t="e">
        <f>#REF!*L38</f>
        <v>#REF!</v>
      </c>
      <c r="M39" s="420" t="e">
        <f>#REF!*M38</f>
        <v>#REF!</v>
      </c>
      <c r="N39" s="420" t="e">
        <f>#REF!*N38</f>
        <v>#REF!</v>
      </c>
      <c r="O39" s="420" t="e">
        <f>#REF!*O38</f>
        <v>#REF!</v>
      </c>
      <c r="P39" s="499"/>
      <c r="Q39" s="593"/>
      <c r="R39" s="724"/>
      <c r="S39" s="724"/>
      <c r="T39" s="606"/>
      <c r="U39" s="595"/>
      <c r="V39" s="416" t="s">
        <v>10</v>
      </c>
      <c r="W39" s="417">
        <f>BN39/1000000</f>
        <v>0</v>
      </c>
      <c r="X39" s="418" t="s">
        <v>104</v>
      </c>
      <c r="Y39" s="419">
        <f>BP38/1000000</f>
        <v>0</v>
      </c>
      <c r="AB39" s="261"/>
      <c r="AC39" s="80" t="s">
        <v>10</v>
      </c>
      <c r="AD39" s="81"/>
      <c r="AE39" s="82" t="s">
        <v>95</v>
      </c>
      <c r="AF39" s="83">
        <f>SUM(AG39:BC39)</f>
        <v>0</v>
      </c>
      <c r="AG39" s="91" t="s">
        <v>56</v>
      </c>
      <c r="AH39" s="92"/>
      <c r="AI39" s="92" t="s">
        <v>12</v>
      </c>
      <c r="AJ39" s="92"/>
      <c r="AK39" s="92" t="s">
        <v>204</v>
      </c>
      <c r="AL39" s="92"/>
      <c r="AM39" s="92" t="s">
        <v>13</v>
      </c>
      <c r="AN39" s="92"/>
      <c r="AO39" s="92" t="s">
        <v>207</v>
      </c>
      <c r="AP39" s="92"/>
      <c r="AQ39" s="92"/>
      <c r="AR39" s="92"/>
      <c r="AS39" s="92"/>
      <c r="AT39" s="92"/>
      <c r="AU39" s="92"/>
      <c r="AV39" s="92"/>
      <c r="AW39" s="92"/>
      <c r="AX39" s="92"/>
      <c r="AY39" s="92"/>
      <c r="AZ39" s="92"/>
      <c r="BA39" s="92"/>
      <c r="BB39" s="92"/>
      <c r="BC39" s="92"/>
      <c r="BD39" s="68"/>
      <c r="BE39" s="68"/>
      <c r="BF39" s="68"/>
      <c r="BG39" s="68"/>
      <c r="BH39" s="68"/>
      <c r="BI39" s="68"/>
      <c r="BJ39" s="68"/>
    </row>
    <row r="40" spans="1:62" ht="27" customHeight="1">
      <c r="A40" s="572"/>
      <c r="B40" s="497"/>
      <c r="C40" s="498"/>
      <c r="D40" s="501"/>
      <c r="E40" s="501"/>
      <c r="F40" s="501"/>
      <c r="G40" s="501"/>
      <c r="H40" s="501"/>
      <c r="I40" s="501"/>
      <c r="J40" s="501"/>
      <c r="K40" s="501"/>
      <c r="L40" s="501"/>
      <c r="M40" s="501"/>
      <c r="N40" s="501"/>
      <c r="O40" s="501"/>
      <c r="P40" s="506"/>
      <c r="Q40" s="593"/>
      <c r="R40" s="724"/>
      <c r="S40" s="724"/>
      <c r="T40" s="606"/>
      <c r="U40" s="593" t="s">
        <v>67</v>
      </c>
      <c r="V40" s="416" t="s">
        <v>196</v>
      </c>
      <c r="W40" s="417">
        <f>W38-W39</f>
        <v>0</v>
      </c>
      <c r="X40" s="423" t="s">
        <v>15</v>
      </c>
      <c r="Y40" s="419">
        <f>(BP39+BP40)/1000000</f>
        <v>0</v>
      </c>
      <c r="AB40" s="261"/>
      <c r="AC40" s="80" t="s">
        <v>196</v>
      </c>
      <c r="AD40" s="81">
        <f>AD38-AD39</f>
        <v>790000000</v>
      </c>
      <c r="AE40" s="82" t="s">
        <v>100</v>
      </c>
      <c r="AF40" s="83"/>
      <c r="BD40" s="68"/>
      <c r="BE40" s="68"/>
      <c r="BF40" s="68"/>
      <c r="BG40" s="68"/>
      <c r="BH40" s="68"/>
      <c r="BI40" s="68"/>
      <c r="BJ40" s="68"/>
    </row>
    <row r="41" spans="1:62" ht="27" customHeight="1">
      <c r="A41" s="577"/>
      <c r="B41" s="503"/>
      <c r="C41" s="504"/>
      <c r="D41" s="505"/>
      <c r="E41" s="505"/>
      <c r="F41" s="505"/>
      <c r="G41" s="505"/>
      <c r="H41" s="505"/>
      <c r="I41" s="505"/>
      <c r="J41" s="505"/>
      <c r="K41" s="505"/>
      <c r="L41" s="505"/>
      <c r="M41" s="505"/>
      <c r="N41" s="505"/>
      <c r="O41" s="505"/>
      <c r="P41" s="592" t="e">
        <f>(C38-#REF!)*#REF!</f>
        <v>#REF!</v>
      </c>
      <c r="Q41" s="591"/>
      <c r="R41" s="724"/>
      <c r="S41" s="724"/>
      <c r="T41" s="679" t="s">
        <v>1662</v>
      </c>
      <c r="U41" s="591" t="s">
        <v>75</v>
      </c>
      <c r="V41" s="426" t="s">
        <v>17</v>
      </c>
      <c r="W41" s="427" t="e">
        <f>W39/W38</f>
        <v>#DIV/0!</v>
      </c>
      <c r="X41" s="426" t="s">
        <v>88</v>
      </c>
      <c r="Y41" s="427" t="e">
        <f>(W38-(Y39+Y40)/0.7)/W38</f>
        <v>#DIV/0!</v>
      </c>
      <c r="Z41" s="317"/>
      <c r="AA41" s="317"/>
      <c r="AB41" s="262"/>
      <c r="AC41" s="80"/>
      <c r="AD41" s="87">
        <f>AD39/AD38</f>
        <v>0</v>
      </c>
      <c r="AE41" s="88" t="s">
        <v>103</v>
      </c>
      <c r="AF41" s="318">
        <f>SUM(AF38:AF40)</f>
        <v>0</v>
      </c>
    </row>
    <row r="42" spans="1:62" ht="27" customHeight="1">
      <c r="A42" s="576"/>
      <c r="B42" s="492"/>
      <c r="C42" s="493">
        <f>B42+D42+E42+F42+G42+H42+I42+J42+K42+L42+M42+N42+O42</f>
        <v>0</v>
      </c>
      <c r="D42" s="414"/>
      <c r="E42" s="414"/>
      <c r="F42" s="414"/>
      <c r="G42" s="414"/>
      <c r="H42" s="414"/>
      <c r="I42" s="414"/>
      <c r="J42" s="414"/>
      <c r="K42" s="414"/>
      <c r="L42" s="414"/>
      <c r="M42" s="414"/>
      <c r="N42" s="414"/>
      <c r="O42" s="414"/>
      <c r="P42" s="720" t="s">
        <v>1663</v>
      </c>
      <c r="Q42" s="719" t="s">
        <v>1664</v>
      </c>
      <c r="R42" s="724"/>
      <c r="S42" s="724"/>
      <c r="T42" s="605"/>
      <c r="U42" s="594"/>
      <c r="V42" s="410" t="s">
        <v>89</v>
      </c>
      <c r="W42" s="411">
        <f>BN42/1000000</f>
        <v>0</v>
      </c>
      <c r="X42" s="412" t="s">
        <v>7</v>
      </c>
      <c r="Y42" s="413">
        <f>W42/1.1*0.75-(Y43+Y44/1.1)</f>
        <v>0</v>
      </c>
      <c r="AB42" s="260"/>
      <c r="AC42" s="80" t="s">
        <v>89</v>
      </c>
      <c r="AD42" s="81">
        <v>1</v>
      </c>
      <c r="AE42" s="82" t="s">
        <v>98</v>
      </c>
      <c r="AF42" s="83">
        <f>SUM(AG42:BC42)</f>
        <v>0</v>
      </c>
      <c r="AG42" s="91" t="s">
        <v>1104</v>
      </c>
      <c r="AH42" s="92"/>
      <c r="AI42" s="92" t="s">
        <v>1105</v>
      </c>
      <c r="AJ42" s="92"/>
      <c r="AK42" s="92" t="s">
        <v>207</v>
      </c>
      <c r="AL42" s="92"/>
      <c r="AM42" s="92" t="s">
        <v>207</v>
      </c>
      <c r="AN42" s="92"/>
      <c r="AO42" s="92" t="s">
        <v>207</v>
      </c>
      <c r="AP42" s="92"/>
      <c r="AQ42" s="92"/>
      <c r="AR42" s="92"/>
      <c r="AS42" s="92"/>
      <c r="AT42" s="92"/>
      <c r="AU42" s="92"/>
      <c r="AV42" s="92"/>
      <c r="AW42" s="92"/>
      <c r="AX42" s="92"/>
      <c r="AY42" s="92"/>
      <c r="AZ42" s="92"/>
      <c r="BA42" s="92"/>
      <c r="BB42" s="92"/>
      <c r="BC42" s="92"/>
    </row>
    <row r="43" spans="1:62" ht="27" customHeight="1">
      <c r="A43" s="572"/>
      <c r="B43" s="497"/>
      <c r="C43" s="498"/>
      <c r="D43" s="420" t="e">
        <f>#REF!*D42</f>
        <v>#REF!</v>
      </c>
      <c r="E43" s="420" t="e">
        <f>#REF!*E42</f>
        <v>#REF!</v>
      </c>
      <c r="F43" s="420" t="e">
        <f>#REF!*F42</f>
        <v>#REF!</v>
      </c>
      <c r="G43" s="420" t="e">
        <f>#REF!*G42</f>
        <v>#REF!</v>
      </c>
      <c r="H43" s="420" t="e">
        <f>#REF!*H42</f>
        <v>#REF!</v>
      </c>
      <c r="I43" s="420" t="e">
        <f>#REF!*I42</f>
        <v>#REF!</v>
      </c>
      <c r="J43" s="420" t="e">
        <f>#REF!*J42</f>
        <v>#REF!</v>
      </c>
      <c r="K43" s="420" t="e">
        <f>#REF!*K42</f>
        <v>#REF!</v>
      </c>
      <c r="L43" s="420" t="e">
        <f>#REF!*L42</f>
        <v>#REF!</v>
      </c>
      <c r="M43" s="420" t="e">
        <f>#REF!*M42</f>
        <v>#REF!</v>
      </c>
      <c r="N43" s="420" t="e">
        <f>#REF!*N42</f>
        <v>#REF!</v>
      </c>
      <c r="O43" s="420" t="e">
        <f>#REF!*O42</f>
        <v>#REF!</v>
      </c>
      <c r="P43" s="721"/>
      <c r="Q43" s="593"/>
      <c r="R43" s="724"/>
      <c r="S43" s="724"/>
      <c r="T43" s="606"/>
      <c r="U43" s="595"/>
      <c r="V43" s="416" t="s">
        <v>10</v>
      </c>
      <c r="W43" s="417">
        <f>BN43/1000000</f>
        <v>0</v>
      </c>
      <c r="X43" s="418" t="s">
        <v>104</v>
      </c>
      <c r="Y43" s="419">
        <f>BP42/1000000</f>
        <v>0</v>
      </c>
      <c r="AB43" s="261"/>
      <c r="AC43" s="80" t="s">
        <v>10</v>
      </c>
      <c r="AD43" s="81"/>
      <c r="AE43" s="82" t="s">
        <v>95</v>
      </c>
      <c r="AF43" s="83">
        <f>SUM(AG43:BC43)</f>
        <v>0</v>
      </c>
      <c r="AG43" s="91" t="s">
        <v>56</v>
      </c>
      <c r="AH43" s="92"/>
      <c r="AI43" s="92" t="s">
        <v>12</v>
      </c>
      <c r="AJ43" s="92"/>
      <c r="AK43" s="92" t="s">
        <v>204</v>
      </c>
      <c r="AL43" s="92"/>
      <c r="AM43" s="92" t="s">
        <v>13</v>
      </c>
      <c r="AN43" s="92"/>
      <c r="AO43" s="92" t="s">
        <v>207</v>
      </c>
      <c r="AP43" s="92"/>
      <c r="AQ43" s="92"/>
      <c r="AR43" s="92"/>
      <c r="AS43" s="92"/>
      <c r="AT43" s="92"/>
      <c r="AU43" s="92"/>
      <c r="AV43" s="92"/>
      <c r="AW43" s="92"/>
      <c r="AX43" s="92"/>
      <c r="AY43" s="92"/>
      <c r="AZ43" s="92"/>
      <c r="BA43" s="92"/>
      <c r="BB43" s="92"/>
      <c r="BC43" s="92"/>
      <c r="BD43" s="68"/>
      <c r="BE43" s="68"/>
      <c r="BF43" s="68"/>
      <c r="BG43" s="68"/>
      <c r="BH43" s="68"/>
      <c r="BI43" s="68"/>
      <c r="BJ43" s="68"/>
    </row>
    <row r="44" spans="1:62" ht="27" customHeight="1">
      <c r="A44" s="572"/>
      <c r="B44" s="497"/>
      <c r="C44" s="498"/>
      <c r="D44" s="501"/>
      <c r="E44" s="501"/>
      <c r="F44" s="501"/>
      <c r="G44" s="501"/>
      <c r="H44" s="501"/>
      <c r="I44" s="501"/>
      <c r="J44" s="501"/>
      <c r="K44" s="501"/>
      <c r="L44" s="501"/>
      <c r="M44" s="501"/>
      <c r="N44" s="501"/>
      <c r="O44" s="501"/>
      <c r="P44" s="722"/>
      <c r="Q44" s="593"/>
      <c r="R44" s="724"/>
      <c r="S44" s="724"/>
      <c r="T44" s="606"/>
      <c r="U44" s="593" t="s">
        <v>67</v>
      </c>
      <c r="V44" s="416" t="s">
        <v>196</v>
      </c>
      <c r="W44" s="417">
        <f>W42-W43</f>
        <v>0</v>
      </c>
      <c r="X44" s="423" t="s">
        <v>15</v>
      </c>
      <c r="Y44" s="419">
        <f>(BP43+BP44)/1000000</f>
        <v>0</v>
      </c>
      <c r="AB44" s="261"/>
      <c r="AC44" s="80" t="s">
        <v>196</v>
      </c>
      <c r="AD44" s="81">
        <f>AD42-AD43</f>
        <v>1</v>
      </c>
      <c r="AE44" s="82" t="s">
        <v>100</v>
      </c>
      <c r="AF44" s="83"/>
      <c r="BD44" s="68"/>
      <c r="BE44" s="68"/>
      <c r="BF44" s="68"/>
      <c r="BG44" s="68"/>
      <c r="BH44" s="68"/>
      <c r="BI44" s="68"/>
      <c r="BJ44" s="68"/>
    </row>
    <row r="45" spans="1:62" ht="27" customHeight="1">
      <c r="A45" s="577"/>
      <c r="B45" s="503"/>
      <c r="C45" s="504"/>
      <c r="D45" s="505"/>
      <c r="E45" s="505"/>
      <c r="F45" s="505"/>
      <c r="G45" s="505"/>
      <c r="H45" s="505"/>
      <c r="I45" s="505"/>
      <c r="J45" s="505"/>
      <c r="K45" s="505"/>
      <c r="L45" s="505"/>
      <c r="M45" s="505"/>
      <c r="N45" s="505"/>
      <c r="O45" s="505"/>
      <c r="P45" s="592" t="e">
        <f>(C42-#REF!)*#REF!</f>
        <v>#REF!</v>
      </c>
      <c r="Q45" s="591"/>
      <c r="R45" s="724"/>
      <c r="S45" s="724"/>
      <c r="T45" s="679"/>
      <c r="U45" s="591" t="s">
        <v>75</v>
      </c>
      <c r="V45" s="426" t="s">
        <v>17</v>
      </c>
      <c r="W45" s="427">
        <f>BN45</f>
        <v>0</v>
      </c>
      <c r="X45" s="426" t="s">
        <v>827</v>
      </c>
      <c r="Y45" s="427" t="e">
        <f>(W42-(Y43+Y44)/0.7)/W42</f>
        <v>#DIV/0!</v>
      </c>
      <c r="Z45" s="317"/>
      <c r="AA45" s="317"/>
      <c r="AB45" s="262"/>
      <c r="AC45" s="80"/>
      <c r="AD45" s="87">
        <f>AD43/AD42</f>
        <v>0</v>
      </c>
      <c r="AE45" s="88" t="s">
        <v>828</v>
      </c>
      <c r="AF45" s="318">
        <f>SUM(AF42:AF44)</f>
        <v>0</v>
      </c>
    </row>
  </sheetData>
  <phoneticPr fontId="2" type="noConversion"/>
  <printOptions horizontalCentered="1"/>
  <pageMargins left="0.39370078740157483" right="0.39370078740157483" top="0.47244094488188981" bottom="0.39370078740157483" header="0.31496062992125984" footer="0.31496062992125984"/>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I37"/>
  <sheetViews>
    <sheetView view="pageBreakPreview" zoomScaleNormal="115" zoomScaleSheetLayoutView="100" workbookViewId="0">
      <pane xSplit="1" ySplit="3" topLeftCell="B4" activePane="bottomRight" state="frozen"/>
      <selection activeCell="B11" sqref="B11:B14"/>
      <selection pane="topRight" activeCell="B11" sqref="B11:B14"/>
      <selection pane="bottomLeft" activeCell="B11" sqref="B11:B14"/>
      <selection pane="bottomRight" activeCell="I32" sqref="I32"/>
    </sheetView>
  </sheetViews>
  <sheetFormatPr defaultColWidth="10.25" defaultRowHeight="22.5" customHeight="1" outlineLevelCol="1"/>
  <cols>
    <col min="1" max="1" width="12.625" style="281" customWidth="1"/>
    <col min="2" max="2" width="6.125" style="762" customWidth="1"/>
    <col min="3" max="3" width="6.5" style="762" customWidth="1"/>
    <col min="4" max="8" width="8.875" style="281" customWidth="1" outlineLevel="1"/>
    <col min="9" max="10" width="8.875" style="281" customWidth="1"/>
    <col min="11" max="12" width="8.875" style="281" customWidth="1" outlineLevel="1"/>
    <col min="13" max="13" width="9.625" style="281" customWidth="1" outlineLevel="1"/>
    <col min="14" max="15" width="8.875" style="281" customWidth="1" outlineLevel="1"/>
    <col min="16" max="16" width="18.875" style="281" customWidth="1"/>
    <col min="17" max="17" width="11" style="281" customWidth="1"/>
    <col min="18" max="18" width="19.375" style="741" customWidth="1"/>
    <col min="19" max="19" width="9.875" style="281" customWidth="1"/>
    <col min="20" max="20" width="5.125" style="281" customWidth="1"/>
    <col min="21" max="21" width="8.125" style="281" customWidth="1"/>
    <col min="22" max="22" width="5.125" style="281" customWidth="1"/>
    <col min="23" max="23" width="9.125" style="281" customWidth="1"/>
    <col min="24" max="24" width="11" style="281" customWidth="1"/>
    <col min="25" max="25" width="14.75" style="281" bestFit="1" customWidth="1"/>
    <col min="26" max="27" width="4.5" style="281" customWidth="1"/>
    <col min="28" max="28" width="14.75" style="281" bestFit="1" customWidth="1"/>
    <col min="29" max="29" width="16" style="281" bestFit="1" customWidth="1"/>
    <col min="30" max="30" width="20.5" style="763" bestFit="1" customWidth="1"/>
    <col min="31" max="31" width="18.125" style="747" bestFit="1" customWidth="1"/>
    <col min="32" max="32" width="10.5" style="747" customWidth="1"/>
    <col min="33" max="33" width="16.5" style="747" customWidth="1"/>
    <col min="34" max="34" width="10.75" style="747" customWidth="1"/>
    <col min="35" max="35" width="16.5" style="747" customWidth="1"/>
    <col min="36" max="36" width="10" style="747" customWidth="1"/>
    <col min="37" max="37" width="16.5" style="747" customWidth="1"/>
    <col min="38" max="38" width="9.75" style="747" customWidth="1"/>
    <col min="39" max="39" width="16.5" style="747" customWidth="1"/>
    <col min="40" max="40" width="8.625" style="747" customWidth="1"/>
    <col min="41" max="41" width="16.5" style="747" customWidth="1"/>
    <col min="42" max="42" width="10.875" style="747" customWidth="1"/>
    <col min="43" max="54" width="16.5" style="747" customWidth="1"/>
    <col min="55" max="55" width="10.25" style="741"/>
    <col min="56" max="56" width="14.75" style="281" bestFit="1" customWidth="1"/>
    <col min="57" max="57" width="10.25" style="741"/>
    <col min="58" max="58" width="18" style="741" bestFit="1" customWidth="1"/>
    <col min="59" max="16384" width="10.25" style="741"/>
  </cols>
  <sheetData>
    <row r="1" spans="1:61" s="590" customFormat="1" ht="21" customHeight="1">
      <c r="A1" s="441" t="s">
        <v>1672</v>
      </c>
      <c r="B1" s="441"/>
      <c r="C1" s="441"/>
      <c r="D1" s="441"/>
      <c r="E1" s="441"/>
      <c r="F1" s="441"/>
      <c r="G1" s="441"/>
      <c r="H1" s="441"/>
      <c r="I1" s="441"/>
      <c r="J1" s="441"/>
      <c r="K1" s="441"/>
      <c r="L1" s="441"/>
      <c r="M1" s="441"/>
      <c r="N1" s="441"/>
      <c r="O1" s="441"/>
      <c r="P1" s="441"/>
      <c r="Q1" s="441"/>
      <c r="R1" s="441"/>
      <c r="S1" s="441"/>
      <c r="T1" s="441"/>
      <c r="U1" s="441"/>
      <c r="V1" s="441"/>
      <c r="W1" s="441"/>
      <c r="X1" s="273"/>
      <c r="Y1" s="273"/>
      <c r="Z1" s="441"/>
      <c r="AA1" s="441"/>
      <c r="AB1" s="273"/>
      <c r="AC1" s="273"/>
      <c r="AD1" s="588"/>
      <c r="AE1" s="589"/>
      <c r="AF1" s="589"/>
      <c r="AG1" s="589"/>
      <c r="AH1" s="589"/>
      <c r="AI1" s="589"/>
      <c r="AJ1" s="589"/>
      <c r="AK1" s="589"/>
      <c r="AL1" s="589"/>
      <c r="AM1" s="589"/>
      <c r="AN1" s="589"/>
      <c r="AO1" s="589"/>
      <c r="AP1" s="589"/>
      <c r="AQ1" s="589"/>
      <c r="AR1" s="589"/>
      <c r="AS1" s="589"/>
      <c r="AT1" s="589"/>
      <c r="AU1" s="589"/>
      <c r="AV1" s="589"/>
      <c r="AW1" s="589"/>
      <c r="AX1" s="589"/>
      <c r="AY1" s="589"/>
      <c r="AZ1" s="589"/>
      <c r="BA1" s="589"/>
      <c r="BB1" s="589"/>
    </row>
    <row r="2" spans="1:61" s="78" customFormat="1" ht="19.5" customHeight="1">
      <c r="A2" s="279" t="s">
        <v>1065</v>
      </c>
      <c r="B2" s="282"/>
      <c r="C2" s="282"/>
      <c r="D2" s="275"/>
      <c r="E2" s="275"/>
      <c r="F2" s="275"/>
      <c r="G2" s="275"/>
      <c r="H2" s="275"/>
      <c r="I2" s="275"/>
      <c r="J2" s="275"/>
      <c r="K2" s="275"/>
      <c r="L2" s="275"/>
      <c r="M2" s="275"/>
      <c r="N2" s="275"/>
      <c r="O2" s="275"/>
      <c r="P2" s="275"/>
      <c r="Q2" s="393" t="s">
        <v>1030</v>
      </c>
      <c r="S2" s="275"/>
      <c r="T2" s="275"/>
      <c r="U2" s="275"/>
      <c r="V2" s="275"/>
      <c r="W2" s="275"/>
      <c r="X2" s="275"/>
      <c r="Y2" s="275"/>
      <c r="Z2" s="275"/>
      <c r="AA2" s="275"/>
      <c r="AB2" s="275"/>
      <c r="AC2" s="275"/>
      <c r="AD2" s="277"/>
      <c r="AE2" s="77"/>
      <c r="AF2" s="77"/>
      <c r="AG2" s="77"/>
      <c r="AH2" s="77"/>
      <c r="AI2" s="77"/>
      <c r="AJ2" s="77"/>
      <c r="AK2" s="77"/>
      <c r="AL2" s="77"/>
      <c r="AM2" s="77"/>
      <c r="AN2" s="77"/>
      <c r="AO2" s="77"/>
      <c r="AP2" s="77"/>
      <c r="AQ2" s="77"/>
      <c r="AR2" s="77"/>
      <c r="AS2" s="77"/>
      <c r="AT2" s="77"/>
      <c r="AU2" s="77"/>
      <c r="AV2" s="77"/>
      <c r="AW2" s="77"/>
      <c r="AX2" s="77"/>
      <c r="AY2" s="77"/>
      <c r="AZ2" s="77"/>
      <c r="BA2" s="77"/>
      <c r="BB2" s="77"/>
    </row>
    <row r="3" spans="1:61" s="78" customFormat="1" ht="28.5" customHeight="1" thickBot="1">
      <c r="A3" s="513" t="s">
        <v>1031</v>
      </c>
      <c r="B3" s="514" t="s">
        <v>1036</v>
      </c>
      <c r="C3" s="515" t="s">
        <v>1037</v>
      </c>
      <c r="D3" s="552" t="s">
        <v>768</v>
      </c>
      <c r="E3" s="552" t="s">
        <v>1052</v>
      </c>
      <c r="F3" s="552" t="s">
        <v>758</v>
      </c>
      <c r="G3" s="552" t="s">
        <v>759</v>
      </c>
      <c r="H3" s="552" t="s">
        <v>760</v>
      </c>
      <c r="I3" s="552" t="s">
        <v>761</v>
      </c>
      <c r="J3" s="552" t="s">
        <v>762</v>
      </c>
      <c r="K3" s="552" t="s">
        <v>763</v>
      </c>
      <c r="L3" s="552" t="s">
        <v>764</v>
      </c>
      <c r="M3" s="552" t="s">
        <v>765</v>
      </c>
      <c r="N3" s="552" t="s">
        <v>766</v>
      </c>
      <c r="O3" s="552" t="s">
        <v>767</v>
      </c>
      <c r="P3" s="516" t="s">
        <v>1317</v>
      </c>
      <c r="Q3" s="516" t="s">
        <v>1039</v>
      </c>
      <c r="R3" s="513" t="s">
        <v>2</v>
      </c>
      <c r="S3" s="513" t="s">
        <v>1033</v>
      </c>
      <c r="T3" s="513" t="s">
        <v>1066</v>
      </c>
      <c r="U3" s="513"/>
      <c r="V3" s="551" t="s">
        <v>1067</v>
      </c>
      <c r="W3" s="552"/>
      <c r="X3" s="290"/>
      <c r="Y3" s="290"/>
      <c r="Z3" s="291" t="s">
        <v>1040</v>
      </c>
      <c r="AA3" s="587"/>
      <c r="AB3" s="275"/>
      <c r="AC3" s="275"/>
      <c r="AD3" s="277"/>
      <c r="AE3" s="77"/>
      <c r="AF3" s="77"/>
      <c r="AG3" s="77"/>
      <c r="AH3" s="77"/>
      <c r="AI3" s="77"/>
      <c r="AJ3" s="77"/>
      <c r="AK3" s="77"/>
      <c r="AL3" s="77"/>
      <c r="AM3" s="77"/>
      <c r="AN3" s="77"/>
      <c r="AO3" s="77"/>
      <c r="AP3" s="77"/>
      <c r="AQ3" s="77"/>
      <c r="AR3" s="77"/>
      <c r="AS3" s="77"/>
      <c r="AT3" s="77"/>
      <c r="AU3" s="77"/>
      <c r="AV3" s="77"/>
      <c r="AW3" s="77"/>
      <c r="AX3" s="77"/>
      <c r="AY3" s="77"/>
      <c r="AZ3" s="77"/>
      <c r="BA3" s="77"/>
      <c r="BB3" s="77"/>
    </row>
    <row r="4" spans="1:61" ht="22.5" customHeight="1">
      <c r="A4" s="490" t="s">
        <v>1673</v>
      </c>
      <c r="B4" s="554">
        <v>0.99</v>
      </c>
      <c r="C4" s="555">
        <f>B4+D4+E4+F4+G4+H4+I4+J4+K4+L4+M4+N4+O4</f>
        <v>0.995</v>
      </c>
      <c r="D4" s="525"/>
      <c r="E4" s="525"/>
      <c r="F4" s="525"/>
      <c r="G4" s="525"/>
      <c r="H4" s="72"/>
      <c r="I4" s="525"/>
      <c r="J4" s="525"/>
      <c r="K4" s="525"/>
      <c r="L4" s="72"/>
      <c r="M4" s="72">
        <v>5.0000000000000001E-3</v>
      </c>
      <c r="N4" s="72"/>
      <c r="O4" s="37"/>
      <c r="P4" s="773" t="s">
        <v>1676</v>
      </c>
      <c r="Q4" s="490" t="s">
        <v>1677</v>
      </c>
      <c r="R4" s="254" t="s">
        <v>1674</v>
      </c>
      <c r="S4" s="734" t="s">
        <v>1675</v>
      </c>
      <c r="T4" s="521" t="s">
        <v>814</v>
      </c>
      <c r="U4" s="522">
        <f>BK4/1100000</f>
        <v>0</v>
      </c>
      <c r="V4" s="523" t="s">
        <v>832</v>
      </c>
      <c r="W4" s="524" t="e">
        <f>U4*0.75-(#REF!+W5)</f>
        <v>#REF!</v>
      </c>
      <c r="X4" s="299" t="s">
        <v>812</v>
      </c>
      <c r="Y4" s="547" t="s">
        <v>813</v>
      </c>
      <c r="Z4" s="774" t="s">
        <v>1678</v>
      </c>
      <c r="AA4" s="774"/>
      <c r="AB4" s="735" t="s">
        <v>1680</v>
      </c>
      <c r="AC4" s="736">
        <v>195177000</v>
      </c>
      <c r="AD4" s="737" t="s">
        <v>1682</v>
      </c>
      <c r="AE4" s="738">
        <f>SUM(AF4:BB4)</f>
        <v>33000000</v>
      </c>
      <c r="AF4" s="739" t="s">
        <v>1078</v>
      </c>
      <c r="AG4" s="740">
        <v>23000000</v>
      </c>
      <c r="AH4" s="740" t="s">
        <v>1079</v>
      </c>
      <c r="AI4" s="740">
        <v>10000000</v>
      </c>
      <c r="AJ4" s="740" t="s">
        <v>1080</v>
      </c>
      <c r="AK4" s="740"/>
      <c r="AL4" s="740" t="s">
        <v>1080</v>
      </c>
      <c r="AM4" s="740"/>
      <c r="AN4" s="740" t="s">
        <v>1080</v>
      </c>
      <c r="AO4" s="740"/>
      <c r="AP4" s="740"/>
      <c r="AQ4" s="740"/>
      <c r="AR4" s="740"/>
      <c r="AS4" s="740"/>
      <c r="AT4" s="740"/>
      <c r="AU4" s="740"/>
      <c r="AV4" s="740"/>
      <c r="AW4" s="740"/>
      <c r="AX4" s="740"/>
      <c r="AY4" s="740"/>
      <c r="AZ4" s="740"/>
      <c r="BA4" s="740"/>
      <c r="BB4" s="740"/>
      <c r="BD4" s="742" t="s">
        <v>1683</v>
      </c>
    </row>
    <row r="5" spans="1:61" ht="22.5" customHeight="1" thickBot="1">
      <c r="A5" s="495"/>
      <c r="B5" s="558"/>
      <c r="C5" s="559"/>
      <c r="D5" s="560"/>
      <c r="E5" s="560"/>
      <c r="F5" s="560"/>
      <c r="G5" s="560"/>
      <c r="H5" s="560"/>
      <c r="I5" s="560"/>
      <c r="J5" s="560"/>
      <c r="K5" s="560"/>
      <c r="L5" s="560"/>
      <c r="M5" s="560" t="s">
        <v>1686</v>
      </c>
      <c r="N5" s="256"/>
      <c r="O5" s="225"/>
      <c r="P5" s="776"/>
      <c r="Q5" s="495"/>
      <c r="R5" s="255"/>
      <c r="S5" s="746" t="s">
        <v>1685</v>
      </c>
      <c r="T5" s="526" t="s">
        <v>817</v>
      </c>
      <c r="U5" s="527" t="e">
        <f>U4-#REF!</f>
        <v>#REF!</v>
      </c>
      <c r="V5" s="532" t="s">
        <v>818</v>
      </c>
      <c r="W5" s="529" t="e">
        <f>(#REF!+BM5)/1100000</f>
        <v>#REF!</v>
      </c>
      <c r="X5" s="533"/>
      <c r="Y5" s="742"/>
      <c r="Z5" s="775"/>
      <c r="AA5" s="775"/>
      <c r="AB5" s="735" t="s">
        <v>1688</v>
      </c>
      <c r="AC5" s="744" t="e">
        <f>AC4-#REF!</f>
        <v>#REF!</v>
      </c>
      <c r="AD5" s="737" t="s">
        <v>1690</v>
      </c>
      <c r="AE5" s="738"/>
      <c r="BC5" s="745"/>
      <c r="BD5" s="742"/>
      <c r="BE5" s="745"/>
      <c r="BF5" s="745"/>
      <c r="BG5" s="745"/>
      <c r="BH5" s="745"/>
      <c r="BI5" s="745"/>
    </row>
    <row r="6" spans="1:61" ht="22.5" customHeight="1">
      <c r="A6" s="490" t="s">
        <v>1691</v>
      </c>
      <c r="B6" s="554">
        <v>0.95</v>
      </c>
      <c r="C6" s="555">
        <f>B6+D6+E6+F6+G6+H6+I6+J6+K6+L6+M6+N6+O6</f>
        <v>0.99</v>
      </c>
      <c r="D6" s="525"/>
      <c r="E6" s="525"/>
      <c r="F6" s="525"/>
      <c r="G6" s="525"/>
      <c r="H6" s="72"/>
      <c r="I6" s="525"/>
      <c r="J6" s="525"/>
      <c r="K6" s="525">
        <v>0.01</v>
      </c>
      <c r="L6" s="72">
        <v>0.01</v>
      </c>
      <c r="M6" s="72">
        <v>0.01</v>
      </c>
      <c r="N6" s="72">
        <v>0.01</v>
      </c>
      <c r="O6" s="37"/>
      <c r="P6" s="777" t="s">
        <v>1694</v>
      </c>
      <c r="Q6" s="490" t="s">
        <v>1695</v>
      </c>
      <c r="R6" s="254" t="s">
        <v>1692</v>
      </c>
      <c r="S6" s="67" t="s">
        <v>1693</v>
      </c>
      <c r="T6" s="521" t="s">
        <v>814</v>
      </c>
      <c r="U6" s="522">
        <f>BK6/1100000</f>
        <v>0</v>
      </c>
      <c r="V6" s="523" t="s">
        <v>832</v>
      </c>
      <c r="W6" s="524" t="e">
        <f>U6*0.75-(#REF!+W7)</f>
        <v>#REF!</v>
      </c>
      <c r="X6" s="299" t="s">
        <v>812</v>
      </c>
      <c r="Y6" s="547" t="s">
        <v>813</v>
      </c>
      <c r="Z6" s="774" t="s">
        <v>1696</v>
      </c>
      <c r="AA6" s="774"/>
      <c r="AB6" s="735" t="s">
        <v>1680</v>
      </c>
      <c r="AC6" s="736">
        <f>86430000</f>
        <v>86430000</v>
      </c>
      <c r="AD6" s="749" t="s">
        <v>1682</v>
      </c>
      <c r="AE6" s="738">
        <f>SUM(AF6:BB6)</f>
        <v>0</v>
      </c>
      <c r="AF6" s="739" t="s">
        <v>1078</v>
      </c>
      <c r="AG6" s="740"/>
      <c r="AH6" s="740" t="s">
        <v>1079</v>
      </c>
      <c r="AI6" s="740"/>
      <c r="AJ6" s="740" t="s">
        <v>1080</v>
      </c>
      <c r="AK6" s="740"/>
      <c r="AL6" s="740" t="s">
        <v>1080</v>
      </c>
      <c r="AM6" s="740"/>
      <c r="AN6" s="740" t="s">
        <v>1080</v>
      </c>
      <c r="AO6" s="740"/>
      <c r="AP6" s="740"/>
      <c r="AQ6" s="740"/>
      <c r="AR6" s="740"/>
      <c r="AS6" s="740"/>
      <c r="AT6" s="740"/>
      <c r="AU6" s="740"/>
      <c r="AV6" s="740"/>
      <c r="AW6" s="740"/>
      <c r="AX6" s="740"/>
      <c r="AY6" s="740"/>
      <c r="AZ6" s="740"/>
      <c r="BA6" s="740"/>
      <c r="BB6" s="740"/>
      <c r="BD6" s="742" t="s">
        <v>1697</v>
      </c>
    </row>
    <row r="7" spans="1:61" ht="22.5" customHeight="1" thickBot="1">
      <c r="A7" s="495"/>
      <c r="B7" s="558"/>
      <c r="C7" s="559"/>
      <c r="D7" s="560"/>
      <c r="E7" s="560"/>
      <c r="F7" s="560"/>
      <c r="G7" s="560"/>
      <c r="H7" s="560"/>
      <c r="I7" s="560"/>
      <c r="J7" s="560"/>
      <c r="K7" s="560"/>
      <c r="L7" s="560" t="s">
        <v>1699</v>
      </c>
      <c r="M7" s="560" t="s">
        <v>1699</v>
      </c>
      <c r="N7" s="560" t="s">
        <v>1700</v>
      </c>
      <c r="O7" s="225"/>
      <c r="P7" s="778"/>
      <c r="Q7" s="495"/>
      <c r="R7" s="255"/>
      <c r="S7" s="74" t="s">
        <v>1698</v>
      </c>
      <c r="T7" s="526" t="s">
        <v>817</v>
      </c>
      <c r="U7" s="527" t="e">
        <f>U6-#REF!</f>
        <v>#REF!</v>
      </c>
      <c r="V7" s="532" t="s">
        <v>818</v>
      </c>
      <c r="W7" s="529" t="e">
        <f>(#REF!+BM7)/1100000</f>
        <v>#REF!</v>
      </c>
      <c r="X7" s="533"/>
      <c r="Y7" s="742"/>
      <c r="Z7" s="775"/>
      <c r="AA7" s="775"/>
      <c r="AB7" s="735" t="s">
        <v>1688</v>
      </c>
      <c r="AC7" s="744" t="e">
        <f>AC6-#REF!</f>
        <v>#REF!</v>
      </c>
      <c r="AD7" s="749" t="s">
        <v>1690</v>
      </c>
      <c r="AE7" s="738"/>
      <c r="BD7" s="742" t="s">
        <v>1701</v>
      </c>
    </row>
    <row r="8" spans="1:61" ht="22.5" customHeight="1">
      <c r="A8" s="563" t="s">
        <v>1702</v>
      </c>
      <c r="B8" s="554">
        <v>0.98</v>
      </c>
      <c r="C8" s="555">
        <f>B8+D8+E8+F8+G8+H8+I8+J8+K8+L8+M8+N8+O8</f>
        <v>0.99</v>
      </c>
      <c r="D8" s="525"/>
      <c r="E8" s="525"/>
      <c r="F8" s="525"/>
      <c r="G8" s="525"/>
      <c r="H8" s="72"/>
      <c r="I8" s="525"/>
      <c r="J8" s="525"/>
      <c r="K8" s="525"/>
      <c r="L8" s="72"/>
      <c r="M8" s="72"/>
      <c r="N8" s="72">
        <v>0.01</v>
      </c>
      <c r="O8" s="37"/>
      <c r="P8" s="777" t="s">
        <v>1694</v>
      </c>
      <c r="Q8" s="490" t="s">
        <v>1705</v>
      </c>
      <c r="R8" s="254" t="s">
        <v>1703</v>
      </c>
      <c r="S8" s="67" t="s">
        <v>1704</v>
      </c>
      <c r="T8" s="521" t="s">
        <v>814</v>
      </c>
      <c r="U8" s="522">
        <f>BK8/1100000</f>
        <v>0</v>
      </c>
      <c r="V8" s="523" t="s">
        <v>832</v>
      </c>
      <c r="W8" s="524" t="e">
        <f>U8*0.75-(#REF!+W9)</f>
        <v>#REF!</v>
      </c>
      <c r="X8" s="299" t="s">
        <v>812</v>
      </c>
      <c r="Y8" s="547" t="s">
        <v>813</v>
      </c>
      <c r="Z8" s="774" t="s">
        <v>1706</v>
      </c>
      <c r="AA8" s="774"/>
      <c r="AB8" s="735" t="s">
        <v>1680</v>
      </c>
      <c r="AC8" s="736">
        <f>683130000</f>
        <v>683130000</v>
      </c>
      <c r="AD8" s="749" t="s">
        <v>1681</v>
      </c>
      <c r="AE8" s="738">
        <f>SUM(AF8:BB8)</f>
        <v>0</v>
      </c>
      <c r="AF8" s="739" t="s">
        <v>1104</v>
      </c>
      <c r="AG8" s="740"/>
      <c r="AH8" s="740" t="s">
        <v>1105</v>
      </c>
      <c r="AI8" s="740"/>
      <c r="AJ8" s="740" t="s">
        <v>207</v>
      </c>
      <c r="AK8" s="740"/>
      <c r="AL8" s="740" t="s">
        <v>207</v>
      </c>
      <c r="AM8" s="740"/>
      <c r="AN8" s="740" t="s">
        <v>207</v>
      </c>
      <c r="AO8" s="740"/>
      <c r="AP8" s="740"/>
      <c r="AQ8" s="740"/>
      <c r="AR8" s="740"/>
      <c r="AS8" s="740"/>
      <c r="AT8" s="740"/>
      <c r="AU8" s="740"/>
      <c r="AV8" s="740"/>
      <c r="AW8" s="740"/>
      <c r="AX8" s="740"/>
      <c r="AY8" s="740"/>
      <c r="AZ8" s="740"/>
      <c r="BA8" s="740"/>
      <c r="BB8" s="740"/>
      <c r="BD8" s="742" t="s">
        <v>1707</v>
      </c>
    </row>
    <row r="9" spans="1:61" ht="22.5" customHeight="1" thickBot="1">
      <c r="A9" s="564"/>
      <c r="B9" s="558"/>
      <c r="C9" s="559"/>
      <c r="D9" s="560"/>
      <c r="E9" s="560"/>
      <c r="F9" s="560"/>
      <c r="G9" s="560"/>
      <c r="H9" s="560"/>
      <c r="I9" s="560"/>
      <c r="J9" s="560"/>
      <c r="K9" s="560" t="s">
        <v>1345</v>
      </c>
      <c r="L9" s="560" t="s">
        <v>1345</v>
      </c>
      <c r="M9" s="560" t="s">
        <v>1345</v>
      </c>
      <c r="N9" s="560" t="s">
        <v>1345</v>
      </c>
      <c r="O9" s="225"/>
      <c r="P9" s="778"/>
      <c r="Q9" s="495"/>
      <c r="R9" s="255"/>
      <c r="S9" s="74" t="s">
        <v>1708</v>
      </c>
      <c r="T9" s="526" t="s">
        <v>196</v>
      </c>
      <c r="U9" s="527" t="e">
        <f>U8-#REF!</f>
        <v>#REF!</v>
      </c>
      <c r="V9" s="532" t="s">
        <v>15</v>
      </c>
      <c r="W9" s="529">
        <v>223.1</v>
      </c>
      <c r="X9" s="533"/>
      <c r="Y9" s="742"/>
      <c r="Z9" s="775"/>
      <c r="AA9" s="775"/>
      <c r="AB9" s="735" t="s">
        <v>1687</v>
      </c>
      <c r="AC9" s="744" t="e">
        <f>AC8-#REF!</f>
        <v>#REF!</v>
      </c>
      <c r="AD9" s="749" t="s">
        <v>1689</v>
      </c>
      <c r="AE9" s="738"/>
      <c r="AF9" s="751"/>
      <c r="AG9" s="740"/>
      <c r="AI9" s="740"/>
      <c r="AK9" s="740"/>
      <c r="AM9" s="740"/>
      <c r="AO9" s="740"/>
      <c r="BD9" s="742"/>
    </row>
    <row r="10" spans="1:61" ht="22.5" customHeight="1">
      <c r="A10" s="490" t="s">
        <v>1709</v>
      </c>
      <c r="B10" s="554">
        <v>0.96</v>
      </c>
      <c r="C10" s="555">
        <f>B10+D10+E10+F10+G10+H10+I10+J10+K10+L10+M10+N10+O10</f>
        <v>1</v>
      </c>
      <c r="D10" s="525"/>
      <c r="E10" s="525"/>
      <c r="F10" s="525"/>
      <c r="G10" s="525">
        <v>0.01</v>
      </c>
      <c r="H10" s="72">
        <v>0.01</v>
      </c>
      <c r="I10" s="525">
        <v>0.01</v>
      </c>
      <c r="J10" s="525">
        <v>0.01</v>
      </c>
      <c r="K10" s="525"/>
      <c r="L10" s="72"/>
      <c r="M10" s="72"/>
      <c r="N10" s="72"/>
      <c r="O10" s="37"/>
      <c r="P10" s="773" t="s">
        <v>1676</v>
      </c>
      <c r="Q10" s="490" t="s">
        <v>1712</v>
      </c>
      <c r="R10" s="254" t="s">
        <v>1710</v>
      </c>
      <c r="S10" s="67" t="s">
        <v>1711</v>
      </c>
      <c r="T10" s="521" t="s">
        <v>89</v>
      </c>
      <c r="U10" s="522">
        <f>BK10/1100000</f>
        <v>0</v>
      </c>
      <c r="V10" s="523" t="s">
        <v>832</v>
      </c>
      <c r="W10" s="524" t="e">
        <f>U10*0.75-(#REF!+W11)</f>
        <v>#REF!</v>
      </c>
      <c r="X10" s="299" t="s">
        <v>812</v>
      </c>
      <c r="Y10" s="547" t="s">
        <v>813</v>
      </c>
      <c r="Z10" s="774" t="s">
        <v>1713</v>
      </c>
      <c r="AA10" s="774"/>
      <c r="AB10" s="735" t="s">
        <v>1680</v>
      </c>
      <c r="AC10" s="736">
        <v>176736000</v>
      </c>
      <c r="AD10" s="749" t="s">
        <v>1682</v>
      </c>
      <c r="AE10" s="738">
        <f>SUM(AF10:BB10)</f>
        <v>0</v>
      </c>
      <c r="AF10" s="739" t="s">
        <v>1078</v>
      </c>
      <c r="AG10" s="740"/>
      <c r="AH10" s="740" t="s">
        <v>1079</v>
      </c>
      <c r="AI10" s="740"/>
      <c r="AJ10" s="740" t="s">
        <v>1080</v>
      </c>
      <c r="AK10" s="740"/>
      <c r="AL10" s="740" t="s">
        <v>1080</v>
      </c>
      <c r="AM10" s="740"/>
      <c r="AN10" s="740" t="s">
        <v>1080</v>
      </c>
      <c r="AO10" s="740"/>
      <c r="AP10" s="740"/>
      <c r="AQ10" s="740"/>
      <c r="AR10" s="740"/>
      <c r="AS10" s="740"/>
      <c r="AT10" s="740"/>
      <c r="AU10" s="740"/>
      <c r="AV10" s="740"/>
      <c r="AW10" s="740"/>
      <c r="AX10" s="740"/>
      <c r="AY10" s="740"/>
      <c r="AZ10" s="740"/>
      <c r="BA10" s="740"/>
      <c r="BB10" s="740"/>
      <c r="BD10" s="742" t="s">
        <v>1714</v>
      </c>
    </row>
    <row r="11" spans="1:61" ht="22.5" customHeight="1" thickBot="1">
      <c r="A11" s="495"/>
      <c r="B11" s="558"/>
      <c r="C11" s="559"/>
      <c r="D11" s="560"/>
      <c r="E11" s="560"/>
      <c r="F11" s="560"/>
      <c r="G11" s="560" t="s">
        <v>1715</v>
      </c>
      <c r="H11" s="560" t="s">
        <v>1716</v>
      </c>
      <c r="I11" s="560" t="s">
        <v>1717</v>
      </c>
      <c r="J11" s="560" t="s">
        <v>1717</v>
      </c>
      <c r="K11" s="560"/>
      <c r="L11" s="560"/>
      <c r="M11" s="560"/>
      <c r="N11" s="256"/>
      <c r="O11" s="225"/>
      <c r="P11" s="776"/>
      <c r="Q11" s="495"/>
      <c r="R11" s="255"/>
      <c r="S11" s="74" t="s">
        <v>1698</v>
      </c>
      <c r="T11" s="526" t="s">
        <v>817</v>
      </c>
      <c r="U11" s="527" t="e">
        <f>U10-#REF!</f>
        <v>#REF!</v>
      </c>
      <c r="V11" s="532" t="s">
        <v>818</v>
      </c>
      <c r="W11" s="529" t="e">
        <f>(#REF!+BM11)/1100000</f>
        <v>#REF!</v>
      </c>
      <c r="X11" s="533"/>
      <c r="Y11" s="742"/>
      <c r="Z11" s="775"/>
      <c r="AA11" s="775"/>
      <c r="AB11" s="735" t="s">
        <v>1688</v>
      </c>
      <c r="AC11" s="744" t="e">
        <f>AC10-#REF!</f>
        <v>#REF!</v>
      </c>
      <c r="AD11" s="749" t="s">
        <v>1690</v>
      </c>
      <c r="AE11" s="738"/>
      <c r="BD11" s="742" t="s">
        <v>1718</v>
      </c>
    </row>
    <row r="12" spans="1:61" ht="22.5" customHeight="1">
      <c r="A12" s="490" t="s">
        <v>1719</v>
      </c>
      <c r="B12" s="554">
        <v>0.99</v>
      </c>
      <c r="C12" s="555">
        <f>B12+D12+E12+F12+G12+H12+I12+J12+K12+L12+M12+N12+O12</f>
        <v>1</v>
      </c>
      <c r="D12" s="525"/>
      <c r="E12" s="525"/>
      <c r="F12" s="525"/>
      <c r="G12" s="525"/>
      <c r="H12" s="72">
        <v>0.01</v>
      </c>
      <c r="I12" s="525"/>
      <c r="J12" s="525"/>
      <c r="K12" s="525"/>
      <c r="L12" s="72"/>
      <c r="M12" s="72"/>
      <c r="N12" s="72"/>
      <c r="O12" s="37"/>
      <c r="P12" s="773" t="s">
        <v>1676</v>
      </c>
      <c r="Q12" s="490" t="s">
        <v>1722</v>
      </c>
      <c r="R12" s="254" t="s">
        <v>1720</v>
      </c>
      <c r="S12" s="67" t="s">
        <v>1721</v>
      </c>
      <c r="T12" s="521" t="s">
        <v>814</v>
      </c>
      <c r="U12" s="522">
        <f>BK12/1100000</f>
        <v>0</v>
      </c>
      <c r="V12" s="523" t="s">
        <v>832</v>
      </c>
      <c r="W12" s="524" t="e">
        <f>U12*0.75-(#REF!+W13)</f>
        <v>#REF!</v>
      </c>
      <c r="X12" s="299" t="s">
        <v>812</v>
      </c>
      <c r="Y12" s="547" t="s">
        <v>813</v>
      </c>
      <c r="Z12" s="774" t="s">
        <v>1147</v>
      </c>
      <c r="AA12" s="774"/>
      <c r="AB12" s="735" t="s">
        <v>1680</v>
      </c>
      <c r="AC12" s="736">
        <f>265450000</f>
        <v>265450000</v>
      </c>
      <c r="AD12" s="749" t="s">
        <v>1681</v>
      </c>
      <c r="AE12" s="738">
        <f>SUM(AF12:BB12)</f>
        <v>0</v>
      </c>
      <c r="AF12" s="739" t="s">
        <v>1104</v>
      </c>
      <c r="AG12" s="740"/>
      <c r="AH12" s="740" t="s">
        <v>1105</v>
      </c>
      <c r="AI12" s="740"/>
      <c r="AJ12" s="740" t="s">
        <v>207</v>
      </c>
      <c r="AK12" s="740"/>
      <c r="AL12" s="740" t="s">
        <v>207</v>
      </c>
      <c r="AM12" s="740"/>
      <c r="AN12" s="740" t="s">
        <v>207</v>
      </c>
      <c r="AO12" s="740"/>
      <c r="AP12" s="740"/>
      <c r="AQ12" s="740"/>
      <c r="AR12" s="740"/>
      <c r="AS12" s="740"/>
      <c r="AT12" s="740"/>
      <c r="AU12" s="740"/>
      <c r="AV12" s="740"/>
      <c r="AW12" s="740"/>
      <c r="AX12" s="740"/>
      <c r="AY12" s="740"/>
      <c r="AZ12" s="740"/>
      <c r="BA12" s="740"/>
      <c r="BB12" s="740"/>
      <c r="BD12" s="742" t="s">
        <v>1723</v>
      </c>
    </row>
    <row r="13" spans="1:61" ht="22.5" customHeight="1" thickBot="1">
      <c r="A13" s="495"/>
      <c r="B13" s="558"/>
      <c r="C13" s="559"/>
      <c r="D13" s="560"/>
      <c r="E13" s="560"/>
      <c r="F13" s="560"/>
      <c r="G13" s="560"/>
      <c r="H13" s="560" t="s">
        <v>102</v>
      </c>
      <c r="I13" s="560"/>
      <c r="J13" s="560"/>
      <c r="K13" s="560"/>
      <c r="L13" s="560"/>
      <c r="M13" s="560"/>
      <c r="N13" s="256"/>
      <c r="O13" s="225"/>
      <c r="P13" s="776"/>
      <c r="Q13" s="495"/>
      <c r="R13" s="255"/>
      <c r="S13" s="74" t="s">
        <v>1684</v>
      </c>
      <c r="T13" s="526" t="s">
        <v>196</v>
      </c>
      <c r="U13" s="527" t="e">
        <f>U12-#REF!</f>
        <v>#REF!</v>
      </c>
      <c r="V13" s="532" t="s">
        <v>15</v>
      </c>
      <c r="W13" s="529" t="e">
        <f>(#REF!+BM13)/1100000</f>
        <v>#REF!</v>
      </c>
      <c r="X13" s="533"/>
      <c r="Y13" s="742"/>
      <c r="Z13" s="775"/>
      <c r="AA13" s="775"/>
      <c r="AB13" s="735" t="s">
        <v>1687</v>
      </c>
      <c r="AC13" s="744" t="e">
        <f>AC12-#REF!</f>
        <v>#REF!</v>
      </c>
      <c r="AD13" s="749" t="s">
        <v>1689</v>
      </c>
      <c r="AE13" s="738"/>
      <c r="BD13" s="742" t="s">
        <v>1724</v>
      </c>
    </row>
    <row r="14" spans="1:61" ht="22.5" customHeight="1">
      <c r="A14" s="490" t="s">
        <v>1725</v>
      </c>
      <c r="B14" s="554">
        <v>0.98</v>
      </c>
      <c r="C14" s="555">
        <f>B14+D14+E14+F14+G14+H14+I14+J14+K14+L14+M14+N14+O14</f>
        <v>1</v>
      </c>
      <c r="D14" s="525"/>
      <c r="E14" s="525"/>
      <c r="F14" s="525"/>
      <c r="G14" s="525"/>
      <c r="H14" s="72"/>
      <c r="I14" s="525"/>
      <c r="J14" s="525">
        <v>0.01</v>
      </c>
      <c r="K14" s="525">
        <v>0.01</v>
      </c>
      <c r="L14" s="72"/>
      <c r="M14" s="72"/>
      <c r="N14" s="72"/>
      <c r="O14" s="37"/>
      <c r="P14" s="773" t="s">
        <v>1728</v>
      </c>
      <c r="Q14" s="490" t="s">
        <v>1729</v>
      </c>
      <c r="R14" s="254" t="s">
        <v>1726</v>
      </c>
      <c r="S14" s="67" t="s">
        <v>1727</v>
      </c>
      <c r="T14" s="521" t="s">
        <v>89</v>
      </c>
      <c r="U14" s="522">
        <f>BK14/1100000</f>
        <v>0</v>
      </c>
      <c r="V14" s="523" t="s">
        <v>7</v>
      </c>
      <c r="W14" s="524" t="e">
        <f>U14*0.75-(#REF!+W15)</f>
        <v>#REF!</v>
      </c>
      <c r="X14" s="299" t="s">
        <v>90</v>
      </c>
      <c r="Y14" s="547" t="s">
        <v>34</v>
      </c>
      <c r="Z14" s="774" t="s">
        <v>84</v>
      </c>
      <c r="AA14" s="774"/>
      <c r="AB14" s="735" t="s">
        <v>1679</v>
      </c>
      <c r="AC14" s="736">
        <v>185786000</v>
      </c>
      <c r="AD14" s="749" t="s">
        <v>1681</v>
      </c>
      <c r="AE14" s="738">
        <f>SUM(AF14:BB14)</f>
        <v>19000000</v>
      </c>
      <c r="AF14" s="739" t="s">
        <v>1104</v>
      </c>
      <c r="AG14" s="740">
        <v>19000000</v>
      </c>
      <c r="AH14" s="740" t="s">
        <v>1105</v>
      </c>
      <c r="AI14" s="740"/>
      <c r="AJ14" s="740" t="s">
        <v>207</v>
      </c>
      <c r="AK14" s="740"/>
      <c r="AL14" s="740" t="s">
        <v>207</v>
      </c>
      <c r="AM14" s="740"/>
      <c r="AN14" s="740" t="s">
        <v>207</v>
      </c>
      <c r="AO14" s="740"/>
      <c r="AP14" s="740"/>
      <c r="AQ14" s="740"/>
      <c r="AR14" s="740"/>
      <c r="AS14" s="740"/>
      <c r="AT14" s="740"/>
      <c r="AU14" s="740"/>
      <c r="AV14" s="740"/>
      <c r="AW14" s="740"/>
      <c r="AX14" s="740"/>
      <c r="AY14" s="740"/>
      <c r="AZ14" s="740"/>
      <c r="BA14" s="740"/>
      <c r="BB14" s="740"/>
      <c r="BD14" s="742" t="s">
        <v>1730</v>
      </c>
    </row>
    <row r="15" spans="1:61" ht="22.5" customHeight="1" thickBot="1">
      <c r="A15" s="495"/>
      <c r="B15" s="558"/>
      <c r="C15" s="559"/>
      <c r="D15" s="560"/>
      <c r="E15" s="560"/>
      <c r="F15" s="560"/>
      <c r="G15" s="560"/>
      <c r="H15" s="560"/>
      <c r="I15" s="560"/>
      <c r="J15" s="560" t="s">
        <v>1731</v>
      </c>
      <c r="K15" s="560"/>
      <c r="L15" s="560"/>
      <c r="M15" s="560"/>
      <c r="N15" s="256"/>
      <c r="O15" s="225"/>
      <c r="P15" s="776"/>
      <c r="Q15" s="495"/>
      <c r="R15" s="255"/>
      <c r="S15" s="74" t="s">
        <v>1708</v>
      </c>
      <c r="T15" s="526" t="s">
        <v>196</v>
      </c>
      <c r="U15" s="527" t="e">
        <f>U14-#REF!</f>
        <v>#REF!</v>
      </c>
      <c r="V15" s="532" t="s">
        <v>15</v>
      </c>
      <c r="W15" s="529" t="e">
        <f>(#REF!+BM15)/1100000</f>
        <v>#REF!</v>
      </c>
      <c r="X15" s="533"/>
      <c r="Y15" s="742"/>
      <c r="Z15" s="775"/>
      <c r="AA15" s="775"/>
      <c r="AB15" s="735" t="s">
        <v>1687</v>
      </c>
      <c r="AC15" s="744" t="e">
        <f>AC14-#REF!</f>
        <v>#REF!</v>
      </c>
      <c r="AD15" s="749" t="s">
        <v>1689</v>
      </c>
      <c r="AE15" s="752"/>
      <c r="BD15" s="742" t="s">
        <v>1732</v>
      </c>
    </row>
    <row r="16" spans="1:61" ht="22.5" customHeight="1">
      <c r="A16" s="490" t="s">
        <v>1593</v>
      </c>
      <c r="B16" s="554">
        <v>0.48</v>
      </c>
      <c r="C16" s="555">
        <f>B16+D16+E16+F16+G16+H16+I16+J16+K16+L16+M16+N16+O16</f>
        <v>0.93000000000000038</v>
      </c>
      <c r="D16" s="525">
        <v>7.0000000000000007E-2</v>
      </c>
      <c r="E16" s="525">
        <v>0.05</v>
      </c>
      <c r="F16" s="525">
        <v>0.05</v>
      </c>
      <c r="G16" s="525">
        <v>0.05</v>
      </c>
      <c r="H16" s="72">
        <v>0.05</v>
      </c>
      <c r="I16" s="525">
        <v>0.05</v>
      </c>
      <c r="J16" s="525">
        <v>0.05</v>
      </c>
      <c r="K16" s="525">
        <v>0.05</v>
      </c>
      <c r="L16" s="72">
        <v>0.01</v>
      </c>
      <c r="M16" s="72">
        <v>0.01</v>
      </c>
      <c r="N16" s="72">
        <v>0.01</v>
      </c>
      <c r="O16" s="37"/>
      <c r="P16" s="490"/>
      <c r="Q16" s="490" t="s">
        <v>1735</v>
      </c>
      <c r="R16" s="553" t="s">
        <v>1733</v>
      </c>
      <c r="S16" s="67" t="s">
        <v>1734</v>
      </c>
      <c r="T16" s="521" t="s">
        <v>89</v>
      </c>
      <c r="U16" s="753">
        <f t="shared" ref="U16" si="0">BK16/1100000</f>
        <v>0</v>
      </c>
      <c r="V16" s="523" t="s">
        <v>7</v>
      </c>
      <c r="W16" s="524" t="e">
        <f>U16*0.75-(#REF!+W17)</f>
        <v>#REF!</v>
      </c>
      <c r="X16" s="299" t="s">
        <v>90</v>
      </c>
      <c r="Y16" s="547" t="s">
        <v>34</v>
      </c>
      <c r="Z16" s="774" t="s">
        <v>112</v>
      </c>
      <c r="AA16" s="774"/>
      <c r="AB16" s="735" t="s">
        <v>1679</v>
      </c>
      <c r="AC16" s="744">
        <f>(BF16*1.1)*0.3</f>
        <v>1650000000</v>
      </c>
      <c r="AD16" s="749" t="s">
        <v>1681</v>
      </c>
      <c r="AE16" s="738">
        <f>SUM(AF16:BB16)</f>
        <v>10000000</v>
      </c>
      <c r="AF16" s="739" t="s">
        <v>1736</v>
      </c>
      <c r="AG16" s="740">
        <v>10000000</v>
      </c>
      <c r="AH16" s="740" t="s">
        <v>1105</v>
      </c>
      <c r="AI16" s="740"/>
      <c r="AJ16" s="740" t="s">
        <v>207</v>
      </c>
      <c r="AK16" s="740"/>
      <c r="AL16" s="740" t="s">
        <v>207</v>
      </c>
      <c r="AM16" s="740"/>
      <c r="AN16" s="740" t="s">
        <v>207</v>
      </c>
      <c r="AO16" s="740"/>
      <c r="AP16" s="740"/>
      <c r="AQ16" s="740"/>
      <c r="AR16" s="740"/>
      <c r="AS16" s="740"/>
      <c r="AT16" s="740"/>
      <c r="AU16" s="740"/>
      <c r="AV16" s="740"/>
      <c r="AW16" s="740"/>
      <c r="AX16" s="740"/>
      <c r="AY16" s="740"/>
      <c r="AZ16" s="740"/>
      <c r="BA16" s="740"/>
      <c r="BB16" s="740"/>
      <c r="BD16" s="742" t="s">
        <v>1737</v>
      </c>
      <c r="BE16" s="741" t="s">
        <v>1738</v>
      </c>
      <c r="BF16" s="747">
        <v>5000000000</v>
      </c>
    </row>
    <row r="17" spans="1:58" ht="22.5" customHeight="1" thickBot="1">
      <c r="A17" s="495"/>
      <c r="B17" s="558"/>
      <c r="C17" s="559"/>
      <c r="D17" s="560"/>
      <c r="E17" s="560"/>
      <c r="F17" s="560"/>
      <c r="G17" s="560" t="s">
        <v>1739</v>
      </c>
      <c r="H17" s="560"/>
      <c r="I17" s="560" t="s">
        <v>1739</v>
      </c>
      <c r="J17" s="560" t="s">
        <v>1739</v>
      </c>
      <c r="K17" s="560" t="s">
        <v>1739</v>
      </c>
      <c r="L17" s="560" t="s">
        <v>1739</v>
      </c>
      <c r="M17" s="560" t="s">
        <v>1739</v>
      </c>
      <c r="N17" s="560" t="s">
        <v>1739</v>
      </c>
      <c r="O17" s="225"/>
      <c r="P17" s="607"/>
      <c r="Q17" s="495"/>
      <c r="R17" s="557"/>
      <c r="S17" s="74" t="s">
        <v>1708</v>
      </c>
      <c r="T17" s="526" t="s">
        <v>196</v>
      </c>
      <c r="U17" s="527" t="e">
        <f>U16-#REF!</f>
        <v>#REF!</v>
      </c>
      <c r="V17" s="532" t="s">
        <v>15</v>
      </c>
      <c r="W17" s="529" t="e">
        <f>(#REF!+BM17)/1100000</f>
        <v>#REF!</v>
      </c>
      <c r="X17" s="533"/>
      <c r="Y17" s="742"/>
      <c r="Z17" s="775"/>
      <c r="AA17" s="775"/>
      <c r="AB17" s="735" t="s">
        <v>1687</v>
      </c>
      <c r="AC17" s="744" t="e">
        <f>AC16-#REF!</f>
        <v>#REF!</v>
      </c>
      <c r="AD17" s="749" t="s">
        <v>1689</v>
      </c>
      <c r="AE17" s="738"/>
      <c r="BC17" s="745"/>
      <c r="BD17" s="742"/>
      <c r="BF17" s="754"/>
    </row>
    <row r="18" spans="1:58" ht="22.5" customHeight="1">
      <c r="A18" s="490" t="s">
        <v>1015</v>
      </c>
      <c r="B18" s="554">
        <v>0.9</v>
      </c>
      <c r="C18" s="555">
        <f>B18+D18+E18+F18+G18+H18+I18+J18+K18+L18+M18+N18+O18</f>
        <v>0.98000000000000009</v>
      </c>
      <c r="D18" s="525"/>
      <c r="E18" s="525"/>
      <c r="F18" s="525"/>
      <c r="G18" s="525"/>
      <c r="H18" s="72">
        <v>0.04</v>
      </c>
      <c r="I18" s="525">
        <v>0.02</v>
      </c>
      <c r="J18" s="525">
        <v>0.02</v>
      </c>
      <c r="K18" s="525"/>
      <c r="L18" s="72"/>
      <c r="M18" s="72"/>
      <c r="N18" s="72"/>
      <c r="O18" s="37"/>
      <c r="P18" s="779"/>
      <c r="Q18" s="490" t="s">
        <v>1741</v>
      </c>
      <c r="R18" s="553" t="s">
        <v>1740</v>
      </c>
      <c r="S18" s="67" t="s">
        <v>76</v>
      </c>
      <c r="T18" s="521" t="s">
        <v>89</v>
      </c>
      <c r="U18" s="522">
        <f t="shared" ref="U18" si="1">BK18/1100000</f>
        <v>0</v>
      </c>
      <c r="V18" s="523" t="s">
        <v>7</v>
      </c>
      <c r="W18" s="524" t="e">
        <f>U18*0.75-(#REF!+W19)</f>
        <v>#REF!</v>
      </c>
      <c r="X18" s="299" t="s">
        <v>90</v>
      </c>
      <c r="Y18" s="547" t="s">
        <v>34</v>
      </c>
      <c r="Z18" s="774" t="s">
        <v>1742</v>
      </c>
      <c r="AA18" s="774"/>
      <c r="AB18" s="735" t="s">
        <v>1679</v>
      </c>
      <c r="AC18" s="744">
        <v>212871000</v>
      </c>
      <c r="AD18" s="749" t="s">
        <v>1681</v>
      </c>
      <c r="AE18" s="738">
        <f>SUM(AF18:BB18)</f>
        <v>66500000</v>
      </c>
      <c r="AF18" s="739" t="s">
        <v>1743</v>
      </c>
      <c r="AG18" s="740">
        <v>20000000</v>
      </c>
      <c r="AH18" s="740" t="s">
        <v>1744</v>
      </c>
      <c r="AI18" s="740">
        <v>31200000</v>
      </c>
      <c r="AJ18" s="740" t="s">
        <v>1745</v>
      </c>
      <c r="AK18" s="740">
        <v>3100000</v>
      </c>
      <c r="AL18" s="740" t="s">
        <v>797</v>
      </c>
      <c r="AM18" s="740">
        <v>4000000</v>
      </c>
      <c r="AN18" s="740" t="s">
        <v>36</v>
      </c>
      <c r="AO18" s="740">
        <v>8200000</v>
      </c>
      <c r="AP18" s="740"/>
      <c r="AQ18" s="740"/>
      <c r="AR18" s="740"/>
      <c r="AS18" s="740"/>
      <c r="AT18" s="740"/>
      <c r="AU18" s="740"/>
      <c r="AV18" s="740"/>
      <c r="AW18" s="740"/>
      <c r="AX18" s="740"/>
      <c r="AY18" s="740"/>
      <c r="AZ18" s="740"/>
      <c r="BA18" s="740"/>
      <c r="BB18" s="740"/>
      <c r="BD18" s="742" t="s">
        <v>1746</v>
      </c>
      <c r="BE18" s="741" t="s">
        <v>1738</v>
      </c>
      <c r="BF18" s="747">
        <v>865700000</v>
      </c>
    </row>
    <row r="19" spans="1:58" ht="22.5" customHeight="1" thickBot="1">
      <c r="A19" s="495"/>
      <c r="B19" s="558"/>
      <c r="C19" s="559"/>
      <c r="D19" s="560"/>
      <c r="E19" s="560"/>
      <c r="F19" s="560"/>
      <c r="G19" s="560"/>
      <c r="H19" s="560" t="s">
        <v>1748</v>
      </c>
      <c r="I19" s="560" t="s">
        <v>1749</v>
      </c>
      <c r="J19" s="560" t="s">
        <v>1750</v>
      </c>
      <c r="K19" s="560" t="s">
        <v>1750</v>
      </c>
      <c r="L19" s="560"/>
      <c r="M19" s="780" t="s">
        <v>1751</v>
      </c>
      <c r="N19" s="780" t="s">
        <v>1751</v>
      </c>
      <c r="O19" s="225"/>
      <c r="P19" s="781"/>
      <c r="Q19" s="495"/>
      <c r="R19" s="557"/>
      <c r="S19" s="74" t="s">
        <v>1747</v>
      </c>
      <c r="T19" s="526" t="s">
        <v>196</v>
      </c>
      <c r="U19" s="527" t="e">
        <f>U18-#REF!</f>
        <v>#REF!</v>
      </c>
      <c r="V19" s="532" t="s">
        <v>15</v>
      </c>
      <c r="W19" s="529" t="e">
        <f>(#REF!+BM19)/1100000</f>
        <v>#REF!</v>
      </c>
      <c r="X19" s="533"/>
      <c r="Y19" s="755"/>
      <c r="Z19" s="775"/>
      <c r="AA19" s="775"/>
      <c r="AB19" s="735" t="s">
        <v>1687</v>
      </c>
      <c r="AC19" s="744" t="e">
        <f>AC18-#REF!</f>
        <v>#REF!</v>
      </c>
      <c r="AD19" s="749" t="s">
        <v>1689</v>
      </c>
      <c r="AE19" s="738"/>
      <c r="BC19" s="745"/>
      <c r="BD19" s="742"/>
    </row>
    <row r="20" spans="1:58" ht="22.5" customHeight="1">
      <c r="A20" s="490" t="s">
        <v>1752</v>
      </c>
      <c r="B20" s="554">
        <v>0.4</v>
      </c>
      <c r="C20" s="555">
        <f>B20+D20+E20+F20+G20+H20+I20+J20+K20+L20+M20+N20+O20</f>
        <v>0.96000000000000019</v>
      </c>
      <c r="D20" s="525">
        <v>0.13</v>
      </c>
      <c r="E20" s="525">
        <v>0.15</v>
      </c>
      <c r="F20" s="525">
        <v>0.1</v>
      </c>
      <c r="G20" s="525">
        <v>0.05</v>
      </c>
      <c r="H20" s="72">
        <v>0.03</v>
      </c>
      <c r="I20" s="525">
        <v>0.03</v>
      </c>
      <c r="J20" s="525">
        <v>0.03</v>
      </c>
      <c r="K20" s="525">
        <v>0.03</v>
      </c>
      <c r="L20" s="72">
        <v>0.01</v>
      </c>
      <c r="M20" s="72"/>
      <c r="N20" s="72"/>
      <c r="O20" s="37"/>
      <c r="P20" s="779"/>
      <c r="Q20" s="490" t="s">
        <v>1755</v>
      </c>
      <c r="R20" s="254" t="s">
        <v>1753</v>
      </c>
      <c r="S20" s="67" t="s">
        <v>1754</v>
      </c>
      <c r="T20" s="521" t="s">
        <v>89</v>
      </c>
      <c r="U20" s="522">
        <f>BK20/1100000</f>
        <v>0</v>
      </c>
      <c r="V20" s="523" t="s">
        <v>7</v>
      </c>
      <c r="W20" s="524" t="e">
        <f>U20*0.75-(#REF!+W21)</f>
        <v>#REF!</v>
      </c>
      <c r="X20" s="299" t="s">
        <v>90</v>
      </c>
      <c r="Y20" s="547" t="s">
        <v>34</v>
      </c>
      <c r="Z20" s="774" t="s">
        <v>284</v>
      </c>
      <c r="AA20" s="774"/>
      <c r="AB20" s="735" t="s">
        <v>1679</v>
      </c>
      <c r="AC20" s="744">
        <v>609990000</v>
      </c>
      <c r="AD20" s="749" t="s">
        <v>1681</v>
      </c>
      <c r="AE20" s="738">
        <f>SUM(AF20:BB20)</f>
        <v>0</v>
      </c>
      <c r="AF20" s="739"/>
      <c r="AG20" s="740"/>
      <c r="AH20" s="740"/>
      <c r="AI20" s="740"/>
      <c r="AJ20" s="740"/>
      <c r="AK20" s="740"/>
      <c r="AL20" s="740"/>
      <c r="AM20" s="740"/>
      <c r="AN20" s="740"/>
      <c r="AO20" s="740"/>
      <c r="AP20" s="740"/>
      <c r="AQ20" s="740"/>
      <c r="AR20" s="740"/>
      <c r="AS20" s="740"/>
      <c r="AT20" s="740"/>
      <c r="AU20" s="740"/>
      <c r="AV20" s="740"/>
      <c r="AW20" s="740"/>
      <c r="AX20" s="740"/>
      <c r="AY20" s="740"/>
      <c r="AZ20" s="740"/>
      <c r="BA20" s="740"/>
      <c r="BB20" s="740"/>
      <c r="BD20" s="742"/>
    </row>
    <row r="21" spans="1:58" ht="22.5" customHeight="1" thickBot="1">
      <c r="A21" s="495"/>
      <c r="B21" s="558"/>
      <c r="C21" s="559"/>
      <c r="D21" s="560"/>
      <c r="E21" s="560"/>
      <c r="F21" s="560"/>
      <c r="G21" s="560" t="s">
        <v>1757</v>
      </c>
      <c r="H21" s="560"/>
      <c r="I21" s="560" t="s">
        <v>1757</v>
      </c>
      <c r="J21" s="560" t="s">
        <v>1758</v>
      </c>
      <c r="K21" s="560" t="s">
        <v>1345</v>
      </c>
      <c r="L21" s="560" t="s">
        <v>1345</v>
      </c>
      <c r="M21" s="560" t="s">
        <v>1345</v>
      </c>
      <c r="N21" s="256"/>
      <c r="O21" s="225"/>
      <c r="P21" s="781"/>
      <c r="Q21" s="495"/>
      <c r="R21" s="255"/>
      <c r="S21" s="746" t="s">
        <v>1756</v>
      </c>
      <c r="T21" s="526" t="s">
        <v>196</v>
      </c>
      <c r="U21" s="527" t="e">
        <f>U20-#REF!</f>
        <v>#REF!</v>
      </c>
      <c r="V21" s="532" t="s">
        <v>15</v>
      </c>
      <c r="W21" s="529" t="e">
        <f>(#REF!+BM21)/1100000</f>
        <v>#REF!</v>
      </c>
      <c r="X21" s="533"/>
      <c r="Y21" s="756"/>
      <c r="Z21" s="775"/>
      <c r="AA21" s="775"/>
      <c r="AB21" s="735" t="s">
        <v>1687</v>
      </c>
      <c r="AC21" s="744" t="e">
        <f>AC20-#REF!</f>
        <v>#REF!</v>
      </c>
      <c r="AD21" s="749" t="s">
        <v>1689</v>
      </c>
      <c r="AE21" s="738"/>
      <c r="BD21" s="742"/>
    </row>
    <row r="22" spans="1:58" ht="22.5" customHeight="1">
      <c r="A22" s="490" t="s">
        <v>1759</v>
      </c>
      <c r="B22" s="554"/>
      <c r="C22" s="555">
        <f>B22+D22+E22+F22+G22+H22+I22+J22+K22+L22+M22+N22+O22</f>
        <v>0.18999999999999997</v>
      </c>
      <c r="D22" s="525"/>
      <c r="E22" s="525"/>
      <c r="F22" s="525"/>
      <c r="G22" s="525"/>
      <c r="H22" s="72">
        <v>0.05</v>
      </c>
      <c r="I22" s="72">
        <v>0.06</v>
      </c>
      <c r="J22" s="525">
        <v>0.06</v>
      </c>
      <c r="K22" s="525">
        <v>0.02</v>
      </c>
      <c r="L22" s="72"/>
      <c r="M22" s="72"/>
      <c r="N22" s="72"/>
      <c r="O22" s="37"/>
      <c r="P22" s="777"/>
      <c r="Q22" s="490" t="s">
        <v>1762</v>
      </c>
      <c r="R22" s="254" t="s">
        <v>1760</v>
      </c>
      <c r="S22" s="67" t="s">
        <v>1761</v>
      </c>
      <c r="T22" s="521" t="s">
        <v>89</v>
      </c>
      <c r="U22" s="522">
        <f>BK22/1100000</f>
        <v>0</v>
      </c>
      <c r="V22" s="523" t="s">
        <v>7</v>
      </c>
      <c r="W22" s="524" t="e">
        <f>U22*0.75-(#REF!+W23)</f>
        <v>#REF!</v>
      </c>
      <c r="X22" s="299" t="s">
        <v>90</v>
      </c>
      <c r="Y22" s="547" t="s">
        <v>34</v>
      </c>
      <c r="Z22" s="774" t="s">
        <v>1763</v>
      </c>
      <c r="AA22" s="774"/>
      <c r="AB22" s="735" t="s">
        <v>1679</v>
      </c>
      <c r="AC22" s="744">
        <v>341027000</v>
      </c>
      <c r="AD22" s="749" t="s">
        <v>1681</v>
      </c>
      <c r="AE22" s="738">
        <f>SUM(AF22:BB22)</f>
        <v>0</v>
      </c>
      <c r="AF22" s="739"/>
      <c r="AG22" s="740"/>
      <c r="AH22" s="740"/>
      <c r="AI22" s="740"/>
      <c r="AJ22" s="740"/>
      <c r="AK22" s="740"/>
      <c r="AL22" s="740"/>
      <c r="AM22" s="740"/>
      <c r="AN22" s="740"/>
      <c r="AO22" s="740"/>
      <c r="AP22" s="740"/>
      <c r="AQ22" s="740"/>
      <c r="AR22" s="740"/>
      <c r="AS22" s="740"/>
      <c r="AT22" s="740"/>
      <c r="AU22" s="740"/>
      <c r="AV22" s="740"/>
      <c r="AW22" s="740"/>
      <c r="AX22" s="740"/>
      <c r="AY22" s="740"/>
      <c r="AZ22" s="740"/>
      <c r="BA22" s="740"/>
      <c r="BB22" s="740"/>
      <c r="BD22" s="757">
        <v>40</v>
      </c>
    </row>
    <row r="23" spans="1:58" ht="22.5" customHeight="1" thickBot="1">
      <c r="A23" s="495"/>
      <c r="B23" s="558"/>
      <c r="C23" s="559"/>
      <c r="D23" s="560"/>
      <c r="E23" s="560"/>
      <c r="F23" s="560"/>
      <c r="G23" s="560"/>
      <c r="H23" s="560"/>
      <c r="I23" s="560" t="s">
        <v>1765</v>
      </c>
      <c r="J23" s="560" t="s">
        <v>1766</v>
      </c>
      <c r="K23" s="560" t="s">
        <v>1767</v>
      </c>
      <c r="L23" s="560" t="s">
        <v>1768</v>
      </c>
      <c r="M23" s="560" t="s">
        <v>1768</v>
      </c>
      <c r="N23" s="560" t="s">
        <v>1768</v>
      </c>
      <c r="O23" s="225"/>
      <c r="P23" s="778"/>
      <c r="Q23" s="495"/>
      <c r="R23" s="255"/>
      <c r="S23" s="746" t="s">
        <v>1764</v>
      </c>
      <c r="T23" s="526" t="s">
        <v>196</v>
      </c>
      <c r="U23" s="527" t="e">
        <f>U22-#REF!</f>
        <v>#REF!</v>
      </c>
      <c r="V23" s="532" t="s">
        <v>15</v>
      </c>
      <c r="W23" s="529" t="e">
        <f>(#REF!+BM23)/1100000</f>
        <v>#REF!</v>
      </c>
      <c r="X23" s="533"/>
      <c r="Y23" s="742"/>
      <c r="Z23" s="775"/>
      <c r="AA23" s="775"/>
      <c r="AB23" s="735" t="s">
        <v>1687</v>
      </c>
      <c r="AC23" s="744" t="e">
        <f>AC22-#REF!</f>
        <v>#REF!</v>
      </c>
      <c r="AD23" s="749" t="s">
        <v>1689</v>
      </c>
      <c r="AE23" s="738"/>
      <c r="BC23" s="758" t="s">
        <v>1769</v>
      </c>
      <c r="BD23" s="759">
        <v>341027000</v>
      </c>
    </row>
    <row r="24" spans="1:58" ht="22.5" customHeight="1">
      <c r="A24" s="490" t="s">
        <v>1770</v>
      </c>
      <c r="B24" s="554"/>
      <c r="C24" s="555">
        <f>B24+D24+E24+F24+G24+H24+I24+J24+K24+L24+M24+N24+O24</f>
        <v>0.21000000000000002</v>
      </c>
      <c r="D24" s="525"/>
      <c r="E24" s="525"/>
      <c r="F24" s="525">
        <v>0.05</v>
      </c>
      <c r="G24" s="525"/>
      <c r="H24" s="72">
        <v>0.03</v>
      </c>
      <c r="I24" s="525">
        <v>0.03</v>
      </c>
      <c r="J24" s="525">
        <v>0.03</v>
      </c>
      <c r="K24" s="525"/>
      <c r="L24" s="72">
        <v>0.02</v>
      </c>
      <c r="M24" s="72">
        <v>0.05</v>
      </c>
      <c r="N24" s="72"/>
      <c r="O24" s="37"/>
      <c r="P24" s="777"/>
      <c r="Q24" s="490" t="s">
        <v>1772</v>
      </c>
      <c r="R24" s="254" t="s">
        <v>1771</v>
      </c>
      <c r="S24" s="67" t="s">
        <v>1220</v>
      </c>
      <c r="T24" s="521" t="s">
        <v>89</v>
      </c>
      <c r="U24" s="522">
        <f>BK24/1100000</f>
        <v>0</v>
      </c>
      <c r="V24" s="523" t="s">
        <v>7</v>
      </c>
      <c r="W24" s="524" t="e">
        <f>U24*0.75-(#REF!+W25)</f>
        <v>#REF!</v>
      </c>
      <c r="X24" s="299" t="s">
        <v>90</v>
      </c>
      <c r="Y24" s="547" t="s">
        <v>34</v>
      </c>
      <c r="Z24" s="774" t="s">
        <v>116</v>
      </c>
      <c r="AA24" s="774"/>
      <c r="AB24" s="735" t="s">
        <v>1679</v>
      </c>
      <c r="AC24" s="744">
        <v>41993000</v>
      </c>
      <c r="AD24" s="749" t="s">
        <v>1681</v>
      </c>
      <c r="AE24" s="738">
        <f>SUM(AF24:BB24)</f>
        <v>0</v>
      </c>
      <c r="AF24" s="739"/>
      <c r="AG24" s="740"/>
      <c r="AH24" s="740"/>
      <c r="AI24" s="740"/>
      <c r="AJ24" s="740"/>
      <c r="AK24" s="740"/>
      <c r="AL24" s="740"/>
      <c r="AM24" s="740"/>
      <c r="AN24" s="740"/>
      <c r="AO24" s="740"/>
      <c r="AP24" s="740"/>
      <c r="AQ24" s="740"/>
      <c r="AR24" s="740"/>
      <c r="AS24" s="740"/>
      <c r="AT24" s="740"/>
      <c r="AU24" s="740"/>
      <c r="AV24" s="740"/>
      <c r="AW24" s="740"/>
      <c r="AX24" s="740"/>
      <c r="AY24" s="740"/>
      <c r="AZ24" s="740"/>
      <c r="BA24" s="740"/>
      <c r="BB24" s="740"/>
      <c r="BD24" s="757">
        <v>40</v>
      </c>
    </row>
    <row r="25" spans="1:58" ht="22.5" customHeight="1" thickBot="1">
      <c r="A25" s="495"/>
      <c r="B25" s="558"/>
      <c r="C25" s="559"/>
      <c r="D25" s="560"/>
      <c r="E25" s="560"/>
      <c r="F25" s="560"/>
      <c r="G25" s="560"/>
      <c r="H25" s="560"/>
      <c r="I25" s="560" t="s">
        <v>1773</v>
      </c>
      <c r="J25" s="560" t="s">
        <v>1773</v>
      </c>
      <c r="K25" s="560"/>
      <c r="L25" s="560" t="s">
        <v>1774</v>
      </c>
      <c r="M25" s="780" t="s">
        <v>1775</v>
      </c>
      <c r="N25" s="256"/>
      <c r="O25" s="225"/>
      <c r="P25" s="778"/>
      <c r="Q25" s="495"/>
      <c r="R25" s="255"/>
      <c r="S25" s="746" t="s">
        <v>1708</v>
      </c>
      <c r="T25" s="526" t="s">
        <v>196</v>
      </c>
      <c r="U25" s="527" t="e">
        <f>U24-#REF!</f>
        <v>#REF!</v>
      </c>
      <c r="V25" s="532" t="s">
        <v>15</v>
      </c>
      <c r="W25" s="529" t="e">
        <f>(#REF!+BM25)/1100000</f>
        <v>#REF!</v>
      </c>
      <c r="X25" s="533"/>
      <c r="Y25" s="742"/>
      <c r="Z25" s="775"/>
      <c r="AA25" s="775"/>
      <c r="AB25" s="735" t="s">
        <v>1687</v>
      </c>
      <c r="AC25" s="744" t="e">
        <f>AC24-#REF!</f>
        <v>#REF!</v>
      </c>
      <c r="AD25" s="749" t="s">
        <v>1689</v>
      </c>
      <c r="AE25" s="738"/>
      <c r="BC25" s="758" t="s">
        <v>1769</v>
      </c>
      <c r="BD25" s="759">
        <v>341027000</v>
      </c>
    </row>
    <row r="26" spans="1:58" ht="22.5" customHeight="1">
      <c r="A26" s="490" t="s">
        <v>1776</v>
      </c>
      <c r="B26" s="554"/>
      <c r="C26" s="555">
        <f>B26+D26+E26+F26+G26+H26+I26+J26+K26+L26+M26+N26+O26</f>
        <v>1</v>
      </c>
      <c r="D26" s="525">
        <v>0.05</v>
      </c>
      <c r="E26" s="525">
        <v>0.1</v>
      </c>
      <c r="F26" s="525">
        <v>0.25</v>
      </c>
      <c r="G26" s="525">
        <v>0.4</v>
      </c>
      <c r="H26" s="72">
        <v>0.1</v>
      </c>
      <c r="I26" s="72">
        <v>0.1</v>
      </c>
      <c r="J26" s="525"/>
      <c r="K26" s="525"/>
      <c r="L26" s="72"/>
      <c r="M26" s="72"/>
      <c r="N26" s="72"/>
      <c r="O26" s="37"/>
      <c r="P26" s="773" t="s">
        <v>1728</v>
      </c>
      <c r="Q26" s="490"/>
      <c r="R26" s="254" t="s">
        <v>1777</v>
      </c>
      <c r="S26" s="67" t="s">
        <v>1778</v>
      </c>
      <c r="T26" s="521" t="s">
        <v>89</v>
      </c>
      <c r="U26" s="522">
        <f>BK26/1100000</f>
        <v>0</v>
      </c>
      <c r="V26" s="523" t="s">
        <v>7</v>
      </c>
      <c r="W26" s="524" t="e">
        <f>U26*0.75-(#REF!+W27)</f>
        <v>#REF!</v>
      </c>
      <c r="X26" s="299" t="s">
        <v>90</v>
      </c>
      <c r="Y26" s="547" t="s">
        <v>34</v>
      </c>
      <c r="Z26" s="774" t="s">
        <v>1517</v>
      </c>
      <c r="AA26" s="774"/>
      <c r="AB26" s="735" t="s">
        <v>1679</v>
      </c>
      <c r="AC26" s="744">
        <v>103104540</v>
      </c>
      <c r="AD26" s="749" t="s">
        <v>1681</v>
      </c>
      <c r="AE26" s="738">
        <f>SUM(AF26:BB26)</f>
        <v>0</v>
      </c>
      <c r="AF26" s="739"/>
      <c r="AG26" s="740"/>
      <c r="AH26" s="740"/>
      <c r="AI26" s="740"/>
      <c r="AJ26" s="740"/>
      <c r="AK26" s="740"/>
      <c r="AL26" s="740"/>
      <c r="AM26" s="740"/>
      <c r="AN26" s="740"/>
      <c r="AO26" s="740"/>
      <c r="AP26" s="740"/>
      <c r="AQ26" s="740"/>
      <c r="AR26" s="740"/>
      <c r="AS26" s="740"/>
      <c r="AT26" s="740"/>
      <c r="AU26" s="740"/>
      <c r="AV26" s="740"/>
      <c r="AW26" s="740"/>
      <c r="AX26" s="740"/>
      <c r="AY26" s="740"/>
      <c r="AZ26" s="740"/>
      <c r="BA26" s="740"/>
      <c r="BB26" s="740"/>
      <c r="BD26" s="757">
        <v>40</v>
      </c>
    </row>
    <row r="27" spans="1:58" ht="22.5" customHeight="1" thickBot="1">
      <c r="A27" s="495"/>
      <c r="B27" s="558"/>
      <c r="C27" s="559"/>
      <c r="D27" s="560"/>
      <c r="E27" s="560"/>
      <c r="F27" s="560"/>
      <c r="G27" s="560" t="s">
        <v>462</v>
      </c>
      <c r="H27" s="560"/>
      <c r="I27" s="560" t="s">
        <v>1779</v>
      </c>
      <c r="J27" s="560"/>
      <c r="K27" s="560"/>
      <c r="L27" s="560"/>
      <c r="M27" s="560"/>
      <c r="N27" s="780" t="s">
        <v>1751</v>
      </c>
      <c r="O27" s="225"/>
      <c r="P27" s="776"/>
      <c r="Q27" s="495"/>
      <c r="R27" s="255"/>
      <c r="S27" s="746" t="s">
        <v>1708</v>
      </c>
      <c r="T27" s="526" t="s">
        <v>196</v>
      </c>
      <c r="U27" s="527" t="e">
        <f>U26-#REF!</f>
        <v>#REF!</v>
      </c>
      <c r="V27" s="532" t="s">
        <v>15</v>
      </c>
      <c r="W27" s="529" t="e">
        <f>(#REF!+BM27)/1100000</f>
        <v>#REF!</v>
      </c>
      <c r="X27" s="533"/>
      <c r="Y27" s="742"/>
      <c r="Z27" s="775"/>
      <c r="AA27" s="775"/>
      <c r="AB27" s="735" t="s">
        <v>1687</v>
      </c>
      <c r="AC27" s="744" t="e">
        <f>AC26-#REF!</f>
        <v>#REF!</v>
      </c>
      <c r="AD27" s="749" t="s">
        <v>1689</v>
      </c>
      <c r="AE27" s="738"/>
      <c r="BC27" s="758" t="s">
        <v>1769</v>
      </c>
      <c r="BD27" s="759">
        <v>341027000</v>
      </c>
    </row>
    <row r="28" spans="1:58" ht="22.5" customHeight="1">
      <c r="A28" s="490" t="s">
        <v>1780</v>
      </c>
      <c r="B28" s="554"/>
      <c r="C28" s="555">
        <f>B28+D28+E28+F28+G28+H28+I28+J28+K28+L28+M28+N28+O28</f>
        <v>0.09</v>
      </c>
      <c r="D28" s="525"/>
      <c r="E28" s="525"/>
      <c r="F28" s="525"/>
      <c r="G28" s="525"/>
      <c r="H28" s="72">
        <v>0.03</v>
      </c>
      <c r="I28" s="525">
        <v>0.03</v>
      </c>
      <c r="J28" s="525">
        <v>0.03</v>
      </c>
      <c r="K28" s="525"/>
      <c r="L28" s="72"/>
      <c r="M28" s="72"/>
      <c r="N28" s="72"/>
      <c r="O28" s="37"/>
      <c r="P28" s="777"/>
      <c r="Q28" s="490" t="s">
        <v>1772</v>
      </c>
      <c r="R28" s="254" t="s">
        <v>1781</v>
      </c>
      <c r="S28" s="67" t="s">
        <v>1782</v>
      </c>
      <c r="T28" s="521" t="s">
        <v>89</v>
      </c>
      <c r="U28" s="522">
        <f>BK28/1100000</f>
        <v>0</v>
      </c>
      <c r="V28" s="523" t="s">
        <v>7</v>
      </c>
      <c r="W28" s="524" t="e">
        <f>U28*0.75-(#REF!+W29)</f>
        <v>#REF!</v>
      </c>
      <c r="X28" s="299" t="s">
        <v>90</v>
      </c>
      <c r="Y28" s="547" t="s">
        <v>34</v>
      </c>
      <c r="Z28" s="774" t="s">
        <v>178</v>
      </c>
      <c r="AA28" s="774"/>
      <c r="AB28" s="735" t="s">
        <v>1679</v>
      </c>
      <c r="AC28" s="744">
        <v>33300000</v>
      </c>
      <c r="AD28" s="749" t="s">
        <v>1681</v>
      </c>
      <c r="AE28" s="738">
        <f>SUM(AF28:BB28)</f>
        <v>0</v>
      </c>
      <c r="AF28" s="739"/>
      <c r="AG28" s="740"/>
      <c r="AH28" s="740"/>
      <c r="AI28" s="740"/>
      <c r="AJ28" s="740"/>
      <c r="AK28" s="740"/>
      <c r="AL28" s="740"/>
      <c r="AM28" s="740"/>
      <c r="AN28" s="740"/>
      <c r="AO28" s="740"/>
      <c r="AP28" s="740"/>
      <c r="AQ28" s="740"/>
      <c r="AR28" s="740"/>
      <c r="AS28" s="740"/>
      <c r="AT28" s="740"/>
      <c r="AU28" s="740"/>
      <c r="AV28" s="740"/>
      <c r="AW28" s="740"/>
      <c r="AX28" s="740"/>
      <c r="AY28" s="740"/>
      <c r="AZ28" s="740"/>
      <c r="BA28" s="740"/>
      <c r="BB28" s="740"/>
      <c r="BD28" s="757">
        <v>40</v>
      </c>
    </row>
    <row r="29" spans="1:58" ht="22.5" customHeight="1" thickBot="1">
      <c r="A29" s="495"/>
      <c r="B29" s="558"/>
      <c r="C29" s="559"/>
      <c r="D29" s="560"/>
      <c r="E29" s="560"/>
      <c r="F29" s="560"/>
      <c r="G29" s="560"/>
      <c r="H29" s="560"/>
      <c r="I29" s="560" t="s">
        <v>1773</v>
      </c>
      <c r="J29" s="560" t="s">
        <v>1773</v>
      </c>
      <c r="K29" s="560"/>
      <c r="L29" s="560"/>
      <c r="M29" s="560"/>
      <c r="N29" s="256"/>
      <c r="O29" s="225"/>
      <c r="P29" s="778"/>
      <c r="Q29" s="495"/>
      <c r="R29" s="255"/>
      <c r="S29" s="746" t="s">
        <v>1783</v>
      </c>
      <c r="T29" s="526" t="s">
        <v>196</v>
      </c>
      <c r="U29" s="527" t="e">
        <f>U28-#REF!</f>
        <v>#REF!</v>
      </c>
      <c r="V29" s="532" t="s">
        <v>15</v>
      </c>
      <c r="W29" s="529" t="e">
        <f>(#REF!+BM29)/1100000</f>
        <v>#REF!</v>
      </c>
      <c r="X29" s="533"/>
      <c r="Y29" s="742"/>
      <c r="Z29" s="775"/>
      <c r="AA29" s="775"/>
      <c r="AB29" s="735" t="s">
        <v>1687</v>
      </c>
      <c r="AC29" s="744" t="e">
        <f>AC28-#REF!</f>
        <v>#REF!</v>
      </c>
      <c r="AD29" s="749" t="s">
        <v>1689</v>
      </c>
      <c r="AE29" s="738"/>
      <c r="BC29" s="758" t="s">
        <v>1769</v>
      </c>
      <c r="BD29" s="759">
        <v>341027000</v>
      </c>
    </row>
    <row r="30" spans="1:58" ht="22.5" customHeight="1">
      <c r="A30" s="490" t="s">
        <v>1784</v>
      </c>
      <c r="B30" s="554"/>
      <c r="C30" s="555">
        <f>B30+D30+E30+F30+G30+H30+I30+J30+K30+L30+M30+N30+O30</f>
        <v>0.42500000000000004</v>
      </c>
      <c r="D30" s="525"/>
      <c r="E30" s="525"/>
      <c r="F30" s="525"/>
      <c r="G30" s="525">
        <v>0.05</v>
      </c>
      <c r="H30" s="72">
        <v>0.1</v>
      </c>
      <c r="I30" s="72">
        <v>0.1</v>
      </c>
      <c r="J30" s="525">
        <v>0.1</v>
      </c>
      <c r="K30" s="525">
        <v>0.02</v>
      </c>
      <c r="L30" s="72">
        <v>0.02</v>
      </c>
      <c r="M30" s="72">
        <v>0.01</v>
      </c>
      <c r="N30" s="760">
        <v>2.5000000000000001E-2</v>
      </c>
      <c r="O30" s="37"/>
      <c r="P30" s="779"/>
      <c r="Q30" s="490" t="s">
        <v>1787</v>
      </c>
      <c r="R30" s="254" t="s">
        <v>1785</v>
      </c>
      <c r="S30" s="67" t="s">
        <v>1786</v>
      </c>
      <c r="T30" s="521" t="s">
        <v>89</v>
      </c>
      <c r="U30" s="522">
        <f>BK30/1100000</f>
        <v>0</v>
      </c>
      <c r="V30" s="523" t="s">
        <v>7</v>
      </c>
      <c r="W30" s="524" t="e">
        <f>U30*0.75-(#REF!+W31)</f>
        <v>#REF!</v>
      </c>
      <c r="X30" s="299" t="s">
        <v>90</v>
      </c>
      <c r="Y30" s="547" t="s">
        <v>34</v>
      </c>
      <c r="Z30" s="774" t="s">
        <v>1788</v>
      </c>
      <c r="AA30" s="774"/>
      <c r="AB30" s="735" t="s">
        <v>1679</v>
      </c>
      <c r="AC30" s="744">
        <v>187652000</v>
      </c>
      <c r="AD30" s="749" t="s">
        <v>1681</v>
      </c>
      <c r="AE30" s="738">
        <f>SUM(AF30:BB30)</f>
        <v>0</v>
      </c>
      <c r="AF30" s="739"/>
      <c r="AG30" s="740"/>
      <c r="AH30" s="740"/>
      <c r="AI30" s="740"/>
      <c r="AJ30" s="740"/>
      <c r="AK30" s="740"/>
      <c r="AL30" s="740"/>
      <c r="AM30" s="740"/>
      <c r="AN30" s="740"/>
      <c r="AO30" s="740"/>
      <c r="AP30" s="740"/>
      <c r="AQ30" s="740"/>
      <c r="AR30" s="740"/>
      <c r="AS30" s="740"/>
      <c r="AT30" s="740"/>
      <c r="AU30" s="740"/>
      <c r="AV30" s="740"/>
      <c r="AW30" s="740"/>
      <c r="AX30" s="740"/>
      <c r="AY30" s="740"/>
      <c r="AZ30" s="740"/>
      <c r="BA30" s="740"/>
      <c r="BB30" s="740"/>
      <c r="BD30" s="757">
        <v>40</v>
      </c>
    </row>
    <row r="31" spans="1:58" ht="22.5" customHeight="1" thickBot="1">
      <c r="A31" s="495"/>
      <c r="B31" s="558"/>
      <c r="C31" s="559"/>
      <c r="D31" s="560"/>
      <c r="E31" s="560"/>
      <c r="F31" s="560"/>
      <c r="G31" s="560" t="s">
        <v>1790</v>
      </c>
      <c r="H31" s="560" t="s">
        <v>1790</v>
      </c>
      <c r="I31" s="560" t="s">
        <v>1790</v>
      </c>
      <c r="J31" s="560" t="s">
        <v>1791</v>
      </c>
      <c r="K31" s="560" t="s">
        <v>1791</v>
      </c>
      <c r="L31" s="560" t="s">
        <v>1791</v>
      </c>
      <c r="M31" s="560" t="s">
        <v>1792</v>
      </c>
      <c r="N31" s="560" t="s">
        <v>1793</v>
      </c>
      <c r="O31" s="225"/>
      <c r="P31" s="781"/>
      <c r="Q31" s="495"/>
      <c r="R31" s="255"/>
      <c r="S31" s="746" t="s">
        <v>1698</v>
      </c>
      <c r="T31" s="526" t="s">
        <v>817</v>
      </c>
      <c r="U31" s="527" t="e">
        <f>U30-#REF!</f>
        <v>#REF!</v>
      </c>
      <c r="V31" s="532" t="s">
        <v>818</v>
      </c>
      <c r="W31" s="529" t="e">
        <f>(#REF!+BM31)/1100000</f>
        <v>#REF!</v>
      </c>
      <c r="X31" s="533"/>
      <c r="Y31" s="742"/>
      <c r="Z31" s="775"/>
      <c r="AA31" s="775"/>
      <c r="AB31" s="735" t="s">
        <v>1688</v>
      </c>
      <c r="AC31" s="744" t="e">
        <f>AC30-#REF!</f>
        <v>#REF!</v>
      </c>
      <c r="AD31" s="749" t="s">
        <v>1690</v>
      </c>
      <c r="AE31" s="738"/>
      <c r="BC31" s="758" t="s">
        <v>1794</v>
      </c>
      <c r="BD31" s="759">
        <v>341027000</v>
      </c>
    </row>
    <row r="32" spans="1:58" ht="22.5" customHeight="1">
      <c r="A32" s="490" t="s">
        <v>1795</v>
      </c>
      <c r="B32" s="554"/>
      <c r="C32" s="555">
        <f>B32+D32+E32+F32+G32+H32+I32+J32+K32+L32+M32+N32+O32</f>
        <v>0.1</v>
      </c>
      <c r="D32" s="525"/>
      <c r="E32" s="525"/>
      <c r="F32" s="525"/>
      <c r="G32" s="525"/>
      <c r="H32" s="72"/>
      <c r="I32" s="72"/>
      <c r="J32" s="525">
        <v>0.02</v>
      </c>
      <c r="K32" s="525">
        <v>0.02</v>
      </c>
      <c r="L32" s="72">
        <v>0.02</v>
      </c>
      <c r="M32" s="72">
        <v>0.02</v>
      </c>
      <c r="N32" s="72">
        <v>0.02</v>
      </c>
      <c r="O32" s="37"/>
      <c r="P32" s="777" t="s">
        <v>1798</v>
      </c>
      <c r="Q32" s="490" t="s">
        <v>1799</v>
      </c>
      <c r="R32" s="254" t="s">
        <v>1796</v>
      </c>
      <c r="S32" s="67" t="s">
        <v>1797</v>
      </c>
      <c r="T32" s="521" t="s">
        <v>814</v>
      </c>
      <c r="U32" s="522">
        <f>BK32/1100000</f>
        <v>0</v>
      </c>
      <c r="V32" s="523" t="s">
        <v>832</v>
      </c>
      <c r="W32" s="524" t="e">
        <f>U32*0.75-(#REF!+W33)</f>
        <v>#REF!</v>
      </c>
      <c r="X32" s="299" t="s">
        <v>812</v>
      </c>
      <c r="Y32" s="547" t="s">
        <v>813</v>
      </c>
      <c r="Z32" s="774" t="s">
        <v>1800</v>
      </c>
      <c r="AA32" s="774"/>
      <c r="AB32" s="735" t="s">
        <v>1680</v>
      </c>
      <c r="AC32" s="744">
        <v>268998550</v>
      </c>
      <c r="AD32" s="749" t="s">
        <v>1682</v>
      </c>
      <c r="AE32" s="738">
        <f>SUM(AF32:BB32)</f>
        <v>0</v>
      </c>
      <c r="AF32" s="739"/>
      <c r="AG32" s="740"/>
      <c r="AH32" s="740"/>
      <c r="AI32" s="740"/>
      <c r="AJ32" s="740"/>
      <c r="AK32" s="740"/>
      <c r="AL32" s="740"/>
      <c r="AM32" s="740"/>
      <c r="AN32" s="740"/>
      <c r="AO32" s="740"/>
      <c r="AP32" s="740"/>
      <c r="AQ32" s="740"/>
      <c r="AR32" s="740"/>
      <c r="AS32" s="740"/>
      <c r="AT32" s="740"/>
      <c r="AU32" s="740"/>
      <c r="AV32" s="740"/>
      <c r="AW32" s="740"/>
      <c r="AX32" s="740"/>
      <c r="AY32" s="740"/>
      <c r="AZ32" s="740"/>
      <c r="BA32" s="740"/>
      <c r="BB32" s="740"/>
      <c r="BD32" s="757">
        <v>26</v>
      </c>
    </row>
    <row r="33" spans="1:56" ht="22.5" customHeight="1">
      <c r="A33" s="495"/>
      <c r="B33" s="558"/>
      <c r="C33" s="559"/>
      <c r="D33" s="560"/>
      <c r="E33" s="560"/>
      <c r="F33" s="560"/>
      <c r="G33" s="560"/>
      <c r="H33" s="560"/>
      <c r="I33" s="560"/>
      <c r="J33" s="560" t="s">
        <v>1773</v>
      </c>
      <c r="K33" s="560" t="s">
        <v>1789</v>
      </c>
      <c r="L33" s="560" t="s">
        <v>1789</v>
      </c>
      <c r="M33" s="560" t="s">
        <v>1789</v>
      </c>
      <c r="N33" s="256"/>
      <c r="O33" s="225"/>
      <c r="P33" s="778"/>
      <c r="Q33" s="495"/>
      <c r="R33" s="255"/>
      <c r="S33" s="746" t="s">
        <v>1708</v>
      </c>
      <c r="T33" s="526" t="s">
        <v>196</v>
      </c>
      <c r="U33" s="527" t="e">
        <f>U32-#REF!</f>
        <v>#REF!</v>
      </c>
      <c r="V33" s="532" t="s">
        <v>15</v>
      </c>
      <c r="W33" s="529" t="e">
        <f>(#REF!+BM33)/1100000</f>
        <v>#REF!</v>
      </c>
      <c r="X33" s="533"/>
      <c r="Y33" s="742"/>
      <c r="Z33" s="775"/>
      <c r="AA33" s="775"/>
      <c r="AB33" s="735" t="s">
        <v>1687</v>
      </c>
      <c r="AC33" s="744" t="e">
        <f>AC32-#REF!</f>
        <v>#REF!</v>
      </c>
      <c r="AD33" s="749" t="s">
        <v>1689</v>
      </c>
      <c r="AE33" s="738"/>
      <c r="BC33" s="758" t="s">
        <v>1769</v>
      </c>
      <c r="BD33" s="759"/>
    </row>
    <row r="34" spans="1:56" ht="22.5" customHeight="1">
      <c r="R34" s="761"/>
      <c r="S34" s="742"/>
      <c r="U34" s="742"/>
    </row>
    <row r="37" spans="1:56" ht="22.5" customHeight="1">
      <c r="AC37" s="763"/>
    </row>
  </sheetData>
  <phoneticPr fontId="2" type="noConversion"/>
  <printOptions horizontalCentered="1"/>
  <pageMargins left="0.17" right="0.17" top="0.47" bottom="0.39370078740157483" header="0.31496062992125984" footer="0.31496062992125984"/>
  <pageSetup paperSize="9" scale="82" fitToHeight="0" orientation="landscape" r:id="rId1"/>
  <rowBreaks count="3" manualBreakCount="3">
    <brk id="13" max="34" man="1"/>
    <brk id="23" max="34" man="1"/>
    <brk id="31" max="3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U50"/>
  <sheetViews>
    <sheetView view="pageBreakPreview" zoomScaleNormal="115" zoomScaleSheetLayoutView="100" workbookViewId="0">
      <pane xSplit="3" ySplit="2" topLeftCell="D3" activePane="bottomRight" state="frozen"/>
      <selection activeCell="G38" sqref="G38"/>
      <selection pane="topRight" activeCell="G38" sqref="G38"/>
      <selection pane="bottomLeft" activeCell="G38" sqref="G38"/>
      <selection pane="bottomRight" activeCell="R3" sqref="R3"/>
    </sheetView>
  </sheetViews>
  <sheetFormatPr defaultColWidth="10.25" defaultRowHeight="22.5" customHeight="1" outlineLevelCol="1"/>
  <cols>
    <col min="1" max="1" width="12.625" style="281" customWidth="1"/>
    <col min="2" max="2" width="4.875" style="762" customWidth="1"/>
    <col min="3" max="3" width="5.25" style="762" customWidth="1"/>
    <col min="4" max="8" width="8.875" style="281" customWidth="1" outlineLevel="1"/>
    <col min="9" max="10" width="8.875" style="281" customWidth="1"/>
    <col min="11" max="15" width="8.875" style="281" customWidth="1" outlineLevel="1"/>
    <col min="16" max="16" width="18.875" style="281" customWidth="1"/>
    <col min="17" max="17" width="11" style="281" customWidth="1"/>
    <col min="18" max="18" width="19.375" style="741" customWidth="1"/>
    <col min="19" max="19" width="9.875" style="281" customWidth="1"/>
    <col min="20" max="20" width="5.125" style="281" customWidth="1"/>
    <col min="21" max="21" width="8.75" style="281" customWidth="1"/>
    <col min="22" max="22" width="5.125" style="281" customWidth="1"/>
    <col min="23" max="23" width="8.625" style="281" customWidth="1"/>
    <col min="24" max="24" width="4.5" style="281" customWidth="1"/>
    <col min="25" max="25" width="13.875" style="281" customWidth="1"/>
    <col min="26" max="26" width="16" style="281" customWidth="1"/>
    <col min="27" max="27" width="20.5" style="763" customWidth="1"/>
    <col min="28" max="40" width="16" style="747" customWidth="1"/>
    <col min="41" max="41" width="10.25" style="741"/>
    <col min="42" max="42" width="16.375" style="741" bestFit="1" customWidth="1"/>
    <col min="43" max="43" width="14.75" style="741" bestFit="1" customWidth="1"/>
    <col min="44" max="16384" width="10.25" style="741"/>
  </cols>
  <sheetData>
    <row r="1" spans="1:47" s="78" customFormat="1" ht="25.5" customHeight="1">
      <c r="A1" s="279" t="s">
        <v>32</v>
      </c>
      <c r="B1" s="282"/>
      <c r="C1" s="282"/>
      <c r="D1" s="275"/>
      <c r="E1" s="275"/>
      <c r="F1" s="275"/>
      <c r="G1" s="275"/>
      <c r="H1" s="275"/>
      <c r="I1" s="275"/>
      <c r="J1" s="275"/>
      <c r="K1" s="275"/>
      <c r="L1" s="275"/>
      <c r="M1" s="275"/>
      <c r="N1" s="275"/>
      <c r="O1" s="275"/>
      <c r="P1" s="275"/>
      <c r="Q1" s="393" t="s">
        <v>785</v>
      </c>
      <c r="S1" s="275"/>
      <c r="T1" s="275"/>
      <c r="U1" s="275"/>
      <c r="V1" s="275"/>
      <c r="W1" s="275"/>
      <c r="X1" s="275"/>
      <c r="Y1" s="275"/>
      <c r="Z1" s="275"/>
      <c r="AA1" s="277"/>
      <c r="AB1" s="77"/>
      <c r="AC1" s="77"/>
      <c r="AD1" s="77"/>
      <c r="AE1" s="77"/>
      <c r="AF1" s="77"/>
      <c r="AG1" s="77"/>
      <c r="AH1" s="77"/>
      <c r="AI1" s="77"/>
      <c r="AJ1" s="77"/>
      <c r="AK1" s="77"/>
      <c r="AL1" s="77"/>
      <c r="AM1" s="77"/>
      <c r="AN1" s="77"/>
    </row>
    <row r="2" spans="1:47" s="78" customFormat="1" ht="28.5" customHeight="1">
      <c r="A2" s="513" t="s">
        <v>786</v>
      </c>
      <c r="B2" s="514" t="s">
        <v>22</v>
      </c>
      <c r="C2" s="515" t="s">
        <v>23</v>
      </c>
      <c r="D2" s="552" t="s">
        <v>768</v>
      </c>
      <c r="E2" s="552" t="s">
        <v>1052</v>
      </c>
      <c r="F2" s="552" t="s">
        <v>758</v>
      </c>
      <c r="G2" s="552" t="s">
        <v>759</v>
      </c>
      <c r="H2" s="552" t="s">
        <v>760</v>
      </c>
      <c r="I2" s="552" t="s">
        <v>761</v>
      </c>
      <c r="J2" s="552" t="s">
        <v>762</v>
      </c>
      <c r="K2" s="552" t="s">
        <v>763</v>
      </c>
      <c r="L2" s="552" t="s">
        <v>764</v>
      </c>
      <c r="M2" s="552" t="s">
        <v>765</v>
      </c>
      <c r="N2" s="552" t="s">
        <v>766</v>
      </c>
      <c r="O2" s="552" t="s">
        <v>767</v>
      </c>
      <c r="P2" s="516" t="s">
        <v>1801</v>
      </c>
      <c r="Q2" s="516" t="s">
        <v>5</v>
      </c>
      <c r="R2" s="513" t="s">
        <v>24</v>
      </c>
      <c r="S2" s="513" t="s">
        <v>3</v>
      </c>
      <c r="T2" s="513" t="s">
        <v>1375</v>
      </c>
      <c r="U2" s="513"/>
      <c r="V2" s="551" t="s">
        <v>1376</v>
      </c>
      <c r="W2" s="552"/>
      <c r="X2" s="291" t="s">
        <v>1</v>
      </c>
      <c r="Y2" s="275"/>
      <c r="Z2" s="275"/>
      <c r="AA2" s="277"/>
      <c r="AB2" s="77"/>
      <c r="AC2" s="77"/>
      <c r="AD2" s="77"/>
      <c r="AE2" s="77"/>
      <c r="AF2" s="77"/>
      <c r="AG2" s="77"/>
      <c r="AH2" s="77"/>
      <c r="AI2" s="77"/>
      <c r="AJ2" s="77"/>
      <c r="AK2" s="77"/>
      <c r="AL2" s="77"/>
      <c r="AM2" s="77"/>
      <c r="AN2" s="77"/>
    </row>
    <row r="3" spans="1:47" ht="22.5" customHeight="1">
      <c r="A3" s="490" t="s">
        <v>1802</v>
      </c>
      <c r="B3" s="554">
        <v>0.21</v>
      </c>
      <c r="C3" s="555">
        <f>B3+D3+E3+F3+G3+H3+I3+J3+K3+L3+M3+N3+O3</f>
        <v>1</v>
      </c>
      <c r="D3" s="525">
        <v>0.28999999999999998</v>
      </c>
      <c r="E3" s="525"/>
      <c r="F3" s="525"/>
      <c r="G3" s="525"/>
      <c r="H3" s="525"/>
      <c r="I3" s="525">
        <v>0.4</v>
      </c>
      <c r="J3" s="525"/>
      <c r="K3" s="525"/>
      <c r="L3" s="525"/>
      <c r="M3" s="525"/>
      <c r="N3" s="525">
        <v>0.1</v>
      </c>
      <c r="O3" s="525"/>
      <c r="P3" s="247" t="s">
        <v>1805</v>
      </c>
      <c r="Q3" s="490" t="s">
        <v>1806</v>
      </c>
      <c r="R3" s="700" t="s">
        <v>1803</v>
      </c>
      <c r="S3" s="67" t="s">
        <v>1804</v>
      </c>
      <c r="T3" s="521" t="s">
        <v>89</v>
      </c>
      <c r="U3" s="753">
        <f>BH3/1100000</f>
        <v>0</v>
      </c>
      <c r="V3" s="523" t="s">
        <v>41</v>
      </c>
      <c r="W3" s="767" t="e">
        <f>#REF!/1100000</f>
        <v>#REF!</v>
      </c>
      <c r="X3" s="782"/>
      <c r="Y3" s="735" t="s">
        <v>1679</v>
      </c>
      <c r="Z3" s="744">
        <f>AP4*0.1</f>
        <v>138550000</v>
      </c>
      <c r="AA3" s="749" t="s">
        <v>1681</v>
      </c>
      <c r="AB3" s="738">
        <f t="shared" ref="AB3:AB8" si="0">SUM(AC3:AN3)</f>
        <v>0</v>
      </c>
      <c r="AC3" s="739"/>
      <c r="AD3" s="740"/>
      <c r="AE3" s="740"/>
      <c r="AF3" s="740"/>
      <c r="AG3" s="740"/>
      <c r="AH3" s="740"/>
      <c r="AI3" s="740"/>
      <c r="AJ3" s="740"/>
      <c r="AK3" s="740"/>
      <c r="AL3" s="740"/>
      <c r="AM3" s="740"/>
      <c r="AN3" s="740"/>
      <c r="AP3" s="742" t="s">
        <v>1807</v>
      </c>
    </row>
    <row r="4" spans="1:47" ht="22.5" customHeight="1">
      <c r="A4" s="495"/>
      <c r="B4" s="558"/>
      <c r="C4" s="559"/>
      <c r="D4" s="780"/>
      <c r="E4" s="780"/>
      <c r="F4" s="780"/>
      <c r="G4" s="780"/>
      <c r="H4" s="780"/>
      <c r="I4" s="780"/>
      <c r="J4" s="780"/>
      <c r="K4" s="785"/>
      <c r="L4" s="780"/>
      <c r="M4" s="780"/>
      <c r="N4" s="780" t="s">
        <v>1050</v>
      </c>
      <c r="O4" s="780"/>
      <c r="P4" s="248"/>
      <c r="Q4" s="495"/>
      <c r="R4" s="784"/>
      <c r="S4" s="74" t="s">
        <v>1808</v>
      </c>
      <c r="T4" s="526" t="s">
        <v>196</v>
      </c>
      <c r="U4" s="527" t="e">
        <f>U3-#REF!</f>
        <v>#REF!</v>
      </c>
      <c r="V4" s="532" t="s">
        <v>817</v>
      </c>
      <c r="W4" s="529" t="e">
        <f>W3-#REF!</f>
        <v>#REF!</v>
      </c>
      <c r="X4" s="783"/>
      <c r="Y4" s="735" t="s">
        <v>1688</v>
      </c>
      <c r="Z4" s="744" t="e">
        <f>Z3-#REF!</f>
        <v>#REF!</v>
      </c>
      <c r="AA4" s="749" t="s">
        <v>1809</v>
      </c>
      <c r="AB4" s="738">
        <f t="shared" si="0"/>
        <v>0</v>
      </c>
      <c r="AC4" s="739"/>
      <c r="AD4" s="740"/>
      <c r="AE4" s="740"/>
      <c r="AF4" s="740"/>
      <c r="AG4" s="740"/>
      <c r="AH4" s="740"/>
      <c r="AI4" s="740"/>
      <c r="AJ4" s="740"/>
      <c r="AK4" s="740"/>
      <c r="AL4" s="740"/>
      <c r="AM4" s="740"/>
      <c r="AN4" s="740"/>
      <c r="AO4" s="768" t="s">
        <v>1810</v>
      </c>
      <c r="AP4" s="756">
        <v>1385500000</v>
      </c>
      <c r="AQ4" s="745"/>
      <c r="AR4" s="745"/>
      <c r="AS4" s="745"/>
      <c r="AT4" s="745"/>
      <c r="AU4" s="745"/>
    </row>
    <row r="5" spans="1:47" ht="22.5" customHeight="1">
      <c r="A5" s="490" t="s">
        <v>1811</v>
      </c>
      <c r="B5" s="554">
        <v>0.04</v>
      </c>
      <c r="C5" s="555">
        <f>B5+D5+E5+F5+G5+H5+I5+J5+K5+L5+M5+N5+O5</f>
        <v>0.8</v>
      </c>
      <c r="D5" s="525">
        <v>0.26</v>
      </c>
      <c r="E5" s="525"/>
      <c r="F5" s="525"/>
      <c r="G5" s="525"/>
      <c r="H5" s="525"/>
      <c r="I5" s="525">
        <v>0.5</v>
      </c>
      <c r="J5" s="525"/>
      <c r="K5" s="525"/>
      <c r="L5" s="525"/>
      <c r="M5" s="525"/>
      <c r="N5" s="525"/>
      <c r="O5" s="525"/>
      <c r="P5" s="247" t="s">
        <v>1814</v>
      </c>
      <c r="Q5" s="490" t="s">
        <v>1815</v>
      </c>
      <c r="R5" s="254" t="s">
        <v>1812</v>
      </c>
      <c r="S5" s="67" t="s">
        <v>1813</v>
      </c>
      <c r="T5" s="521" t="s">
        <v>814</v>
      </c>
      <c r="U5" s="753">
        <f>BH5/1100000</f>
        <v>0</v>
      </c>
      <c r="V5" s="523" t="s">
        <v>1043</v>
      </c>
      <c r="W5" s="767" t="e">
        <f>#REF!/1100000</f>
        <v>#REF!</v>
      </c>
      <c r="X5" s="774"/>
      <c r="Y5" s="735" t="s">
        <v>1680</v>
      </c>
      <c r="Z5" s="744">
        <f>AP6*AP5%</f>
        <v>125430000</v>
      </c>
      <c r="AA5" s="749" t="s">
        <v>1682</v>
      </c>
      <c r="AB5" s="738">
        <f t="shared" si="0"/>
        <v>0</v>
      </c>
      <c r="AC5" s="739"/>
      <c r="AD5" s="740"/>
      <c r="AE5" s="740"/>
      <c r="AF5" s="740"/>
      <c r="AG5" s="740"/>
      <c r="AH5" s="740"/>
      <c r="AI5" s="740"/>
      <c r="AJ5" s="740"/>
      <c r="AK5" s="740"/>
      <c r="AL5" s="740"/>
      <c r="AM5" s="740"/>
      <c r="AN5" s="740"/>
      <c r="AP5" s="769" t="s">
        <v>1816</v>
      </c>
    </row>
    <row r="6" spans="1:47" ht="22.5" customHeight="1">
      <c r="A6" s="495"/>
      <c r="B6" s="558"/>
      <c r="C6" s="559"/>
      <c r="D6" s="560"/>
      <c r="E6" s="560"/>
      <c r="F6" s="560"/>
      <c r="G6" s="560"/>
      <c r="H6" s="560"/>
      <c r="I6" s="560"/>
      <c r="J6" s="560"/>
      <c r="K6" s="501"/>
      <c r="L6" s="560"/>
      <c r="M6" s="560"/>
      <c r="N6" s="560"/>
      <c r="O6" s="560"/>
      <c r="P6" s="248"/>
      <c r="Q6" s="495"/>
      <c r="R6" s="255"/>
      <c r="S6" s="74" t="s">
        <v>1817</v>
      </c>
      <c r="T6" s="526" t="s">
        <v>196</v>
      </c>
      <c r="U6" s="527" t="e">
        <f>U5-#REF!</f>
        <v>#REF!</v>
      </c>
      <c r="V6" s="532" t="s">
        <v>196</v>
      </c>
      <c r="W6" s="529" t="e">
        <f>W5-#REF!</f>
        <v>#REF!</v>
      </c>
      <c r="X6" s="775"/>
      <c r="Y6" s="735" t="s">
        <v>1687</v>
      </c>
      <c r="Z6" s="744" t="e">
        <f>Z5-#REF!</f>
        <v>#REF!</v>
      </c>
      <c r="AA6" s="749" t="s">
        <v>1818</v>
      </c>
      <c r="AB6" s="738">
        <f t="shared" si="0"/>
        <v>0</v>
      </c>
      <c r="AC6" s="739"/>
      <c r="AD6" s="740"/>
      <c r="AE6" s="740"/>
      <c r="AF6" s="740"/>
      <c r="AG6" s="740"/>
      <c r="AH6" s="740"/>
      <c r="AI6" s="740"/>
      <c r="AJ6" s="740"/>
      <c r="AK6" s="740"/>
      <c r="AL6" s="740"/>
      <c r="AM6" s="740"/>
      <c r="AN6" s="740"/>
      <c r="AO6" s="768" t="s">
        <v>1819</v>
      </c>
      <c r="AP6" s="756">
        <v>1254300000</v>
      </c>
      <c r="AQ6" s="745"/>
      <c r="AR6" s="745"/>
      <c r="AS6" s="745"/>
      <c r="AT6" s="745"/>
      <c r="AU6" s="745"/>
    </row>
    <row r="7" spans="1:47" ht="22.5" customHeight="1">
      <c r="A7" s="490" t="s">
        <v>1820</v>
      </c>
      <c r="B7" s="554">
        <v>0</v>
      </c>
      <c r="C7" s="555">
        <f>B7+D7+E7+F7+G7+H7+I7+J7+K7+L7+M7+N7+O7</f>
        <v>0.3</v>
      </c>
      <c r="D7" s="525"/>
      <c r="E7" s="525"/>
      <c r="F7" s="525"/>
      <c r="G7" s="525"/>
      <c r="H7" s="525"/>
      <c r="I7" s="525"/>
      <c r="J7" s="525"/>
      <c r="K7" s="525"/>
      <c r="L7" s="525">
        <v>0.3</v>
      </c>
      <c r="M7" s="525"/>
      <c r="N7" s="525"/>
      <c r="O7" s="525"/>
      <c r="P7" s="247" t="s">
        <v>1823</v>
      </c>
      <c r="Q7" s="490" t="s">
        <v>1824</v>
      </c>
      <c r="R7" s="254" t="s">
        <v>1821</v>
      </c>
      <c r="S7" s="67" t="s">
        <v>1822</v>
      </c>
      <c r="T7" s="521" t="s">
        <v>89</v>
      </c>
      <c r="U7" s="522">
        <f>BH7/1100000</f>
        <v>0</v>
      </c>
      <c r="V7" s="523" t="s">
        <v>41</v>
      </c>
      <c r="W7" s="767" t="e">
        <f>#REF!/1100000</f>
        <v>#REF!</v>
      </c>
      <c r="X7" s="774"/>
      <c r="Y7" s="735" t="s">
        <v>1679</v>
      </c>
      <c r="Z7" s="744">
        <v>702998100</v>
      </c>
      <c r="AA7" s="749" t="s">
        <v>1681</v>
      </c>
      <c r="AB7" s="738">
        <f t="shared" si="0"/>
        <v>0</v>
      </c>
      <c r="AC7" s="739"/>
      <c r="AD7" s="740"/>
      <c r="AE7" s="740"/>
      <c r="AF7" s="740"/>
      <c r="AG7" s="740"/>
      <c r="AH7" s="740"/>
      <c r="AI7" s="740"/>
      <c r="AJ7" s="740"/>
      <c r="AK7" s="740"/>
      <c r="AL7" s="740"/>
      <c r="AM7" s="740"/>
      <c r="AN7" s="740"/>
      <c r="AP7" s="769" t="s">
        <v>1816</v>
      </c>
    </row>
    <row r="8" spans="1:47" ht="22.5" customHeight="1">
      <c r="A8" s="495"/>
      <c r="B8" s="558"/>
      <c r="C8" s="559"/>
      <c r="D8" s="560"/>
      <c r="E8" s="560"/>
      <c r="F8" s="560"/>
      <c r="G8" s="560"/>
      <c r="H8" s="560"/>
      <c r="I8" s="560"/>
      <c r="J8" s="560"/>
      <c r="K8" s="501"/>
      <c r="L8" s="560"/>
      <c r="M8" s="560"/>
      <c r="N8" s="560"/>
      <c r="O8" s="560"/>
      <c r="P8" s="248"/>
      <c r="Q8" s="495"/>
      <c r="R8" s="255"/>
      <c r="S8" s="746" t="s">
        <v>1698</v>
      </c>
      <c r="T8" s="526" t="s">
        <v>817</v>
      </c>
      <c r="U8" s="527" t="e">
        <f>U7-#REF!</f>
        <v>#REF!</v>
      </c>
      <c r="V8" s="532" t="s">
        <v>817</v>
      </c>
      <c r="W8" s="529" t="e">
        <f>W7-#REF!</f>
        <v>#REF!</v>
      </c>
      <c r="X8" s="775"/>
      <c r="Y8" s="735" t="s">
        <v>1688</v>
      </c>
      <c r="Z8" s="744" t="e">
        <f>Z7-#REF!</f>
        <v>#REF!</v>
      </c>
      <c r="AA8" s="749" t="s">
        <v>1809</v>
      </c>
      <c r="AB8" s="738">
        <f t="shared" si="0"/>
        <v>0</v>
      </c>
      <c r="AC8" s="739"/>
      <c r="AD8" s="740"/>
      <c r="AE8" s="740"/>
      <c r="AF8" s="740"/>
      <c r="AG8" s="740"/>
      <c r="AH8" s="740"/>
      <c r="AI8" s="740"/>
      <c r="AJ8" s="740"/>
      <c r="AK8" s="740"/>
      <c r="AL8" s="740"/>
      <c r="AM8" s="740"/>
      <c r="AN8" s="740"/>
      <c r="AO8" s="768" t="s">
        <v>1810</v>
      </c>
      <c r="AP8" s="756">
        <v>1254300000</v>
      </c>
      <c r="AQ8" s="745"/>
      <c r="AR8" s="745"/>
      <c r="AS8" s="745"/>
      <c r="AT8" s="745"/>
      <c r="AU8" s="745"/>
    </row>
    <row r="9" spans="1:47" ht="22.5" customHeight="1">
      <c r="R9" s="761"/>
      <c r="S9" s="742"/>
      <c r="U9" s="742"/>
    </row>
    <row r="10" spans="1:47" ht="22.5" customHeight="1">
      <c r="Z10" s="763"/>
    </row>
    <row r="11" spans="1:47" ht="22.5" customHeight="1">
      <c r="Z11" s="763"/>
    </row>
    <row r="12" spans="1:47" ht="22.5" customHeight="1">
      <c r="Z12" s="763"/>
    </row>
    <row r="13" spans="1:47" ht="22.5" customHeight="1">
      <c r="R13" s="747">
        <v>150700</v>
      </c>
      <c r="Z13" s="763"/>
    </row>
    <row r="14" spans="1:47" ht="22.5" customHeight="1">
      <c r="R14" s="747">
        <v>211614</v>
      </c>
      <c r="S14" s="770">
        <f>R14</f>
        <v>211614</v>
      </c>
      <c r="Z14" s="763"/>
    </row>
    <row r="15" spans="1:47" ht="22.5" customHeight="1">
      <c r="R15" s="747">
        <v>71700.876000000004</v>
      </c>
      <c r="Z15" s="763"/>
    </row>
    <row r="16" spans="1:47" ht="22.5" customHeight="1">
      <c r="R16" s="747">
        <v>38400</v>
      </c>
      <c r="Z16" s="763"/>
    </row>
    <row r="17" spans="2:40" ht="22.5" customHeight="1">
      <c r="R17" s="747">
        <v>110000</v>
      </c>
      <c r="S17" s="770">
        <f>R17</f>
        <v>110000</v>
      </c>
      <c r="Z17" s="771"/>
    </row>
    <row r="18" spans="2:40" ht="22.5" customHeight="1">
      <c r="R18" s="747">
        <v>127683</v>
      </c>
      <c r="Z18" s="770"/>
    </row>
    <row r="19" spans="2:40" ht="22.5" customHeight="1">
      <c r="R19" s="772">
        <f>SUM(R13:R18)</f>
        <v>710097.87599999993</v>
      </c>
      <c r="S19" s="772">
        <f>SUM(S13:S18)</f>
        <v>321614</v>
      </c>
      <c r="Z19" s="770"/>
    </row>
    <row r="20" spans="2:40" ht="22.5" customHeight="1">
      <c r="Z20" s="770"/>
    </row>
    <row r="30" spans="2:40" s="281" customFormat="1" ht="22.5" customHeight="1">
      <c r="B30" s="762"/>
      <c r="C30" s="762"/>
      <c r="R30" s="741"/>
      <c r="X30" s="765">
        <v>44216</v>
      </c>
      <c r="AA30" s="763"/>
      <c r="AB30" s="747"/>
      <c r="AC30" s="747"/>
      <c r="AD30" s="747"/>
      <c r="AE30" s="747"/>
      <c r="AF30" s="747"/>
      <c r="AG30" s="747"/>
      <c r="AH30" s="747"/>
      <c r="AI30" s="747"/>
      <c r="AJ30" s="747"/>
      <c r="AK30" s="747"/>
      <c r="AL30" s="747"/>
      <c r="AM30" s="747"/>
      <c r="AN30" s="747"/>
    </row>
    <row r="34" spans="1:40" s="281" customFormat="1" ht="22.5" customHeight="1">
      <c r="B34" s="762"/>
      <c r="C34" s="762"/>
      <c r="R34" s="741"/>
      <c r="X34" s="765">
        <v>44367</v>
      </c>
      <c r="AA34" s="763"/>
      <c r="AB34" s="747"/>
      <c r="AC34" s="747"/>
      <c r="AD34" s="747"/>
      <c r="AE34" s="747"/>
      <c r="AF34" s="747"/>
      <c r="AG34" s="747"/>
      <c r="AH34" s="747"/>
      <c r="AI34" s="747"/>
      <c r="AJ34" s="747"/>
      <c r="AK34" s="747"/>
      <c r="AL34" s="747"/>
      <c r="AM34" s="747"/>
      <c r="AN34" s="747"/>
    </row>
    <row r="38" spans="1:40" s="281" customFormat="1" ht="22.5" customHeight="1">
      <c r="B38" s="762"/>
      <c r="C38" s="762"/>
      <c r="Q38" s="766"/>
      <c r="R38" s="741"/>
      <c r="X38" s="765">
        <v>44397</v>
      </c>
      <c r="AA38" s="763"/>
      <c r="AB38" s="747"/>
      <c r="AC38" s="747"/>
      <c r="AD38" s="747"/>
      <c r="AE38" s="747"/>
      <c r="AF38" s="747"/>
      <c r="AG38" s="747"/>
      <c r="AH38" s="747"/>
      <c r="AI38" s="747"/>
      <c r="AJ38" s="747"/>
      <c r="AK38" s="747"/>
      <c r="AL38" s="747"/>
      <c r="AM38" s="747"/>
      <c r="AN38" s="747"/>
    </row>
    <row r="42" spans="1:40" s="763" customFormat="1" ht="22.5" customHeight="1">
      <c r="A42" s="281"/>
      <c r="B42" s="762"/>
      <c r="C42" s="762"/>
      <c r="D42" s="281"/>
      <c r="E42" s="281"/>
      <c r="F42" s="281"/>
      <c r="G42" s="281"/>
      <c r="H42" s="281"/>
      <c r="I42" s="281"/>
      <c r="J42" s="281"/>
      <c r="K42" s="281"/>
      <c r="L42" s="281"/>
      <c r="M42" s="281"/>
      <c r="N42" s="281"/>
      <c r="O42" s="281"/>
      <c r="P42" s="281"/>
      <c r="Q42" s="281"/>
      <c r="R42" s="741"/>
      <c r="S42" s="281"/>
      <c r="T42" s="281"/>
      <c r="U42" s="281"/>
      <c r="V42" s="281"/>
      <c r="W42" s="281"/>
      <c r="X42" s="765">
        <v>44248</v>
      </c>
      <c r="Y42" s="281"/>
      <c r="Z42" s="281"/>
      <c r="AB42" s="747"/>
      <c r="AC42" s="747"/>
      <c r="AD42" s="747"/>
      <c r="AE42" s="747"/>
      <c r="AF42" s="747"/>
      <c r="AG42" s="747"/>
      <c r="AH42" s="747"/>
      <c r="AI42" s="747"/>
      <c r="AJ42" s="747"/>
      <c r="AK42" s="747"/>
      <c r="AL42" s="747"/>
      <c r="AM42" s="747"/>
      <c r="AN42" s="747"/>
    </row>
    <row r="43" spans="1:40" s="763" customFormat="1" ht="22.5" customHeight="1">
      <c r="A43" s="281"/>
      <c r="B43" s="762"/>
      <c r="C43" s="762"/>
      <c r="D43" s="281"/>
      <c r="E43" s="281"/>
      <c r="F43" s="281"/>
      <c r="G43" s="281"/>
      <c r="H43" s="281"/>
      <c r="I43" s="281"/>
      <c r="J43" s="281"/>
      <c r="K43" s="281"/>
      <c r="L43" s="281"/>
      <c r="M43" s="281"/>
      <c r="N43" s="281"/>
      <c r="O43" s="281"/>
      <c r="P43" s="281"/>
      <c r="Q43" s="281"/>
      <c r="R43" s="741"/>
      <c r="S43" s="281"/>
      <c r="T43" s="281"/>
      <c r="U43" s="281"/>
      <c r="V43" s="281"/>
      <c r="W43" s="281"/>
      <c r="X43" s="281"/>
      <c r="Y43" s="281"/>
      <c r="Z43" s="281">
        <v>116060000</v>
      </c>
      <c r="AB43" s="747"/>
      <c r="AC43" s="747"/>
      <c r="AD43" s="747"/>
      <c r="AE43" s="747"/>
      <c r="AF43" s="747"/>
      <c r="AG43" s="747"/>
      <c r="AH43" s="747"/>
      <c r="AI43" s="747"/>
      <c r="AJ43" s="747"/>
      <c r="AK43" s="747"/>
      <c r="AL43" s="747"/>
      <c r="AM43" s="747"/>
      <c r="AN43" s="747"/>
    </row>
    <row r="46" spans="1:40" s="763" customFormat="1" ht="22.5" customHeight="1">
      <c r="A46" s="281"/>
      <c r="B46" s="762"/>
      <c r="C46" s="762"/>
      <c r="D46" s="281"/>
      <c r="E46" s="281"/>
      <c r="F46" s="281"/>
      <c r="G46" s="281"/>
      <c r="H46" s="281"/>
      <c r="I46" s="281"/>
      <c r="J46" s="281"/>
      <c r="K46" s="281"/>
      <c r="L46" s="281"/>
      <c r="M46" s="281"/>
      <c r="N46" s="281"/>
      <c r="O46" s="281"/>
      <c r="P46" s="281"/>
      <c r="Q46" s="766"/>
      <c r="R46" s="741"/>
      <c r="S46" s="281"/>
      <c r="T46" s="281"/>
      <c r="U46" s="281"/>
      <c r="V46" s="281"/>
      <c r="W46" s="281"/>
      <c r="X46" s="765">
        <v>44276</v>
      </c>
      <c r="Y46" s="281"/>
      <c r="Z46" s="281"/>
      <c r="AB46" s="747"/>
      <c r="AC46" s="747"/>
      <c r="AD46" s="747"/>
      <c r="AE46" s="747"/>
      <c r="AF46" s="747"/>
      <c r="AG46" s="747"/>
      <c r="AH46" s="747"/>
      <c r="AI46" s="747"/>
      <c r="AJ46" s="747"/>
      <c r="AK46" s="747"/>
      <c r="AL46" s="747"/>
      <c r="AM46" s="747"/>
      <c r="AN46" s="747"/>
    </row>
    <row r="50" spans="1:40" s="763" customFormat="1" ht="22.5" customHeight="1">
      <c r="A50" s="281"/>
      <c r="B50" s="762"/>
      <c r="C50" s="762"/>
      <c r="D50" s="281"/>
      <c r="E50" s="281"/>
      <c r="F50" s="281"/>
      <c r="G50" s="281"/>
      <c r="H50" s="281"/>
      <c r="I50" s="281"/>
      <c r="J50" s="281"/>
      <c r="K50" s="281"/>
      <c r="L50" s="281"/>
      <c r="M50" s="281"/>
      <c r="N50" s="281"/>
      <c r="O50" s="281"/>
      <c r="P50" s="281"/>
      <c r="Q50" s="281"/>
      <c r="R50" s="741"/>
      <c r="S50" s="281"/>
      <c r="T50" s="281"/>
      <c r="U50" s="281"/>
      <c r="V50" s="281"/>
      <c r="W50" s="281"/>
      <c r="X50" s="765">
        <v>44307</v>
      </c>
      <c r="Y50" s="281"/>
      <c r="Z50" s="281"/>
      <c r="AB50" s="747"/>
      <c r="AC50" s="747"/>
      <c r="AD50" s="747"/>
      <c r="AE50" s="747"/>
      <c r="AF50" s="747"/>
      <c r="AG50" s="747"/>
      <c r="AH50" s="747"/>
      <c r="AI50" s="747"/>
      <c r="AJ50" s="747"/>
      <c r="AK50" s="747"/>
      <c r="AL50" s="747"/>
      <c r="AM50" s="747"/>
      <c r="AN50" s="747"/>
    </row>
  </sheetData>
  <phoneticPr fontId="2" type="noConversion"/>
  <printOptions horizontalCentered="1"/>
  <pageMargins left="0.17" right="0.17" top="0.47" bottom="0.39370078740157483" header="0.31496062992125984" footer="0.31496062992125984"/>
  <pageSetup paperSize="9" scale="83"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sheetPr>
  <dimension ref="A1:BB71"/>
  <sheetViews>
    <sheetView view="pageBreakPreview" zoomScaleSheetLayoutView="100" workbookViewId="0">
      <pane xSplit="3" ySplit="3" topLeftCell="D70" activePane="bottomRight" state="frozen"/>
      <selection activeCell="J78" sqref="J78"/>
      <selection pane="topRight" activeCell="J78" sqref="J78"/>
      <selection pane="bottomLeft" activeCell="J78" sqref="J78"/>
      <selection pane="bottomRight" activeCell="J78" sqref="J78"/>
    </sheetView>
  </sheetViews>
  <sheetFormatPr defaultColWidth="10.25" defaultRowHeight="30.75" customHeight="1"/>
  <cols>
    <col min="1" max="1" width="12.625" style="76" customWidth="1"/>
    <col min="2" max="2" width="7" style="282" bestFit="1" customWidth="1"/>
    <col min="3" max="3" width="6" style="787" customWidth="1"/>
    <col min="4" max="4" width="10.5" style="275" customWidth="1"/>
    <col min="5" max="6" width="7.75" style="275" customWidth="1"/>
    <col min="7" max="7" width="8.25" style="275" customWidth="1"/>
    <col min="8" max="9" width="9" style="275" customWidth="1"/>
    <col min="10" max="12" width="8.625" style="275" customWidth="1"/>
    <col min="13" max="13" width="8.125" style="275" customWidth="1"/>
    <col min="14" max="14" width="8" style="275" customWidth="1"/>
    <col min="15" max="15" width="10.5" style="275" customWidth="1"/>
    <col min="16" max="16" width="12.5" style="275" customWidth="1"/>
    <col min="17" max="17" width="12.625" style="275" customWidth="1"/>
    <col min="18" max="18" width="20.625" style="78" customWidth="1"/>
    <col min="19" max="19" width="9.875" style="275" customWidth="1"/>
    <col min="20" max="20" width="7" style="275" bestFit="1" customWidth="1"/>
    <col min="21" max="21" width="8.75" style="275" customWidth="1"/>
    <col min="22" max="22" width="7.125" style="275" bestFit="1" customWidth="1"/>
    <col min="23" max="23" width="10.75" style="275" customWidth="1"/>
    <col min="24" max="25" width="10.25" style="275"/>
    <col min="26" max="27" width="4.5" style="275" customWidth="1"/>
    <col min="28" max="28" width="6.125" style="275" customWidth="1"/>
    <col min="29" max="29" width="17.125" style="275" customWidth="1"/>
    <col min="30" max="30" width="10.25" style="277"/>
    <col min="31" max="31" width="15.75" style="77" customWidth="1"/>
    <col min="32" max="54" width="16.5" style="77" customWidth="1"/>
    <col min="55" max="16384" width="10.25" style="78"/>
  </cols>
  <sheetData>
    <row r="1" spans="1:54" ht="24.75" customHeight="1">
      <c r="A1" s="441" t="s">
        <v>1826</v>
      </c>
      <c r="B1" s="441"/>
      <c r="C1" s="441"/>
      <c r="D1" s="441"/>
      <c r="E1" s="441"/>
      <c r="F1" s="441"/>
      <c r="G1" s="441"/>
      <c r="H1" s="441"/>
      <c r="I1" s="441"/>
      <c r="J1" s="441"/>
      <c r="K1" s="441"/>
      <c r="L1" s="441"/>
      <c r="M1" s="441"/>
      <c r="N1" s="441"/>
      <c r="O1" s="441"/>
      <c r="P1" s="441"/>
      <c r="Q1" s="441"/>
      <c r="R1" s="441"/>
      <c r="S1" s="441"/>
      <c r="T1" s="441"/>
      <c r="U1" s="441"/>
      <c r="V1" s="441"/>
      <c r="W1" s="441"/>
      <c r="Z1" s="276"/>
      <c r="AA1" s="276"/>
    </row>
    <row r="2" spans="1:54" ht="21.75" customHeight="1">
      <c r="A2" s="786" t="s">
        <v>1065</v>
      </c>
      <c r="Q2" s="393" t="s">
        <v>1030</v>
      </c>
    </row>
    <row r="3" spans="1:54" ht="22.5" customHeight="1" thickBot="1">
      <c r="A3" s="513" t="s">
        <v>1031</v>
      </c>
      <c r="B3" s="514" t="s">
        <v>1036</v>
      </c>
      <c r="C3" s="514" t="s">
        <v>1037</v>
      </c>
      <c r="D3" s="552" t="s">
        <v>768</v>
      </c>
      <c r="E3" s="552" t="s">
        <v>1052</v>
      </c>
      <c r="F3" s="552" t="s">
        <v>758</v>
      </c>
      <c r="G3" s="552" t="s">
        <v>759</v>
      </c>
      <c r="H3" s="552" t="s">
        <v>760</v>
      </c>
      <c r="I3" s="552" t="s">
        <v>761</v>
      </c>
      <c r="J3" s="552" t="s">
        <v>762</v>
      </c>
      <c r="K3" s="552" t="s">
        <v>763</v>
      </c>
      <c r="L3" s="552" t="s">
        <v>764</v>
      </c>
      <c r="M3" s="552" t="s">
        <v>765</v>
      </c>
      <c r="N3" s="552" t="s">
        <v>766</v>
      </c>
      <c r="O3" s="552" t="s">
        <v>767</v>
      </c>
      <c r="P3" s="513" t="s">
        <v>1038</v>
      </c>
      <c r="Q3" s="516" t="s">
        <v>1039</v>
      </c>
      <c r="R3" s="513" t="s">
        <v>2</v>
      </c>
      <c r="S3" s="513" t="s">
        <v>1033</v>
      </c>
      <c r="T3" s="513" t="s">
        <v>1066</v>
      </c>
      <c r="U3" s="513"/>
      <c r="V3" s="551" t="s">
        <v>1067</v>
      </c>
      <c r="W3" s="552"/>
      <c r="Z3" s="788" t="s">
        <v>1827</v>
      </c>
      <c r="AA3" s="801"/>
    </row>
    <row r="4" spans="1:54" ht="22.5" customHeight="1" thickBot="1">
      <c r="A4" s="563" t="s">
        <v>1828</v>
      </c>
      <c r="B4" s="554">
        <v>0.9</v>
      </c>
      <c r="C4" s="244">
        <f>B4+D4+E4+F4+G4+I4+H4+J4+K4+L4+M4+N4+O4</f>
        <v>0.93</v>
      </c>
      <c r="D4" s="525">
        <v>0.01</v>
      </c>
      <c r="E4" s="525">
        <v>0.01</v>
      </c>
      <c r="F4" s="525">
        <v>0.01</v>
      </c>
      <c r="G4" s="525"/>
      <c r="H4" s="525"/>
      <c r="I4" s="525"/>
      <c r="J4" s="525"/>
      <c r="K4" s="525"/>
      <c r="L4" s="525"/>
      <c r="M4" s="525"/>
      <c r="N4" s="525"/>
      <c r="O4" s="525"/>
      <c r="P4" s="490" t="s">
        <v>1831</v>
      </c>
      <c r="Q4" s="490" t="s">
        <v>1832</v>
      </c>
      <c r="R4" s="553" t="s">
        <v>1829</v>
      </c>
      <c r="S4" s="520" t="s">
        <v>1830</v>
      </c>
      <c r="T4" s="521" t="s">
        <v>814</v>
      </c>
      <c r="U4" s="522">
        <f>BK4/1100000</f>
        <v>0</v>
      </c>
      <c r="V4" s="523" t="s">
        <v>832</v>
      </c>
      <c r="W4" s="524" t="e">
        <f>U4*0.75-(#REF!+W5)</f>
        <v>#REF!</v>
      </c>
      <c r="X4" s="299" t="s">
        <v>812</v>
      </c>
      <c r="Y4" s="547" t="s">
        <v>813</v>
      </c>
      <c r="Z4" s="260" t="s">
        <v>1833</v>
      </c>
      <c r="AA4" s="260"/>
      <c r="AB4" s="80" t="s">
        <v>814</v>
      </c>
      <c r="AC4" s="81">
        <v>170327000</v>
      </c>
      <c r="AD4" s="82" t="s">
        <v>35</v>
      </c>
      <c r="AE4" s="83">
        <f>SUM(AF4:BB4)</f>
        <v>15000000</v>
      </c>
      <c r="AF4" s="91" t="s">
        <v>1078</v>
      </c>
      <c r="AG4" s="92">
        <v>15000000</v>
      </c>
      <c r="AH4" s="92" t="s">
        <v>1079</v>
      </c>
      <c r="AI4" s="789"/>
      <c r="AJ4" s="92" t="s">
        <v>1080</v>
      </c>
      <c r="AK4" s="92"/>
      <c r="AL4" s="92" t="s">
        <v>1080</v>
      </c>
      <c r="AM4" s="92"/>
      <c r="AN4" s="92" t="s">
        <v>1080</v>
      </c>
      <c r="AO4" s="92"/>
      <c r="AP4" s="92"/>
      <c r="AQ4" s="92"/>
      <c r="AR4" s="92"/>
      <c r="AS4" s="92"/>
      <c r="AT4" s="92"/>
      <c r="AU4" s="92"/>
      <c r="AV4" s="92"/>
      <c r="AW4" s="92"/>
      <c r="AX4" s="92"/>
      <c r="AY4" s="92"/>
      <c r="AZ4" s="92"/>
      <c r="BA4" s="92"/>
      <c r="BB4" s="92"/>
    </row>
    <row r="5" spans="1:54" ht="22.5" customHeight="1" thickBot="1">
      <c r="A5" s="564"/>
      <c r="B5" s="558"/>
      <c r="C5" s="245"/>
      <c r="D5" s="560"/>
      <c r="E5" s="560"/>
      <c r="F5" s="560"/>
      <c r="G5" s="560"/>
      <c r="H5" s="560"/>
      <c r="I5" s="560"/>
      <c r="J5" s="560"/>
      <c r="K5" s="560"/>
      <c r="L5" s="560"/>
      <c r="M5" s="560"/>
      <c r="N5" s="560"/>
      <c r="O5" s="560"/>
      <c r="P5" s="502"/>
      <c r="Q5" s="495"/>
      <c r="R5" s="557"/>
      <c r="S5" s="531" t="s">
        <v>1834</v>
      </c>
      <c r="T5" s="526" t="s">
        <v>817</v>
      </c>
      <c r="U5" s="527" t="e">
        <f>U4-#REF!</f>
        <v>#REF!</v>
      </c>
      <c r="V5" s="532" t="s">
        <v>818</v>
      </c>
      <c r="W5" s="529" t="e">
        <f>(#REF!+BM5)/1100000</f>
        <v>#REF!</v>
      </c>
      <c r="X5" s="89"/>
      <c r="Y5" s="73"/>
      <c r="Z5" s="261"/>
      <c r="AA5" s="261"/>
      <c r="AB5" s="80" t="s">
        <v>817</v>
      </c>
      <c r="AC5" s="81" t="e">
        <f>AC4-#REF!</f>
        <v>#REF!</v>
      </c>
      <c r="AD5" s="82" t="s">
        <v>824</v>
      </c>
      <c r="AE5" s="83"/>
    </row>
    <row r="6" spans="1:54" ht="22.5" customHeight="1" thickBot="1">
      <c r="A6" s="563" t="s">
        <v>1835</v>
      </c>
      <c r="B6" s="554">
        <v>0.83</v>
      </c>
      <c r="C6" s="244">
        <f>B6+D6+E6+F6+G6+I6+H6+J6+K6+L6+M6+N6+O6</f>
        <v>0.9900000000000001</v>
      </c>
      <c r="D6" s="525">
        <v>0.01</v>
      </c>
      <c r="E6" s="525">
        <v>0.01</v>
      </c>
      <c r="F6" s="525">
        <v>0.01</v>
      </c>
      <c r="G6" s="525">
        <v>0.01</v>
      </c>
      <c r="H6" s="525">
        <v>0.01</v>
      </c>
      <c r="I6" s="525">
        <v>0.01</v>
      </c>
      <c r="J6" s="525">
        <v>0.01</v>
      </c>
      <c r="K6" s="525">
        <v>0.05</v>
      </c>
      <c r="L6" s="525">
        <v>0.02</v>
      </c>
      <c r="M6" s="525">
        <v>0.02</v>
      </c>
      <c r="N6" s="525"/>
      <c r="O6" s="525"/>
      <c r="P6" s="490" t="s">
        <v>1838</v>
      </c>
      <c r="Q6" s="490" t="s">
        <v>1839</v>
      </c>
      <c r="R6" s="553" t="s">
        <v>1836</v>
      </c>
      <c r="S6" s="520" t="s">
        <v>1837</v>
      </c>
      <c r="T6" s="521" t="s">
        <v>814</v>
      </c>
      <c r="U6" s="522">
        <f>BK6/1100000</f>
        <v>0</v>
      </c>
      <c r="V6" s="523" t="s">
        <v>832</v>
      </c>
      <c r="W6" s="524" t="e">
        <f>U6*0.75-(#REF!+W7)</f>
        <v>#REF!</v>
      </c>
      <c r="X6" s="299" t="s">
        <v>812</v>
      </c>
      <c r="Y6" s="547" t="s">
        <v>813</v>
      </c>
      <c r="Z6" s="260" t="s">
        <v>1678</v>
      </c>
      <c r="AA6" s="260"/>
      <c r="AB6" s="80" t="s">
        <v>814</v>
      </c>
      <c r="AC6" s="81">
        <v>286150000</v>
      </c>
      <c r="AD6" s="82" t="s">
        <v>35</v>
      </c>
      <c r="AE6" s="83">
        <f>SUM(AF6:BB6)</f>
        <v>0</v>
      </c>
      <c r="AF6" s="91" t="s">
        <v>1078</v>
      </c>
      <c r="AG6" s="92"/>
      <c r="AH6" s="92" t="s">
        <v>1079</v>
      </c>
      <c r="AI6" s="92"/>
      <c r="AJ6" s="92" t="s">
        <v>1080</v>
      </c>
      <c r="AK6" s="92"/>
      <c r="AL6" s="92" t="s">
        <v>1080</v>
      </c>
      <c r="AM6" s="92"/>
      <c r="AN6" s="92" t="s">
        <v>1080</v>
      </c>
      <c r="AO6" s="92"/>
      <c r="AP6" s="92"/>
      <c r="AQ6" s="92"/>
      <c r="AR6" s="92"/>
      <c r="AS6" s="92"/>
      <c r="AT6" s="92"/>
      <c r="AU6" s="92"/>
      <c r="AV6" s="92"/>
      <c r="AW6" s="92"/>
      <c r="AX6" s="92"/>
      <c r="AY6" s="92"/>
      <c r="AZ6" s="92"/>
      <c r="BA6" s="92"/>
      <c r="BB6" s="92"/>
    </row>
    <row r="7" spans="1:54" ht="22.5" customHeight="1" thickBot="1">
      <c r="A7" s="564"/>
      <c r="B7" s="558"/>
      <c r="C7" s="245"/>
      <c r="D7" s="560"/>
      <c r="E7" s="560"/>
      <c r="F7" s="560"/>
      <c r="G7" s="560"/>
      <c r="H7" s="560"/>
      <c r="I7" s="560"/>
      <c r="J7" s="560"/>
      <c r="K7" s="560"/>
      <c r="L7" s="560"/>
      <c r="M7" s="560"/>
      <c r="N7" s="560"/>
      <c r="O7" s="560"/>
      <c r="P7" s="502"/>
      <c r="Q7" s="495"/>
      <c r="R7" s="557"/>
      <c r="S7" s="531" t="s">
        <v>1842</v>
      </c>
      <c r="T7" s="526" t="s">
        <v>817</v>
      </c>
      <c r="U7" s="527" t="e">
        <f>U6-#REF!</f>
        <v>#REF!</v>
      </c>
      <c r="V7" s="532" t="s">
        <v>818</v>
      </c>
      <c r="W7" s="529" t="e">
        <f>(#REF!+BM7)/1100000</f>
        <v>#REF!</v>
      </c>
      <c r="X7" s="89"/>
      <c r="Y7" s="73"/>
      <c r="Z7" s="261"/>
      <c r="AA7" s="261"/>
      <c r="AB7" s="80" t="s">
        <v>817</v>
      </c>
      <c r="AC7" s="81" t="e">
        <f>AC6-#REF!</f>
        <v>#REF!</v>
      </c>
      <c r="AD7" s="82" t="s">
        <v>824</v>
      </c>
      <c r="AE7" s="83"/>
    </row>
    <row r="8" spans="1:54" ht="22.5" customHeight="1" thickBot="1">
      <c r="A8" s="257" t="s">
        <v>1843</v>
      </c>
      <c r="B8" s="554">
        <v>1</v>
      </c>
      <c r="C8" s="244">
        <f>B8+D8+E8+F8+G8+I8+H8+J8+K8+L8+M8+N8+O8</f>
        <v>1</v>
      </c>
      <c r="D8" s="525"/>
      <c r="E8" s="525"/>
      <c r="F8" s="525"/>
      <c r="G8" s="525"/>
      <c r="H8" s="525"/>
      <c r="I8" s="525"/>
      <c r="J8" s="525"/>
      <c r="K8" s="525"/>
      <c r="L8" s="525"/>
      <c r="M8" s="525"/>
      <c r="N8" s="525"/>
      <c r="O8" s="525"/>
      <c r="P8" s="490" t="s">
        <v>1846</v>
      </c>
      <c r="Q8" s="490" t="s">
        <v>1847</v>
      </c>
      <c r="R8" s="553" t="s">
        <v>1844</v>
      </c>
      <c r="S8" s="520" t="s">
        <v>1845</v>
      </c>
      <c r="T8" s="521" t="s">
        <v>814</v>
      </c>
      <c r="U8" s="522">
        <f>BK8/1100000</f>
        <v>0</v>
      </c>
      <c r="V8" s="523" t="s">
        <v>832</v>
      </c>
      <c r="W8" s="524" t="e">
        <f>U8*0.75-(#REF!+W9)</f>
        <v>#REF!</v>
      </c>
      <c r="X8" s="299" t="s">
        <v>812</v>
      </c>
      <c r="Y8" s="547" t="s">
        <v>813</v>
      </c>
      <c r="Z8" s="260" t="s">
        <v>1848</v>
      </c>
      <c r="AA8" s="260"/>
      <c r="AB8" s="80" t="s">
        <v>814</v>
      </c>
      <c r="AC8" s="81">
        <v>41800000</v>
      </c>
      <c r="AD8" s="82" t="s">
        <v>35</v>
      </c>
      <c r="AE8" s="83">
        <f>SUM(AF8:BB8)</f>
        <v>0</v>
      </c>
      <c r="AF8" s="91" t="s">
        <v>1078</v>
      </c>
      <c r="AG8" s="92"/>
      <c r="AH8" s="92" t="s">
        <v>1079</v>
      </c>
      <c r="AI8" s="92"/>
      <c r="AJ8" s="92" t="s">
        <v>1080</v>
      </c>
      <c r="AK8" s="92"/>
      <c r="AL8" s="92" t="s">
        <v>1080</v>
      </c>
      <c r="AM8" s="92"/>
      <c r="AN8" s="92" t="s">
        <v>1080</v>
      </c>
      <c r="AO8" s="92"/>
      <c r="AP8" s="92"/>
      <c r="AQ8" s="92"/>
      <c r="AR8" s="92"/>
      <c r="AS8" s="92"/>
      <c r="AT8" s="92"/>
      <c r="AU8" s="92"/>
      <c r="AV8" s="92"/>
      <c r="AW8" s="92"/>
      <c r="AX8" s="92"/>
      <c r="AY8" s="92"/>
      <c r="AZ8" s="92"/>
      <c r="BA8" s="92"/>
      <c r="BB8" s="92"/>
    </row>
    <row r="9" spans="1:54" ht="22.5" customHeight="1" thickBot="1">
      <c r="A9" s="258"/>
      <c r="B9" s="558"/>
      <c r="C9" s="245"/>
      <c r="D9" s="560"/>
      <c r="E9" s="560"/>
      <c r="F9" s="560"/>
      <c r="G9" s="560"/>
      <c r="H9" s="560"/>
      <c r="I9" s="560"/>
      <c r="J9" s="560"/>
      <c r="K9" s="560"/>
      <c r="L9" s="560"/>
      <c r="M9" s="560"/>
      <c r="N9" s="560"/>
      <c r="O9" s="560"/>
      <c r="P9" s="502"/>
      <c r="Q9" s="495"/>
      <c r="R9" s="557"/>
      <c r="S9" s="531" t="s">
        <v>1849</v>
      </c>
      <c r="T9" s="526" t="s">
        <v>817</v>
      </c>
      <c r="U9" s="527" t="e">
        <f>U8-#REF!</f>
        <v>#REF!</v>
      </c>
      <c r="V9" s="532" t="s">
        <v>818</v>
      </c>
      <c r="W9" s="529" t="e">
        <f>(#REF!+BM9)/1100000</f>
        <v>#REF!</v>
      </c>
      <c r="X9" s="89"/>
      <c r="Y9" s="73"/>
      <c r="Z9" s="261"/>
      <c r="AA9" s="261"/>
      <c r="AB9" s="80" t="s">
        <v>817</v>
      </c>
      <c r="AC9" s="81" t="e">
        <f>AC8-#REF!</f>
        <v>#REF!</v>
      </c>
      <c r="AD9" s="82" t="s">
        <v>824</v>
      </c>
      <c r="AE9" s="83"/>
    </row>
    <row r="10" spans="1:54" ht="22.5" customHeight="1" thickBot="1">
      <c r="A10" s="257" t="s">
        <v>1850</v>
      </c>
      <c r="B10" s="554">
        <v>1</v>
      </c>
      <c r="C10" s="244">
        <f>B10+D10+E10+F10+G10+I10+H10+J10+K10+L10+M10+N10+O10</f>
        <v>1</v>
      </c>
      <c r="D10" s="525"/>
      <c r="E10" s="525"/>
      <c r="F10" s="525"/>
      <c r="G10" s="525"/>
      <c r="H10" s="525"/>
      <c r="I10" s="525"/>
      <c r="J10" s="525"/>
      <c r="K10" s="525"/>
      <c r="L10" s="525"/>
      <c r="M10" s="525"/>
      <c r="N10" s="525"/>
      <c r="O10" s="525"/>
      <c r="P10" s="490" t="s">
        <v>1846</v>
      </c>
      <c r="Q10" s="490" t="s">
        <v>1854</v>
      </c>
      <c r="R10" s="553" t="s">
        <v>1851</v>
      </c>
      <c r="S10" s="645" t="s">
        <v>1852</v>
      </c>
      <c r="T10" s="521" t="s">
        <v>814</v>
      </c>
      <c r="U10" s="522">
        <f>BK10/1100000</f>
        <v>0</v>
      </c>
      <c r="V10" s="523" t="s">
        <v>832</v>
      </c>
      <c r="W10" s="524" t="e">
        <f>U10*0.75-(#REF!+W11)</f>
        <v>#REF!</v>
      </c>
      <c r="X10" s="299" t="s">
        <v>812</v>
      </c>
      <c r="Y10" s="547" t="s">
        <v>813</v>
      </c>
      <c r="Z10" s="260" t="s">
        <v>1855</v>
      </c>
      <c r="AA10" s="260"/>
      <c r="AB10" s="80" t="s">
        <v>814</v>
      </c>
      <c r="AC10" s="81">
        <v>62670000</v>
      </c>
      <c r="AD10" s="82" t="s">
        <v>35</v>
      </c>
      <c r="AE10" s="83">
        <f>SUM(AF10:BB10)</f>
        <v>0</v>
      </c>
      <c r="AF10" s="91" t="s">
        <v>1078</v>
      </c>
      <c r="AG10" s="92"/>
      <c r="AH10" s="92" t="s">
        <v>1079</v>
      </c>
      <c r="AI10" s="92"/>
      <c r="AJ10" s="92" t="s">
        <v>1080</v>
      </c>
      <c r="AK10" s="92"/>
      <c r="AL10" s="92" t="s">
        <v>1080</v>
      </c>
      <c r="AM10" s="92"/>
      <c r="AN10" s="92" t="s">
        <v>1080</v>
      </c>
      <c r="AO10" s="92"/>
      <c r="AP10" s="92"/>
      <c r="AQ10" s="92"/>
      <c r="AR10" s="92"/>
      <c r="AS10" s="92"/>
      <c r="AT10" s="92"/>
      <c r="AU10" s="92"/>
      <c r="AV10" s="92"/>
      <c r="AW10" s="92"/>
      <c r="AX10" s="92"/>
      <c r="AY10" s="92"/>
      <c r="AZ10" s="92"/>
      <c r="BA10" s="92"/>
      <c r="BB10" s="92"/>
    </row>
    <row r="11" spans="1:54" ht="22.5" customHeight="1" thickBot="1">
      <c r="A11" s="258"/>
      <c r="B11" s="558"/>
      <c r="C11" s="245"/>
      <c r="D11" s="560"/>
      <c r="E11" s="560"/>
      <c r="F11" s="560"/>
      <c r="G11" s="560"/>
      <c r="H11" s="560"/>
      <c r="I11" s="560"/>
      <c r="J11" s="560"/>
      <c r="K11" s="560"/>
      <c r="L11" s="560"/>
      <c r="M11" s="560"/>
      <c r="N11" s="560"/>
      <c r="O11" s="560"/>
      <c r="P11" s="502"/>
      <c r="Q11" s="495"/>
      <c r="R11" s="557"/>
      <c r="S11" s="240" t="s">
        <v>1857</v>
      </c>
      <c r="T11" s="526" t="s">
        <v>1858</v>
      </c>
      <c r="U11" s="527" t="e">
        <f>U10-#REF!</f>
        <v>#REF!</v>
      </c>
      <c r="V11" s="532" t="s">
        <v>1859</v>
      </c>
      <c r="W11" s="529" t="e">
        <f>(#REF!+BM11)/1100000</f>
        <v>#REF!</v>
      </c>
      <c r="X11" s="89"/>
      <c r="Y11" s="73"/>
      <c r="Z11" s="261"/>
      <c r="AA11" s="261"/>
      <c r="AB11" s="80" t="s">
        <v>1858</v>
      </c>
      <c r="AC11" s="81" t="e">
        <f>AC10-#REF!</f>
        <v>#REF!</v>
      </c>
      <c r="AD11" s="82" t="s">
        <v>1860</v>
      </c>
      <c r="AE11" s="83"/>
    </row>
    <row r="12" spans="1:54" ht="22.5" customHeight="1" thickBot="1">
      <c r="A12" s="563" t="s">
        <v>1861</v>
      </c>
      <c r="B12" s="554">
        <v>1</v>
      </c>
      <c r="C12" s="244">
        <f>B12+D12+E12+F12+G12+I12+H12+J12+K12+L12+M12+N12+O12</f>
        <v>1</v>
      </c>
      <c r="D12" s="525"/>
      <c r="E12" s="525"/>
      <c r="F12" s="525"/>
      <c r="G12" s="525"/>
      <c r="H12" s="525"/>
      <c r="I12" s="525"/>
      <c r="J12" s="525"/>
      <c r="K12" s="525"/>
      <c r="L12" s="525"/>
      <c r="M12" s="525"/>
      <c r="N12" s="525"/>
      <c r="O12" s="525"/>
      <c r="P12" s="490" t="s">
        <v>1866</v>
      </c>
      <c r="Q12" s="490" t="s">
        <v>1867</v>
      </c>
      <c r="R12" s="553" t="s">
        <v>1862</v>
      </c>
      <c r="S12" s="520" t="s">
        <v>1863</v>
      </c>
      <c r="T12" s="521" t="s">
        <v>1864</v>
      </c>
      <c r="U12" s="522">
        <f>BK12/1100000</f>
        <v>0</v>
      </c>
      <c r="V12" s="523" t="s">
        <v>1865</v>
      </c>
      <c r="W12" s="524" t="e">
        <f>U12*0.75-(#REF!+W13)</f>
        <v>#REF!</v>
      </c>
      <c r="X12" s="299" t="s">
        <v>1868</v>
      </c>
      <c r="Y12" s="547" t="s">
        <v>1869</v>
      </c>
      <c r="Z12" s="260" t="s">
        <v>1870</v>
      </c>
      <c r="AA12" s="260"/>
      <c r="AB12" s="80" t="s">
        <v>1864</v>
      </c>
      <c r="AC12" s="81">
        <v>167732000</v>
      </c>
      <c r="AD12" s="82" t="s">
        <v>1871</v>
      </c>
      <c r="AE12" s="83">
        <f>SUM(AF12:BB12)</f>
        <v>20000000</v>
      </c>
      <c r="AF12" s="91" t="s">
        <v>1872</v>
      </c>
      <c r="AG12" s="92">
        <v>20000000</v>
      </c>
      <c r="AH12" s="92" t="s">
        <v>1873</v>
      </c>
      <c r="AI12" s="92"/>
      <c r="AJ12" s="92" t="s">
        <v>1856</v>
      </c>
      <c r="AK12" s="92"/>
      <c r="AL12" s="92" t="s">
        <v>1856</v>
      </c>
      <c r="AM12" s="92"/>
      <c r="AN12" s="92" t="s">
        <v>1856</v>
      </c>
      <c r="AO12" s="92"/>
      <c r="AP12" s="92"/>
      <c r="AQ12" s="92"/>
      <c r="AR12" s="92"/>
      <c r="AS12" s="92"/>
      <c r="AT12" s="92"/>
      <c r="AU12" s="92"/>
      <c r="AV12" s="92"/>
      <c r="AW12" s="92"/>
      <c r="AX12" s="92"/>
      <c r="AY12" s="92"/>
      <c r="AZ12" s="92"/>
      <c r="BA12" s="92"/>
      <c r="BB12" s="92"/>
    </row>
    <row r="13" spans="1:54" ht="22.5" customHeight="1" thickBot="1">
      <c r="A13" s="564"/>
      <c r="B13" s="558"/>
      <c r="C13" s="245"/>
      <c r="D13" s="560"/>
      <c r="E13" s="560"/>
      <c r="F13" s="560"/>
      <c r="G13" s="560"/>
      <c r="H13" s="560"/>
      <c r="I13" s="560"/>
      <c r="J13" s="560"/>
      <c r="K13" s="560"/>
      <c r="L13" s="560"/>
      <c r="M13" s="560"/>
      <c r="N13" s="560"/>
      <c r="O13" s="560"/>
      <c r="P13" s="502"/>
      <c r="Q13" s="495"/>
      <c r="R13" s="557"/>
      <c r="S13" s="531" t="s">
        <v>1857</v>
      </c>
      <c r="T13" s="526" t="s">
        <v>1858</v>
      </c>
      <c r="U13" s="527" t="e">
        <f>U12-#REF!</f>
        <v>#REF!</v>
      </c>
      <c r="V13" s="532" t="s">
        <v>1859</v>
      </c>
      <c r="W13" s="529">
        <v>38.6</v>
      </c>
      <c r="X13" s="89"/>
      <c r="Y13" s="73"/>
      <c r="Z13" s="261"/>
      <c r="AA13" s="261"/>
      <c r="AB13" s="80" t="s">
        <v>1858</v>
      </c>
      <c r="AC13" s="81" t="e">
        <f>AC12-#REF!</f>
        <v>#REF!</v>
      </c>
      <c r="AD13" s="82" t="s">
        <v>1860</v>
      </c>
      <c r="AE13" s="83"/>
    </row>
    <row r="14" spans="1:54" ht="22.5" customHeight="1" thickBot="1">
      <c r="A14" s="257" t="s">
        <v>1874</v>
      </c>
      <c r="B14" s="554">
        <v>1</v>
      </c>
      <c r="C14" s="244">
        <f>B14+D14+E14+F14+G14+I14+H14+J14+K14+L14+M14+N14+O14</f>
        <v>1</v>
      </c>
      <c r="D14" s="525"/>
      <c r="E14" s="525"/>
      <c r="F14" s="525"/>
      <c r="G14" s="525"/>
      <c r="H14" s="525"/>
      <c r="I14" s="525"/>
      <c r="J14" s="525"/>
      <c r="K14" s="525"/>
      <c r="L14" s="525"/>
      <c r="M14" s="525"/>
      <c r="N14" s="525"/>
      <c r="O14" s="525"/>
      <c r="P14" s="490" t="s">
        <v>1866</v>
      </c>
      <c r="Q14" s="490" t="s">
        <v>1878</v>
      </c>
      <c r="R14" s="553" t="s">
        <v>1875</v>
      </c>
      <c r="S14" s="520" t="s">
        <v>1876</v>
      </c>
      <c r="T14" s="521" t="s">
        <v>1864</v>
      </c>
      <c r="U14" s="522">
        <f>BK14/1100000</f>
        <v>0</v>
      </c>
      <c r="V14" s="523" t="s">
        <v>1877</v>
      </c>
      <c r="W14" s="524" t="e">
        <f>#REF!/1100000</f>
        <v>#REF!</v>
      </c>
      <c r="X14" s="299" t="s">
        <v>1868</v>
      </c>
      <c r="Y14" s="547" t="s">
        <v>1869</v>
      </c>
      <c r="Z14" s="260" t="s">
        <v>1879</v>
      </c>
      <c r="AA14" s="260"/>
      <c r="AB14" s="80" t="s">
        <v>1864</v>
      </c>
      <c r="AC14" s="790">
        <v>210181000</v>
      </c>
      <c r="AD14" s="82" t="s">
        <v>1871</v>
      </c>
      <c r="AE14" s="83">
        <f>SUM(AF14:BB14)</f>
        <v>85000000</v>
      </c>
      <c r="AF14" s="91" t="s">
        <v>1880</v>
      </c>
      <c r="AG14" s="92">
        <v>60000000</v>
      </c>
      <c r="AH14" s="92" t="s">
        <v>1881</v>
      </c>
      <c r="AI14" s="92">
        <v>15000000</v>
      </c>
      <c r="AJ14" s="92" t="s">
        <v>1882</v>
      </c>
      <c r="AK14" s="92">
        <v>10000000</v>
      </c>
      <c r="AL14" s="92" t="s">
        <v>1856</v>
      </c>
      <c r="AM14" s="92"/>
      <c r="AN14" s="92" t="s">
        <v>1856</v>
      </c>
      <c r="AO14" s="92"/>
      <c r="AP14" s="92"/>
      <c r="AQ14" s="92"/>
      <c r="AR14" s="92"/>
      <c r="AS14" s="92"/>
      <c r="AT14" s="92"/>
      <c r="AU14" s="92"/>
      <c r="AV14" s="92"/>
      <c r="AW14" s="92"/>
      <c r="AX14" s="92"/>
      <c r="AY14" s="92"/>
      <c r="AZ14" s="92"/>
      <c r="BA14" s="92"/>
      <c r="BB14" s="92"/>
    </row>
    <row r="15" spans="1:54" ht="22.5" customHeight="1" thickBot="1">
      <c r="A15" s="258"/>
      <c r="B15" s="558"/>
      <c r="C15" s="245"/>
      <c r="D15" s="560"/>
      <c r="E15" s="560"/>
      <c r="F15" s="560"/>
      <c r="G15" s="560"/>
      <c r="H15" s="560"/>
      <c r="I15" s="560"/>
      <c r="J15" s="560"/>
      <c r="K15" s="560"/>
      <c r="L15" s="560"/>
      <c r="M15" s="560"/>
      <c r="N15" s="560"/>
      <c r="O15" s="560"/>
      <c r="P15" s="502"/>
      <c r="Q15" s="495"/>
      <c r="R15" s="557"/>
      <c r="S15" s="531"/>
      <c r="T15" s="526" t="s">
        <v>1858</v>
      </c>
      <c r="U15" s="527" t="e">
        <f>U14-#REF!</f>
        <v>#REF!</v>
      </c>
      <c r="V15" s="532" t="s">
        <v>1858</v>
      </c>
      <c r="W15" s="529" t="e">
        <f>W14-#REF!</f>
        <v>#REF!</v>
      </c>
      <c r="X15" s="89"/>
      <c r="Y15" s="73"/>
      <c r="Z15" s="261"/>
      <c r="AA15" s="261"/>
      <c r="AB15" s="80" t="s">
        <v>1858</v>
      </c>
      <c r="AC15" s="81" t="e">
        <f>AC14-#REF!</f>
        <v>#REF!</v>
      </c>
      <c r="AD15" s="82" t="s">
        <v>1860</v>
      </c>
      <c r="AE15" s="83"/>
      <c r="AF15" s="791"/>
    </row>
    <row r="16" spans="1:54" ht="22.5" customHeight="1" thickBot="1">
      <c r="A16" s="257" t="s">
        <v>1884</v>
      </c>
      <c r="B16" s="554">
        <v>0.2</v>
      </c>
      <c r="C16" s="244">
        <f>B16+D16+E16+F16+G16+I16+H16+J16+K16+L16+M16+N16+O16</f>
        <v>0.34000000000000008</v>
      </c>
      <c r="D16" s="525">
        <v>0.05</v>
      </c>
      <c r="E16" s="525">
        <v>0.01</v>
      </c>
      <c r="F16" s="525">
        <v>0.01</v>
      </c>
      <c r="G16" s="525">
        <v>0.01</v>
      </c>
      <c r="H16" s="525">
        <v>0.01</v>
      </c>
      <c r="I16" s="525">
        <v>0.01</v>
      </c>
      <c r="J16" s="525">
        <v>0.01</v>
      </c>
      <c r="K16" s="525">
        <v>0.01</v>
      </c>
      <c r="L16" s="525">
        <v>0.01</v>
      </c>
      <c r="M16" s="525">
        <v>0.01</v>
      </c>
      <c r="N16" s="525"/>
      <c r="O16" s="525"/>
      <c r="P16" s="490" t="s">
        <v>1887</v>
      </c>
      <c r="Q16" s="490" t="s">
        <v>1888</v>
      </c>
      <c r="R16" s="553" t="s">
        <v>1885</v>
      </c>
      <c r="S16" s="520" t="s">
        <v>1886</v>
      </c>
      <c r="T16" s="521" t="s">
        <v>1864</v>
      </c>
      <c r="U16" s="522">
        <f>BK16/1100000</f>
        <v>0</v>
      </c>
      <c r="V16" s="523" t="s">
        <v>1865</v>
      </c>
      <c r="W16" s="524" t="e">
        <f>U16*0.75-(#REF!+W17)</f>
        <v>#REF!</v>
      </c>
      <c r="X16" s="299" t="s">
        <v>1868</v>
      </c>
      <c r="Y16" s="547" t="s">
        <v>1869</v>
      </c>
      <c r="Z16" s="260" t="s">
        <v>1889</v>
      </c>
      <c r="AA16" s="260"/>
      <c r="AB16" s="80" t="s">
        <v>1864</v>
      </c>
      <c r="AC16" s="81">
        <v>183462000</v>
      </c>
      <c r="AD16" s="82" t="s">
        <v>1871</v>
      </c>
      <c r="AE16" s="83">
        <f>SUM(AF16:BB16)</f>
        <v>0</v>
      </c>
      <c r="AF16" s="91" t="s">
        <v>1872</v>
      </c>
      <c r="AG16" s="92"/>
      <c r="AH16" s="92" t="s">
        <v>1873</v>
      </c>
      <c r="AI16" s="92"/>
      <c r="AJ16" s="92" t="s">
        <v>1856</v>
      </c>
      <c r="AK16" s="92"/>
      <c r="AL16" s="92" t="s">
        <v>1856</v>
      </c>
      <c r="AM16" s="92"/>
      <c r="AN16" s="92" t="s">
        <v>1856</v>
      </c>
      <c r="AO16" s="92"/>
      <c r="AP16" s="92"/>
      <c r="AQ16" s="92"/>
      <c r="AR16" s="92"/>
      <c r="AS16" s="92"/>
      <c r="AT16" s="92"/>
      <c r="AU16" s="92"/>
      <c r="AV16" s="92"/>
      <c r="AW16" s="92"/>
      <c r="AX16" s="92"/>
      <c r="AY16" s="92"/>
      <c r="AZ16" s="92"/>
      <c r="BA16" s="92"/>
      <c r="BB16" s="92"/>
    </row>
    <row r="17" spans="1:54" ht="22.5" customHeight="1" thickBot="1">
      <c r="A17" s="258"/>
      <c r="B17" s="558"/>
      <c r="C17" s="245"/>
      <c r="D17" s="560"/>
      <c r="E17" s="560"/>
      <c r="F17" s="560"/>
      <c r="G17" s="560"/>
      <c r="H17" s="560"/>
      <c r="I17" s="560"/>
      <c r="J17" s="560"/>
      <c r="K17" s="560"/>
      <c r="L17" s="560"/>
      <c r="M17" s="560"/>
      <c r="N17" s="560"/>
      <c r="O17" s="560"/>
      <c r="P17" s="502"/>
      <c r="Q17" s="495"/>
      <c r="R17" s="557"/>
      <c r="S17" s="531" t="s">
        <v>1890</v>
      </c>
      <c r="T17" s="526" t="s">
        <v>1858</v>
      </c>
      <c r="U17" s="527" t="e">
        <f>U16-#REF!</f>
        <v>#REF!</v>
      </c>
      <c r="V17" s="532" t="s">
        <v>1859</v>
      </c>
      <c r="W17" s="529">
        <v>35</v>
      </c>
      <c r="X17" s="89"/>
      <c r="Y17" s="73"/>
      <c r="Z17" s="261"/>
      <c r="AA17" s="261"/>
      <c r="AB17" s="80" t="s">
        <v>1858</v>
      </c>
      <c r="AC17" s="81" t="e">
        <f>AC16-#REF!</f>
        <v>#REF!</v>
      </c>
      <c r="AD17" s="82" t="s">
        <v>1860</v>
      </c>
      <c r="AE17" s="83"/>
    </row>
    <row r="18" spans="1:54" ht="22.5" customHeight="1" thickBot="1">
      <c r="A18" s="257" t="s">
        <v>1891</v>
      </c>
      <c r="B18" s="554">
        <v>0.35</v>
      </c>
      <c r="C18" s="244">
        <f>B18+D18+E18+F18+G18+I18+H18+J18+K18+L18+M18+N18+O18</f>
        <v>0.35</v>
      </c>
      <c r="D18" s="525"/>
      <c r="E18" s="525"/>
      <c r="F18" s="525"/>
      <c r="G18" s="525"/>
      <c r="H18" s="525"/>
      <c r="I18" s="525"/>
      <c r="J18" s="525"/>
      <c r="K18" s="525"/>
      <c r="L18" s="525"/>
      <c r="M18" s="525"/>
      <c r="N18" s="525"/>
      <c r="O18" s="525"/>
      <c r="P18" s="490" t="s">
        <v>1894</v>
      </c>
      <c r="Q18" s="490" t="s">
        <v>1895</v>
      </c>
      <c r="R18" s="553" t="s">
        <v>1892</v>
      </c>
      <c r="S18" s="520" t="s">
        <v>1893</v>
      </c>
      <c r="T18" s="521" t="s">
        <v>1864</v>
      </c>
      <c r="U18" s="522">
        <f>BK18/1100000</f>
        <v>0</v>
      </c>
      <c r="V18" s="523" t="s">
        <v>1865</v>
      </c>
      <c r="W18" s="524" t="e">
        <f>U18*0.75-(#REF!+W19)</f>
        <v>#REF!</v>
      </c>
      <c r="X18" s="299" t="s">
        <v>1868</v>
      </c>
      <c r="Y18" s="547" t="s">
        <v>1869</v>
      </c>
      <c r="Z18" s="260" t="s">
        <v>1896</v>
      </c>
      <c r="AA18" s="260"/>
      <c r="AB18" s="80" t="s">
        <v>1864</v>
      </c>
      <c r="AC18" s="81">
        <v>11327000</v>
      </c>
      <c r="AD18" s="82" t="s">
        <v>1871</v>
      </c>
      <c r="AE18" s="83">
        <f>SUM(AF18:BB18)</f>
        <v>0</v>
      </c>
      <c r="AF18" s="91" t="s">
        <v>1872</v>
      </c>
      <c r="AG18" s="92"/>
      <c r="AH18" s="92" t="s">
        <v>1873</v>
      </c>
      <c r="AI18" s="92"/>
      <c r="AJ18" s="92" t="s">
        <v>1856</v>
      </c>
      <c r="AK18" s="92"/>
      <c r="AL18" s="92" t="s">
        <v>1856</v>
      </c>
      <c r="AM18" s="92"/>
      <c r="AN18" s="92" t="s">
        <v>1856</v>
      </c>
      <c r="AO18" s="92"/>
      <c r="AP18" s="92"/>
      <c r="AQ18" s="92"/>
      <c r="AR18" s="92"/>
      <c r="AS18" s="92"/>
      <c r="AT18" s="92"/>
      <c r="AU18" s="92"/>
      <c r="AV18" s="92"/>
      <c r="AW18" s="92"/>
      <c r="AX18" s="92"/>
      <c r="AY18" s="92"/>
      <c r="AZ18" s="92"/>
      <c r="BA18" s="92"/>
      <c r="BB18" s="92"/>
    </row>
    <row r="19" spans="1:54" ht="22.5" customHeight="1" thickBot="1">
      <c r="A19" s="258"/>
      <c r="B19" s="558"/>
      <c r="C19" s="245"/>
      <c r="D19" s="560"/>
      <c r="E19" s="560"/>
      <c r="F19" s="560"/>
      <c r="G19" s="560"/>
      <c r="H19" s="560"/>
      <c r="I19" s="560"/>
      <c r="J19" s="560"/>
      <c r="K19" s="560"/>
      <c r="L19" s="560"/>
      <c r="M19" s="560"/>
      <c r="N19" s="560"/>
      <c r="O19" s="560"/>
      <c r="P19" s="502"/>
      <c r="Q19" s="495"/>
      <c r="R19" s="557"/>
      <c r="S19" s="531" t="s">
        <v>1897</v>
      </c>
      <c r="T19" s="526" t="s">
        <v>1858</v>
      </c>
      <c r="U19" s="527" t="e">
        <f>U18-#REF!</f>
        <v>#REF!</v>
      </c>
      <c r="V19" s="532" t="s">
        <v>1859</v>
      </c>
      <c r="W19" s="529" t="e">
        <f>(#REF!+BM19)/1100000</f>
        <v>#REF!</v>
      </c>
      <c r="X19" s="89"/>
      <c r="Y19" s="73"/>
      <c r="Z19" s="261"/>
      <c r="AA19" s="261"/>
      <c r="AB19" s="80" t="s">
        <v>1858</v>
      </c>
      <c r="AC19" s="81" t="e">
        <f>AC18-#REF!</f>
        <v>#REF!</v>
      </c>
      <c r="AD19" s="82" t="s">
        <v>1860</v>
      </c>
      <c r="AE19" s="83"/>
    </row>
    <row r="20" spans="1:54" ht="22.5" customHeight="1" thickBot="1">
      <c r="A20" s="257" t="s">
        <v>1898</v>
      </c>
      <c r="B20" s="554">
        <v>1</v>
      </c>
      <c r="C20" s="244">
        <f>B20+D20+E20+F20+G20+I20+H20+J20+K20+L20+M20+N20+O20</f>
        <v>1</v>
      </c>
      <c r="D20" s="525"/>
      <c r="E20" s="525"/>
      <c r="F20" s="525"/>
      <c r="G20" s="525"/>
      <c r="H20" s="525"/>
      <c r="I20" s="525"/>
      <c r="J20" s="525"/>
      <c r="K20" s="525"/>
      <c r="L20" s="525"/>
      <c r="M20" s="525"/>
      <c r="N20" s="525"/>
      <c r="O20" s="525"/>
      <c r="P20" s="490" t="s">
        <v>1866</v>
      </c>
      <c r="Q20" s="490" t="s">
        <v>1901</v>
      </c>
      <c r="R20" s="553" t="s">
        <v>1899</v>
      </c>
      <c r="S20" s="520" t="s">
        <v>1900</v>
      </c>
      <c r="T20" s="521" t="s">
        <v>1864</v>
      </c>
      <c r="U20" s="522">
        <f>BK20/1100000</f>
        <v>0</v>
      </c>
      <c r="V20" s="523" t="s">
        <v>1865</v>
      </c>
      <c r="W20" s="524" t="e">
        <f>U20*0.75-(#REF!+W21)</f>
        <v>#REF!</v>
      </c>
      <c r="X20" s="299" t="s">
        <v>1868</v>
      </c>
      <c r="Y20" s="547" t="s">
        <v>1869</v>
      </c>
      <c r="Z20" s="260" t="s">
        <v>1902</v>
      </c>
      <c r="AA20" s="260"/>
      <c r="AB20" s="80" t="s">
        <v>1864</v>
      </c>
      <c r="AC20" s="81">
        <v>110613000</v>
      </c>
      <c r="AD20" s="82" t="s">
        <v>1871</v>
      </c>
      <c r="AE20" s="83">
        <f>SUM(AF20:BB20)</f>
        <v>0</v>
      </c>
      <c r="AF20" s="91" t="s">
        <v>1872</v>
      </c>
      <c r="AG20" s="92"/>
      <c r="AH20" s="92" t="s">
        <v>1873</v>
      </c>
      <c r="AI20" s="92"/>
      <c r="AJ20" s="92" t="s">
        <v>1856</v>
      </c>
      <c r="AK20" s="92"/>
      <c r="AL20" s="92" t="s">
        <v>1856</v>
      </c>
      <c r="AM20" s="92"/>
      <c r="AN20" s="92" t="s">
        <v>1856</v>
      </c>
      <c r="AO20" s="92"/>
      <c r="AP20" s="92"/>
      <c r="AQ20" s="92"/>
      <c r="AR20" s="92"/>
      <c r="AS20" s="92"/>
      <c r="AT20" s="92"/>
      <c r="AU20" s="92"/>
      <c r="AV20" s="92"/>
      <c r="AW20" s="92"/>
      <c r="AX20" s="92"/>
      <c r="AY20" s="92"/>
      <c r="AZ20" s="92"/>
      <c r="BA20" s="92"/>
      <c r="BB20" s="92"/>
    </row>
    <row r="21" spans="1:54" ht="22.5" customHeight="1" thickBot="1">
      <c r="A21" s="258"/>
      <c r="B21" s="558"/>
      <c r="C21" s="245"/>
      <c r="D21" s="560"/>
      <c r="E21" s="560"/>
      <c r="F21" s="560"/>
      <c r="G21" s="560"/>
      <c r="H21" s="560"/>
      <c r="I21" s="560"/>
      <c r="J21" s="560"/>
      <c r="K21" s="560"/>
      <c r="L21" s="560"/>
      <c r="M21" s="560"/>
      <c r="N21" s="560"/>
      <c r="O21" s="560"/>
      <c r="P21" s="502"/>
      <c r="Q21" s="495"/>
      <c r="R21" s="557"/>
      <c r="S21" s="531"/>
      <c r="T21" s="526" t="s">
        <v>1858</v>
      </c>
      <c r="U21" s="527" t="e">
        <f>U20-#REF!</f>
        <v>#REF!</v>
      </c>
      <c r="V21" s="532" t="s">
        <v>1859</v>
      </c>
      <c r="W21" s="529" t="e">
        <f>(#REF!+BM21)/1100000</f>
        <v>#REF!</v>
      </c>
      <c r="X21" s="792"/>
      <c r="Y21" s="793"/>
      <c r="Z21" s="261"/>
      <c r="AA21" s="261"/>
      <c r="AB21" s="80" t="s">
        <v>1858</v>
      </c>
      <c r="AC21" s="81" t="e">
        <f>AC20-#REF!</f>
        <v>#REF!</v>
      </c>
      <c r="AD21" s="82" t="s">
        <v>1860</v>
      </c>
      <c r="AE21" s="83"/>
    </row>
    <row r="22" spans="1:54" ht="22.5" customHeight="1" thickBot="1">
      <c r="A22" s="563" t="s">
        <v>1903</v>
      </c>
      <c r="B22" s="554">
        <v>0.77</v>
      </c>
      <c r="C22" s="244">
        <f>B22+D22+E22+F22+G22+I22+H22+J22+K22+L22+M22+N22+O22</f>
        <v>0.99000000000000021</v>
      </c>
      <c r="D22" s="525">
        <v>0.01</v>
      </c>
      <c r="E22" s="525">
        <v>0.01</v>
      </c>
      <c r="F22" s="525">
        <v>0.05</v>
      </c>
      <c r="G22" s="525">
        <v>0.03</v>
      </c>
      <c r="H22" s="525">
        <v>0.03</v>
      </c>
      <c r="I22" s="525">
        <v>0.01</v>
      </c>
      <c r="J22" s="525">
        <v>0.01</v>
      </c>
      <c r="K22" s="525">
        <v>0.03</v>
      </c>
      <c r="L22" s="525">
        <v>0.03</v>
      </c>
      <c r="M22" s="525">
        <v>0.01</v>
      </c>
      <c r="N22" s="525"/>
      <c r="O22" s="525"/>
      <c r="P22" s="490" t="s">
        <v>1906</v>
      </c>
      <c r="Q22" s="490" t="s">
        <v>1907</v>
      </c>
      <c r="R22" s="553" t="s">
        <v>1904</v>
      </c>
      <c r="S22" s="520" t="s">
        <v>1905</v>
      </c>
      <c r="T22" s="521" t="s">
        <v>1864</v>
      </c>
      <c r="U22" s="522">
        <f>BK22/1100000</f>
        <v>0</v>
      </c>
      <c r="V22" s="523" t="s">
        <v>1877</v>
      </c>
      <c r="W22" s="524" t="e">
        <f>#REF!/1100000</f>
        <v>#REF!</v>
      </c>
      <c r="X22" s="299" t="s">
        <v>1868</v>
      </c>
      <c r="Y22" s="547" t="s">
        <v>1869</v>
      </c>
      <c r="Z22" s="260" t="s">
        <v>1908</v>
      </c>
      <c r="AA22" s="260"/>
      <c r="AB22" s="80" t="s">
        <v>1864</v>
      </c>
      <c r="AC22" s="81">
        <v>312982000</v>
      </c>
      <c r="AD22" s="82"/>
      <c r="AE22" s="83">
        <f>SUM(AF22:BB22)</f>
        <v>0</v>
      </c>
      <c r="AF22" s="91" t="s">
        <v>1872</v>
      </c>
      <c r="AG22" s="92"/>
      <c r="AH22" s="92" t="s">
        <v>1873</v>
      </c>
      <c r="AI22" s="92"/>
      <c r="AJ22" s="92" t="s">
        <v>1856</v>
      </c>
      <c r="AK22" s="92"/>
      <c r="AL22" s="92" t="s">
        <v>1856</v>
      </c>
      <c r="AM22" s="92"/>
      <c r="AN22" s="92" t="s">
        <v>1856</v>
      </c>
      <c r="AO22" s="92"/>
      <c r="AP22" s="92"/>
      <c r="AQ22" s="92"/>
      <c r="AR22" s="92"/>
      <c r="AS22" s="92"/>
      <c r="AT22" s="92"/>
      <c r="AU22" s="92"/>
      <c r="AV22" s="92"/>
      <c r="AW22" s="92"/>
      <c r="AX22" s="92"/>
      <c r="AY22" s="92"/>
      <c r="AZ22" s="92"/>
      <c r="BA22" s="92"/>
      <c r="BB22" s="92"/>
    </row>
    <row r="23" spans="1:54" ht="22.5" customHeight="1" thickBot="1">
      <c r="A23" s="564"/>
      <c r="B23" s="558"/>
      <c r="C23" s="245"/>
      <c r="D23" s="560"/>
      <c r="E23" s="560"/>
      <c r="F23" s="560"/>
      <c r="G23" s="560"/>
      <c r="H23" s="560"/>
      <c r="I23" s="560"/>
      <c r="J23" s="560"/>
      <c r="K23" s="560"/>
      <c r="L23" s="560"/>
      <c r="M23" s="560"/>
      <c r="N23" s="560"/>
      <c r="O23" s="560"/>
      <c r="P23" s="502"/>
      <c r="Q23" s="495"/>
      <c r="R23" s="557"/>
      <c r="S23" s="531" t="s">
        <v>1909</v>
      </c>
      <c r="T23" s="526" t="s">
        <v>1858</v>
      </c>
      <c r="U23" s="527" t="e">
        <f>U22-#REF!</f>
        <v>#REF!</v>
      </c>
      <c r="V23" s="532" t="s">
        <v>1858</v>
      </c>
      <c r="W23" s="529" t="e">
        <f>W22-#REF!</f>
        <v>#REF!</v>
      </c>
      <c r="X23" s="89"/>
      <c r="Y23" s="73"/>
      <c r="Z23" s="261"/>
      <c r="AA23" s="261"/>
      <c r="AB23" s="80" t="s">
        <v>1858</v>
      </c>
      <c r="AC23" s="81" t="e">
        <f>AC22-#REF!</f>
        <v>#REF!</v>
      </c>
      <c r="AD23" s="82" t="s">
        <v>1883</v>
      </c>
      <c r="AE23" s="83"/>
    </row>
    <row r="24" spans="1:54" ht="22.5" customHeight="1" thickBot="1">
      <c r="A24" s="257" t="s">
        <v>1910</v>
      </c>
      <c r="B24" s="554">
        <v>0.47</v>
      </c>
      <c r="C24" s="244">
        <f>B24+D24+E24+F24+G24+I24+H24+J24+K24+L24+M24+N24+O24</f>
        <v>0.59000000000000008</v>
      </c>
      <c r="D24" s="525">
        <v>0.02</v>
      </c>
      <c r="E24" s="525">
        <v>0.02</v>
      </c>
      <c r="F24" s="525">
        <v>0.02</v>
      </c>
      <c r="G24" s="525">
        <v>0.02</v>
      </c>
      <c r="H24" s="525"/>
      <c r="I24" s="525"/>
      <c r="J24" s="525"/>
      <c r="K24" s="525"/>
      <c r="L24" s="525"/>
      <c r="M24" s="525">
        <v>0.02</v>
      </c>
      <c r="N24" s="525">
        <v>0.02</v>
      </c>
      <c r="O24" s="525"/>
      <c r="P24" s="490" t="s">
        <v>1913</v>
      </c>
      <c r="Q24" s="490" t="s">
        <v>1914</v>
      </c>
      <c r="R24" s="553" t="s">
        <v>1911</v>
      </c>
      <c r="S24" s="520" t="s">
        <v>1912</v>
      </c>
      <c r="T24" s="521" t="s">
        <v>1864</v>
      </c>
      <c r="U24" s="522">
        <f>BK24/1100000</f>
        <v>0</v>
      </c>
      <c r="V24" s="523" t="s">
        <v>1865</v>
      </c>
      <c r="W24" s="524" t="e">
        <f>U24*0.75-(#REF!+W25)</f>
        <v>#REF!</v>
      </c>
      <c r="X24" s="299" t="s">
        <v>1868</v>
      </c>
      <c r="Y24" s="547" t="s">
        <v>1869</v>
      </c>
      <c r="Z24" s="260" t="s">
        <v>1915</v>
      </c>
      <c r="AA24" s="260"/>
      <c r="AB24" s="80" t="s">
        <v>1864</v>
      </c>
      <c r="AC24" s="81">
        <v>393203000</v>
      </c>
      <c r="AD24" s="82" t="s">
        <v>1871</v>
      </c>
      <c r="AE24" s="83">
        <f>SUM(AF24:BB24)</f>
        <v>0</v>
      </c>
      <c r="AF24" s="91" t="s">
        <v>1872</v>
      </c>
      <c r="AG24" s="92"/>
      <c r="AH24" s="92" t="s">
        <v>1873</v>
      </c>
      <c r="AI24" s="92"/>
      <c r="AJ24" s="92" t="s">
        <v>1856</v>
      </c>
      <c r="AK24" s="92"/>
      <c r="AL24" s="92" t="s">
        <v>1856</v>
      </c>
      <c r="AM24" s="92"/>
      <c r="AN24" s="92" t="s">
        <v>1856</v>
      </c>
      <c r="AO24" s="92"/>
      <c r="AP24" s="92"/>
      <c r="AQ24" s="92"/>
      <c r="AR24" s="92"/>
      <c r="AS24" s="92"/>
      <c r="AT24" s="92"/>
      <c r="AU24" s="92"/>
      <c r="AV24" s="92"/>
      <c r="AW24" s="92"/>
      <c r="AX24" s="92"/>
      <c r="AY24" s="92"/>
      <c r="AZ24" s="92"/>
      <c r="BA24" s="92"/>
      <c r="BB24" s="92"/>
    </row>
    <row r="25" spans="1:54" ht="22.5" customHeight="1" thickBot="1">
      <c r="A25" s="258"/>
      <c r="B25" s="558"/>
      <c r="C25" s="245"/>
      <c r="D25" s="560"/>
      <c r="E25" s="560"/>
      <c r="F25" s="560"/>
      <c r="G25" s="560"/>
      <c r="H25" s="560"/>
      <c r="I25" s="560"/>
      <c r="J25" s="560"/>
      <c r="K25" s="560"/>
      <c r="L25" s="560"/>
      <c r="M25" s="560"/>
      <c r="N25" s="560"/>
      <c r="O25" s="560"/>
      <c r="P25" s="502"/>
      <c r="Q25" s="495"/>
      <c r="R25" s="557"/>
      <c r="S25" s="531"/>
      <c r="T25" s="526" t="s">
        <v>1857</v>
      </c>
      <c r="U25" s="527" t="e">
        <f>U24-#REF!</f>
        <v>#REF!</v>
      </c>
      <c r="V25" s="532" t="s">
        <v>1859</v>
      </c>
      <c r="W25" s="529" t="e">
        <f>(#REF!+BM25)/1100000</f>
        <v>#REF!</v>
      </c>
      <c r="X25" s="89"/>
      <c r="Y25" s="73"/>
      <c r="Z25" s="261"/>
      <c r="AA25" s="261"/>
      <c r="AB25" s="80" t="s">
        <v>1858</v>
      </c>
      <c r="AC25" s="81" t="e">
        <f>AC24-#REF!</f>
        <v>#REF!</v>
      </c>
      <c r="AD25" s="82" t="s">
        <v>1860</v>
      </c>
      <c r="AE25" s="83"/>
    </row>
    <row r="26" spans="1:54" ht="22.5" customHeight="1" thickBot="1">
      <c r="A26" s="257" t="s">
        <v>1916</v>
      </c>
      <c r="B26" s="554">
        <v>0.41</v>
      </c>
      <c r="C26" s="244">
        <f>B26+D26+E26+F26+G26+I26+H26+J26+K26+L26+M26+N26+O26</f>
        <v>0.70000000000000007</v>
      </c>
      <c r="D26" s="525">
        <v>0.03</v>
      </c>
      <c r="E26" s="525">
        <v>0.03</v>
      </c>
      <c r="F26" s="525">
        <v>0.1</v>
      </c>
      <c r="G26" s="525">
        <v>0.03</v>
      </c>
      <c r="H26" s="525">
        <v>0.03</v>
      </c>
      <c r="I26" s="525">
        <v>0.03</v>
      </c>
      <c r="J26" s="525">
        <v>0.03</v>
      </c>
      <c r="K26" s="525">
        <v>0.01</v>
      </c>
      <c r="L26" s="525"/>
      <c r="M26" s="525"/>
      <c r="N26" s="525"/>
      <c r="O26" s="525"/>
      <c r="P26" s="490" t="s">
        <v>1919</v>
      </c>
      <c r="Q26" s="490" t="s">
        <v>1920</v>
      </c>
      <c r="R26" s="553" t="s">
        <v>1917</v>
      </c>
      <c r="S26" s="520" t="s">
        <v>1918</v>
      </c>
      <c r="T26" s="521" t="s">
        <v>1864</v>
      </c>
      <c r="U26" s="522">
        <f>BK26/1100000</f>
        <v>0</v>
      </c>
      <c r="V26" s="523" t="s">
        <v>1865</v>
      </c>
      <c r="W26" s="524" t="e">
        <f>U26*0.75-(#REF!+W27)</f>
        <v>#REF!</v>
      </c>
      <c r="X26" s="299" t="s">
        <v>1868</v>
      </c>
      <c r="Y26" s="547" t="s">
        <v>1869</v>
      </c>
      <c r="Z26" s="260" t="s">
        <v>1921</v>
      </c>
      <c r="AA26" s="260"/>
      <c r="AB26" s="80" t="s">
        <v>1864</v>
      </c>
      <c r="AC26" s="81">
        <v>114495600</v>
      </c>
      <c r="AD26" s="82" t="s">
        <v>1871</v>
      </c>
      <c r="AE26" s="83">
        <f>SUM(AF26:BB26)</f>
        <v>0</v>
      </c>
      <c r="AF26" s="91" t="s">
        <v>1872</v>
      </c>
      <c r="AG26" s="92"/>
      <c r="AH26" s="92" t="s">
        <v>1873</v>
      </c>
      <c r="AI26" s="92"/>
      <c r="AJ26" s="92" t="s">
        <v>1856</v>
      </c>
      <c r="AK26" s="92"/>
      <c r="AL26" s="92" t="s">
        <v>1856</v>
      </c>
      <c r="AM26" s="92"/>
      <c r="AN26" s="92" t="s">
        <v>1856</v>
      </c>
      <c r="AO26" s="92"/>
      <c r="AP26" s="92"/>
      <c r="AQ26" s="92"/>
      <c r="AR26" s="92"/>
      <c r="AS26" s="92"/>
      <c r="AT26" s="92"/>
      <c r="AU26" s="92"/>
      <c r="AV26" s="92"/>
      <c r="AW26" s="92"/>
      <c r="AX26" s="92"/>
      <c r="AY26" s="92"/>
      <c r="AZ26" s="92"/>
      <c r="BA26" s="92"/>
      <c r="BB26" s="92"/>
    </row>
    <row r="27" spans="1:54" ht="22.5" customHeight="1" thickBot="1">
      <c r="A27" s="258"/>
      <c r="B27" s="558"/>
      <c r="C27" s="245"/>
      <c r="D27" s="560"/>
      <c r="E27" s="560"/>
      <c r="F27" s="560"/>
      <c r="G27" s="560"/>
      <c r="H27" s="560"/>
      <c r="I27" s="560"/>
      <c r="J27" s="560"/>
      <c r="K27" s="560"/>
      <c r="L27" s="560"/>
      <c r="M27" s="560"/>
      <c r="N27" s="560"/>
      <c r="O27" s="560"/>
      <c r="P27" s="502"/>
      <c r="Q27" s="495"/>
      <c r="R27" s="557"/>
      <c r="S27" s="531"/>
      <c r="T27" s="526" t="s">
        <v>1858</v>
      </c>
      <c r="U27" s="527" t="e">
        <f>U26-#REF!</f>
        <v>#REF!</v>
      </c>
      <c r="V27" s="532" t="s">
        <v>1859</v>
      </c>
      <c r="W27" s="529" t="e">
        <f>(#REF!+BM27)/1100000</f>
        <v>#REF!</v>
      </c>
      <c r="X27" s="89"/>
      <c r="Y27" s="73"/>
      <c r="Z27" s="261"/>
      <c r="AA27" s="261"/>
      <c r="AB27" s="80" t="s">
        <v>1858</v>
      </c>
      <c r="AC27" s="81" t="e">
        <f>AC26-#REF!</f>
        <v>#REF!</v>
      </c>
      <c r="AD27" s="82" t="s">
        <v>1860</v>
      </c>
      <c r="AE27" s="83"/>
    </row>
    <row r="28" spans="1:54" ht="22.5" customHeight="1" thickBot="1">
      <c r="A28" s="257" t="s">
        <v>1922</v>
      </c>
      <c r="B28" s="554">
        <v>0.47</v>
      </c>
      <c r="C28" s="244">
        <f>B28+D28+E28+F28+G28+I28+H28+J28+K28+L28+M28+N28+O28</f>
        <v>0.7200000000000002</v>
      </c>
      <c r="D28" s="525">
        <v>0.05</v>
      </c>
      <c r="E28" s="525">
        <v>0.05</v>
      </c>
      <c r="F28" s="525">
        <v>0.05</v>
      </c>
      <c r="G28" s="525">
        <v>0.02</v>
      </c>
      <c r="H28" s="525">
        <v>0.02</v>
      </c>
      <c r="I28" s="525">
        <v>0.02</v>
      </c>
      <c r="J28" s="525">
        <v>0.02</v>
      </c>
      <c r="K28" s="525">
        <v>0.02</v>
      </c>
      <c r="L28" s="525"/>
      <c r="M28" s="525"/>
      <c r="N28" s="525"/>
      <c r="O28" s="525"/>
      <c r="P28" s="490" t="s">
        <v>1925</v>
      </c>
      <c r="Q28" s="490" t="s">
        <v>1926</v>
      </c>
      <c r="R28" s="553" t="s">
        <v>1923</v>
      </c>
      <c r="S28" s="520" t="s">
        <v>1924</v>
      </c>
      <c r="T28" s="521" t="s">
        <v>1864</v>
      </c>
      <c r="U28" s="522">
        <f>BK28/1100000</f>
        <v>0</v>
      </c>
      <c r="V28" s="523" t="s">
        <v>1865</v>
      </c>
      <c r="W28" s="524" t="e">
        <f>U28*0.75-(#REF!+W29)</f>
        <v>#REF!</v>
      </c>
      <c r="X28" s="299" t="s">
        <v>1868</v>
      </c>
      <c r="Y28" s="547" t="s">
        <v>1869</v>
      </c>
      <c r="Z28" s="260" t="s">
        <v>1927</v>
      </c>
      <c r="AA28" s="260"/>
      <c r="AB28" s="80" t="s">
        <v>1864</v>
      </c>
      <c r="AC28" s="81">
        <v>338910000</v>
      </c>
      <c r="AD28" s="82" t="s">
        <v>1871</v>
      </c>
      <c r="AE28" s="83">
        <f>SUM(AF28:BB28)</f>
        <v>0</v>
      </c>
      <c r="AF28" s="91" t="s">
        <v>1872</v>
      </c>
      <c r="AG28" s="92"/>
      <c r="AH28" s="92" t="s">
        <v>1873</v>
      </c>
      <c r="AI28" s="92"/>
      <c r="AJ28" s="92" t="s">
        <v>1856</v>
      </c>
      <c r="AK28" s="92"/>
      <c r="AL28" s="92" t="s">
        <v>1856</v>
      </c>
      <c r="AM28" s="92"/>
      <c r="AN28" s="92" t="s">
        <v>1856</v>
      </c>
      <c r="AO28" s="92"/>
      <c r="AP28" s="92"/>
      <c r="AQ28" s="92"/>
      <c r="AR28" s="92"/>
      <c r="AS28" s="92"/>
      <c r="AT28" s="92"/>
      <c r="AU28" s="92"/>
      <c r="AV28" s="92"/>
      <c r="AW28" s="92"/>
      <c r="AX28" s="92"/>
      <c r="AY28" s="92"/>
      <c r="AZ28" s="92"/>
      <c r="BA28" s="92"/>
      <c r="BB28" s="92"/>
    </row>
    <row r="29" spans="1:54" ht="22.5" customHeight="1" thickBot="1">
      <c r="A29" s="258"/>
      <c r="B29" s="558"/>
      <c r="C29" s="245"/>
      <c r="D29" s="560"/>
      <c r="E29" s="560"/>
      <c r="F29" s="560"/>
      <c r="G29" s="560"/>
      <c r="H29" s="560"/>
      <c r="I29" s="560"/>
      <c r="J29" s="560"/>
      <c r="K29" s="560"/>
      <c r="L29" s="560"/>
      <c r="M29" s="560"/>
      <c r="N29" s="560"/>
      <c r="O29" s="560"/>
      <c r="P29" s="502"/>
      <c r="Q29" s="495"/>
      <c r="R29" s="557"/>
      <c r="S29" s="531"/>
      <c r="T29" s="526" t="s">
        <v>1858</v>
      </c>
      <c r="U29" s="527" t="e">
        <f>U28-#REF!</f>
        <v>#REF!</v>
      </c>
      <c r="V29" s="532" t="s">
        <v>1859</v>
      </c>
      <c r="W29" s="529" t="e">
        <f>(#REF!+BM29)/1100000</f>
        <v>#REF!</v>
      </c>
      <c r="X29" s="89"/>
      <c r="Y29" s="73"/>
      <c r="Z29" s="261"/>
      <c r="AA29" s="261"/>
      <c r="AB29" s="80" t="s">
        <v>1858</v>
      </c>
      <c r="AC29" s="81" t="e">
        <f>AC28-#REF!</f>
        <v>#REF!</v>
      </c>
      <c r="AD29" s="82" t="s">
        <v>1860</v>
      </c>
      <c r="AE29" s="83"/>
    </row>
    <row r="30" spans="1:54" ht="22.5" customHeight="1" thickBot="1">
      <c r="A30" s="257" t="s">
        <v>1928</v>
      </c>
      <c r="B30" s="554">
        <v>0.8</v>
      </c>
      <c r="C30" s="244">
        <f>B30+D30+E30+F30+G30+I30+H30+J30+K30+L30+M30+N30+O30</f>
        <v>0.94000000000000017</v>
      </c>
      <c r="D30" s="525">
        <v>0.03</v>
      </c>
      <c r="E30" s="525">
        <v>0.03</v>
      </c>
      <c r="F30" s="525">
        <v>0.03</v>
      </c>
      <c r="G30" s="525">
        <v>0.01</v>
      </c>
      <c r="H30" s="525">
        <v>0.01</v>
      </c>
      <c r="I30" s="525">
        <v>0.01</v>
      </c>
      <c r="J30" s="525">
        <v>0.01</v>
      </c>
      <c r="K30" s="525">
        <v>0.01</v>
      </c>
      <c r="L30" s="525"/>
      <c r="M30" s="525"/>
      <c r="N30" s="525"/>
      <c r="O30" s="525"/>
      <c r="P30" s="490" t="s">
        <v>1931</v>
      </c>
      <c r="Q30" s="490" t="s">
        <v>1932</v>
      </c>
      <c r="R30" s="553" t="s">
        <v>1929</v>
      </c>
      <c r="S30" s="520" t="s">
        <v>1930</v>
      </c>
      <c r="T30" s="521" t="s">
        <v>1864</v>
      </c>
      <c r="U30" s="522">
        <f>BK30/1100000</f>
        <v>0</v>
      </c>
      <c r="V30" s="523" t="s">
        <v>1865</v>
      </c>
      <c r="W30" s="524" t="e">
        <f>U30*0.75-(#REF!+W31)</f>
        <v>#REF!</v>
      </c>
      <c r="X30" s="299" t="s">
        <v>1868</v>
      </c>
      <c r="Y30" s="547" t="s">
        <v>1869</v>
      </c>
      <c r="Z30" s="260" t="s">
        <v>1933</v>
      </c>
      <c r="AA30" s="260"/>
      <c r="AB30" s="80" t="s">
        <v>1864</v>
      </c>
      <c r="AC30" s="81">
        <v>152632000</v>
      </c>
      <c r="AD30" s="82" t="s">
        <v>1871</v>
      </c>
      <c r="AE30" s="83">
        <f>SUM(AF30:BB30)</f>
        <v>0</v>
      </c>
      <c r="AF30" s="91" t="s">
        <v>1872</v>
      </c>
      <c r="AG30" s="92"/>
      <c r="AH30" s="92" t="s">
        <v>1873</v>
      </c>
      <c r="AI30" s="92"/>
      <c r="AJ30" s="92" t="s">
        <v>1856</v>
      </c>
      <c r="AK30" s="92"/>
      <c r="AL30" s="92" t="s">
        <v>1856</v>
      </c>
      <c r="AM30" s="92"/>
      <c r="AN30" s="92" t="s">
        <v>1856</v>
      </c>
      <c r="AO30" s="92"/>
      <c r="AP30" s="92"/>
      <c r="AQ30" s="92"/>
      <c r="AR30" s="92"/>
      <c r="AS30" s="92"/>
      <c r="AT30" s="92"/>
      <c r="AU30" s="92"/>
      <c r="AV30" s="92"/>
      <c r="AW30" s="92"/>
      <c r="AX30" s="92"/>
      <c r="AY30" s="92"/>
      <c r="AZ30" s="92"/>
      <c r="BA30" s="92"/>
      <c r="BB30" s="92"/>
    </row>
    <row r="31" spans="1:54" ht="22.5" customHeight="1" thickBot="1">
      <c r="A31" s="258"/>
      <c r="B31" s="558"/>
      <c r="C31" s="245"/>
      <c r="D31" s="560"/>
      <c r="E31" s="560"/>
      <c r="F31" s="560"/>
      <c r="G31" s="560"/>
      <c r="H31" s="560"/>
      <c r="I31" s="560"/>
      <c r="J31" s="560"/>
      <c r="K31" s="560"/>
      <c r="L31" s="560"/>
      <c r="M31" s="560"/>
      <c r="N31" s="560"/>
      <c r="O31" s="560"/>
      <c r="P31" s="502"/>
      <c r="Q31" s="495"/>
      <c r="R31" s="557"/>
      <c r="S31" s="531" t="s">
        <v>1934</v>
      </c>
      <c r="T31" s="526" t="s">
        <v>1858</v>
      </c>
      <c r="U31" s="527" t="e">
        <f>U30-#REF!</f>
        <v>#REF!</v>
      </c>
      <c r="V31" s="532" t="s">
        <v>1859</v>
      </c>
      <c r="W31" s="529" t="e">
        <f>(#REF!+BM31)/1100000</f>
        <v>#REF!</v>
      </c>
      <c r="X31" s="89"/>
      <c r="Y31" s="73"/>
      <c r="Z31" s="261"/>
      <c r="AA31" s="261"/>
      <c r="AB31" s="80" t="s">
        <v>1858</v>
      </c>
      <c r="AC31" s="81" t="e">
        <f>AC30-#REF!</f>
        <v>#REF!</v>
      </c>
      <c r="AD31" s="82" t="s">
        <v>1860</v>
      </c>
      <c r="AE31" s="83"/>
    </row>
    <row r="32" spans="1:54" ht="22.5" customHeight="1" thickBot="1">
      <c r="A32" s="257" t="s">
        <v>1935</v>
      </c>
      <c r="B32" s="554">
        <v>0.7</v>
      </c>
      <c r="C32" s="244">
        <f>B32+D32+E32+F32+G32+I32+H32+J32+K32+L32+M32+N32+O32</f>
        <v>0.99000000000000021</v>
      </c>
      <c r="D32" s="525">
        <v>0.03</v>
      </c>
      <c r="E32" s="525">
        <v>0.03</v>
      </c>
      <c r="F32" s="525">
        <v>0.03</v>
      </c>
      <c r="G32" s="525">
        <v>0.03</v>
      </c>
      <c r="H32" s="525">
        <v>0.01</v>
      </c>
      <c r="I32" s="525">
        <v>0.01</v>
      </c>
      <c r="J32" s="525">
        <v>0.01</v>
      </c>
      <c r="K32" s="525">
        <v>0.05</v>
      </c>
      <c r="L32" s="525">
        <v>0.05</v>
      </c>
      <c r="M32" s="525">
        <v>0.02</v>
      </c>
      <c r="N32" s="525">
        <v>0.02</v>
      </c>
      <c r="O32" s="525"/>
      <c r="P32" s="490" t="s">
        <v>1938</v>
      </c>
      <c r="Q32" s="490" t="s">
        <v>1939</v>
      </c>
      <c r="R32" s="553" t="s">
        <v>1936</v>
      </c>
      <c r="S32" s="537" t="s">
        <v>1937</v>
      </c>
      <c r="T32" s="521" t="s">
        <v>1864</v>
      </c>
      <c r="U32" s="522">
        <f>BK32/1100000</f>
        <v>0</v>
      </c>
      <c r="V32" s="523" t="s">
        <v>1865</v>
      </c>
      <c r="W32" s="524" t="e">
        <f>U32*0.75-(#REF!+W33)</f>
        <v>#REF!</v>
      </c>
      <c r="X32" s="299" t="s">
        <v>1868</v>
      </c>
      <c r="Y32" s="547" t="s">
        <v>1869</v>
      </c>
      <c r="Z32" s="260" t="s">
        <v>1940</v>
      </c>
      <c r="AA32" s="260"/>
      <c r="AB32" s="80" t="s">
        <v>1864</v>
      </c>
      <c r="AC32" s="81">
        <v>185236000</v>
      </c>
      <c r="AD32" s="82" t="s">
        <v>1871</v>
      </c>
      <c r="AE32" s="83">
        <v>0</v>
      </c>
      <c r="AF32" s="91" t="s">
        <v>1872</v>
      </c>
      <c r="AG32" s="92">
        <v>27000000</v>
      </c>
      <c r="AH32" s="92" t="s">
        <v>1873</v>
      </c>
      <c r="AI32" s="92">
        <v>40000000</v>
      </c>
      <c r="AJ32" s="92" t="s">
        <v>1856</v>
      </c>
      <c r="AK32" s="92"/>
      <c r="AL32" s="92" t="s">
        <v>1856</v>
      </c>
      <c r="AM32" s="92"/>
      <c r="AN32" s="92" t="s">
        <v>1856</v>
      </c>
      <c r="AO32" s="92"/>
      <c r="AP32" s="92"/>
      <c r="AQ32" s="92"/>
      <c r="AR32" s="92"/>
      <c r="AS32" s="92"/>
      <c r="AT32" s="92"/>
      <c r="AU32" s="92"/>
      <c r="AV32" s="92"/>
      <c r="AW32" s="92"/>
      <c r="AX32" s="92"/>
      <c r="AY32" s="92"/>
      <c r="AZ32" s="92"/>
      <c r="BA32" s="92"/>
      <c r="BB32" s="92"/>
    </row>
    <row r="33" spans="1:54" ht="22.5" customHeight="1" thickBot="1">
      <c r="A33" s="258"/>
      <c r="B33" s="558"/>
      <c r="C33" s="245"/>
      <c r="D33" s="560"/>
      <c r="E33" s="560"/>
      <c r="F33" s="560"/>
      <c r="G33" s="560"/>
      <c r="H33" s="560"/>
      <c r="I33" s="560"/>
      <c r="J33" s="560"/>
      <c r="K33" s="560"/>
      <c r="L33" s="560"/>
      <c r="M33" s="560"/>
      <c r="N33" s="560"/>
      <c r="O33" s="560"/>
      <c r="P33" s="502"/>
      <c r="Q33" s="495"/>
      <c r="R33" s="557"/>
      <c r="S33" s="531" t="s">
        <v>1941</v>
      </c>
      <c r="T33" s="526" t="s">
        <v>1858</v>
      </c>
      <c r="U33" s="527" t="e">
        <f>U32-#REF!</f>
        <v>#REF!</v>
      </c>
      <c r="V33" s="532" t="s">
        <v>1859</v>
      </c>
      <c r="W33" s="529" t="e">
        <f>(#REF!+BM33)/1100000</f>
        <v>#REF!</v>
      </c>
      <c r="X33" s="89"/>
      <c r="Y33" s="73"/>
      <c r="Z33" s="261"/>
      <c r="AA33" s="261"/>
      <c r="AB33" s="80" t="s">
        <v>1858</v>
      </c>
      <c r="AC33" s="81" t="e">
        <f>AC32-#REF!</f>
        <v>#REF!</v>
      </c>
      <c r="AD33" s="82" t="s">
        <v>1860</v>
      </c>
      <c r="AE33" s="83"/>
    </row>
    <row r="34" spans="1:54" ht="22.5" customHeight="1" thickBot="1">
      <c r="A34" s="257" t="s">
        <v>1942</v>
      </c>
      <c r="B34" s="554">
        <v>0.97</v>
      </c>
      <c r="C34" s="244">
        <f>B34+D34+E34+F34+G34+I34+H34+J34+K34+L34+M34+N34+O34</f>
        <v>1</v>
      </c>
      <c r="D34" s="525">
        <v>0.02</v>
      </c>
      <c r="E34" s="525">
        <v>0.01</v>
      </c>
      <c r="F34" s="525"/>
      <c r="G34" s="525"/>
      <c r="H34" s="525"/>
      <c r="I34" s="525"/>
      <c r="J34" s="525"/>
      <c r="K34" s="525"/>
      <c r="L34" s="525"/>
      <c r="M34" s="525"/>
      <c r="N34" s="525"/>
      <c r="O34" s="525"/>
      <c r="P34" s="490" t="s">
        <v>1945</v>
      </c>
      <c r="Q34" s="490" t="s">
        <v>1932</v>
      </c>
      <c r="R34" s="553" t="s">
        <v>1943</v>
      </c>
      <c r="S34" s="520" t="s">
        <v>1944</v>
      </c>
      <c r="T34" s="521" t="s">
        <v>1864</v>
      </c>
      <c r="U34" s="522">
        <f>BK34/1100000</f>
        <v>0</v>
      </c>
      <c r="V34" s="523" t="s">
        <v>1865</v>
      </c>
      <c r="W34" s="524" t="e">
        <f>U34*0.75-(#REF!+W35)</f>
        <v>#REF!</v>
      </c>
      <c r="X34" s="299" t="s">
        <v>1868</v>
      </c>
      <c r="Y34" s="547" t="s">
        <v>1869</v>
      </c>
      <c r="Z34" s="260" t="s">
        <v>1946</v>
      </c>
      <c r="AA34" s="260"/>
      <c r="AB34" s="80" t="s">
        <v>1864</v>
      </c>
      <c r="AC34" s="81">
        <v>11160000</v>
      </c>
      <c r="AD34" s="82" t="s">
        <v>1871</v>
      </c>
      <c r="AE34" s="83">
        <f>SUM(AF34:BB34)</f>
        <v>0</v>
      </c>
      <c r="AF34" s="91" t="s">
        <v>1872</v>
      </c>
      <c r="AG34" s="92"/>
      <c r="AH34" s="92" t="s">
        <v>1873</v>
      </c>
      <c r="AI34" s="92"/>
      <c r="AJ34" s="92" t="s">
        <v>1856</v>
      </c>
      <c r="AK34" s="92"/>
      <c r="AL34" s="92" t="s">
        <v>1856</v>
      </c>
      <c r="AM34" s="92"/>
      <c r="AN34" s="92" t="s">
        <v>1856</v>
      </c>
      <c r="AO34" s="92"/>
      <c r="AP34" s="92"/>
      <c r="AQ34" s="92"/>
      <c r="AR34" s="92"/>
      <c r="AS34" s="92"/>
      <c r="AT34" s="92"/>
      <c r="AU34" s="92"/>
      <c r="AV34" s="92"/>
      <c r="AW34" s="92"/>
      <c r="AX34" s="92"/>
      <c r="AY34" s="92"/>
      <c r="AZ34" s="92"/>
      <c r="BA34" s="92"/>
      <c r="BB34" s="92"/>
    </row>
    <row r="35" spans="1:54" ht="22.5" customHeight="1" thickBot="1">
      <c r="A35" s="258"/>
      <c r="B35" s="558"/>
      <c r="C35" s="245"/>
      <c r="D35" s="560"/>
      <c r="E35" s="560"/>
      <c r="F35" s="560"/>
      <c r="G35" s="560"/>
      <c r="H35" s="560"/>
      <c r="I35" s="560"/>
      <c r="J35" s="560"/>
      <c r="K35" s="560"/>
      <c r="L35" s="560"/>
      <c r="M35" s="560"/>
      <c r="N35" s="560"/>
      <c r="O35" s="560"/>
      <c r="P35" s="502"/>
      <c r="Q35" s="495"/>
      <c r="R35" s="557"/>
      <c r="S35" s="531"/>
      <c r="T35" s="526" t="s">
        <v>1858</v>
      </c>
      <c r="U35" s="527" t="e">
        <f>U34-#REF!</f>
        <v>#REF!</v>
      </c>
      <c r="V35" s="532" t="s">
        <v>1859</v>
      </c>
      <c r="W35" s="529" t="e">
        <f>(#REF!+BM35)/1100000</f>
        <v>#REF!</v>
      </c>
      <c r="X35" s="89"/>
      <c r="Y35" s="73"/>
      <c r="Z35" s="261"/>
      <c r="AA35" s="261"/>
      <c r="AB35" s="80" t="s">
        <v>1858</v>
      </c>
      <c r="AC35" s="81" t="e">
        <f>AC34-#REF!</f>
        <v>#REF!</v>
      </c>
      <c r="AD35" s="82" t="s">
        <v>1860</v>
      </c>
      <c r="AE35" s="83"/>
    </row>
    <row r="36" spans="1:54" ht="22.5" customHeight="1" thickBot="1">
      <c r="A36" s="257" t="s">
        <v>1947</v>
      </c>
      <c r="B36" s="554">
        <v>1</v>
      </c>
      <c r="C36" s="244">
        <f>B36+D36+E36+F36+G36+I36+H36+J36+K36+L36+M36+N36+O36</f>
        <v>1</v>
      </c>
      <c r="D36" s="525"/>
      <c r="E36" s="525"/>
      <c r="F36" s="525"/>
      <c r="G36" s="525"/>
      <c r="H36" s="525"/>
      <c r="I36" s="525"/>
      <c r="J36" s="525"/>
      <c r="K36" s="525"/>
      <c r="L36" s="525"/>
      <c r="M36" s="525"/>
      <c r="N36" s="525"/>
      <c r="O36" s="525"/>
      <c r="P36" s="490" t="s">
        <v>1945</v>
      </c>
      <c r="Q36" s="490" t="s">
        <v>1939</v>
      </c>
      <c r="R36" s="553" t="s">
        <v>1948</v>
      </c>
      <c r="S36" s="537" t="s">
        <v>1949</v>
      </c>
      <c r="T36" s="521" t="s">
        <v>1864</v>
      </c>
      <c r="U36" s="522">
        <f>BK36/1100000</f>
        <v>0</v>
      </c>
      <c r="V36" s="523" t="s">
        <v>1865</v>
      </c>
      <c r="W36" s="524" t="e">
        <f>U36*0.75-(#REF!+W37)</f>
        <v>#REF!</v>
      </c>
      <c r="X36" s="299" t="s">
        <v>1868</v>
      </c>
      <c r="Y36" s="547" t="s">
        <v>1869</v>
      </c>
      <c r="Z36" s="260" t="s">
        <v>1951</v>
      </c>
      <c r="AA36" s="260"/>
      <c r="AB36" s="80" t="s">
        <v>1864</v>
      </c>
      <c r="AC36" s="81">
        <v>17000000</v>
      </c>
      <c r="AD36" s="82" t="s">
        <v>1871</v>
      </c>
      <c r="AE36" s="83">
        <v>0</v>
      </c>
      <c r="AF36" s="91" t="s">
        <v>1872</v>
      </c>
      <c r="AG36" s="92">
        <v>0</v>
      </c>
      <c r="AH36" s="92" t="s">
        <v>1873</v>
      </c>
      <c r="AI36" s="92">
        <v>0</v>
      </c>
      <c r="AJ36" s="92" t="s">
        <v>1856</v>
      </c>
      <c r="AK36" s="92"/>
      <c r="AL36" s="92" t="s">
        <v>1856</v>
      </c>
      <c r="AM36" s="92"/>
      <c r="AN36" s="92" t="s">
        <v>1856</v>
      </c>
      <c r="AO36" s="92"/>
      <c r="AP36" s="92"/>
      <c r="AQ36" s="92"/>
      <c r="AR36" s="92"/>
      <c r="AS36" s="92"/>
      <c r="AT36" s="92"/>
      <c r="AU36" s="92"/>
      <c r="AV36" s="92"/>
      <c r="AW36" s="92"/>
      <c r="AX36" s="92"/>
      <c r="AY36" s="92"/>
      <c r="AZ36" s="92"/>
      <c r="BA36" s="92"/>
      <c r="BB36" s="92"/>
    </row>
    <row r="37" spans="1:54" ht="22.5" customHeight="1" thickBot="1">
      <c r="A37" s="258"/>
      <c r="B37" s="558"/>
      <c r="C37" s="245"/>
      <c r="D37" s="560"/>
      <c r="E37" s="560"/>
      <c r="F37" s="560"/>
      <c r="G37" s="560"/>
      <c r="H37" s="560"/>
      <c r="I37" s="560"/>
      <c r="J37" s="560"/>
      <c r="K37" s="560"/>
      <c r="L37" s="560"/>
      <c r="M37" s="560"/>
      <c r="N37" s="560"/>
      <c r="O37" s="560"/>
      <c r="P37" s="502"/>
      <c r="Q37" s="495"/>
      <c r="R37" s="557"/>
      <c r="S37" s="531"/>
      <c r="T37" s="526" t="s">
        <v>1858</v>
      </c>
      <c r="U37" s="527" t="e">
        <f>U36-#REF!</f>
        <v>#REF!</v>
      </c>
      <c r="V37" s="532" t="s">
        <v>1859</v>
      </c>
      <c r="W37" s="529" t="e">
        <f>(#REF!+BM37)/1100000</f>
        <v>#REF!</v>
      </c>
      <c r="X37" s="89"/>
      <c r="Y37" s="73"/>
      <c r="Z37" s="261"/>
      <c r="AA37" s="261"/>
      <c r="AB37" s="80" t="s">
        <v>1858</v>
      </c>
      <c r="AC37" s="81" t="e">
        <f>AC36-#REF!</f>
        <v>#REF!</v>
      </c>
      <c r="AD37" s="82" t="s">
        <v>1860</v>
      </c>
      <c r="AE37" s="83"/>
    </row>
    <row r="38" spans="1:54" ht="22.5" customHeight="1" thickBot="1">
      <c r="A38" s="257" t="s">
        <v>1952</v>
      </c>
      <c r="B38" s="554">
        <v>1</v>
      </c>
      <c r="C38" s="244">
        <f>B38+D38+E38+F38+G38+I38+H38+J38+K38+L38+M38+N38+O38</f>
        <v>1</v>
      </c>
      <c r="D38" s="525"/>
      <c r="E38" s="525"/>
      <c r="F38" s="525"/>
      <c r="G38" s="525"/>
      <c r="H38" s="525"/>
      <c r="I38" s="525"/>
      <c r="J38" s="525"/>
      <c r="K38" s="525"/>
      <c r="L38" s="525"/>
      <c r="M38" s="525"/>
      <c r="N38" s="525"/>
      <c r="O38" s="525"/>
      <c r="P38" s="490" t="s">
        <v>1945</v>
      </c>
      <c r="Q38" s="490" t="s">
        <v>1955</v>
      </c>
      <c r="R38" s="553" t="s">
        <v>1953</v>
      </c>
      <c r="S38" s="520" t="s">
        <v>1954</v>
      </c>
      <c r="T38" s="521" t="s">
        <v>1864</v>
      </c>
      <c r="U38" s="522">
        <f>BK38/1100000</f>
        <v>0</v>
      </c>
      <c r="V38" s="523" t="s">
        <v>1865</v>
      </c>
      <c r="W38" s="524" t="e">
        <f>U38*0.75-(#REF!+W39)</f>
        <v>#REF!</v>
      </c>
      <c r="X38" s="299" t="s">
        <v>1868</v>
      </c>
      <c r="Y38" s="547" t="s">
        <v>1869</v>
      </c>
      <c r="Z38" s="260" t="s">
        <v>1956</v>
      </c>
      <c r="AA38" s="260"/>
      <c r="AB38" s="80" t="s">
        <v>1864</v>
      </c>
      <c r="AC38" s="81">
        <v>19620000</v>
      </c>
      <c r="AD38" s="82" t="s">
        <v>1871</v>
      </c>
      <c r="AE38" s="83">
        <f>SUM(AF38:BB38)</f>
        <v>0</v>
      </c>
      <c r="AF38" s="91" t="s">
        <v>1872</v>
      </c>
      <c r="AG38" s="92"/>
      <c r="AH38" s="92" t="s">
        <v>1873</v>
      </c>
      <c r="AI38" s="92"/>
      <c r="AJ38" s="92" t="s">
        <v>1856</v>
      </c>
      <c r="AK38" s="92"/>
      <c r="AL38" s="92" t="s">
        <v>1856</v>
      </c>
      <c r="AM38" s="92"/>
      <c r="AN38" s="92" t="s">
        <v>1856</v>
      </c>
      <c r="AO38" s="92"/>
      <c r="AP38" s="92"/>
      <c r="AQ38" s="92"/>
      <c r="AR38" s="92"/>
      <c r="AS38" s="92"/>
      <c r="AT38" s="92"/>
      <c r="AU38" s="92"/>
      <c r="AV38" s="92"/>
      <c r="AW38" s="92"/>
      <c r="AX38" s="92"/>
      <c r="AY38" s="92"/>
      <c r="AZ38" s="92"/>
      <c r="BA38" s="92"/>
      <c r="BB38" s="92"/>
    </row>
    <row r="39" spans="1:54" ht="22.5" customHeight="1" thickBot="1">
      <c r="A39" s="258"/>
      <c r="B39" s="558"/>
      <c r="C39" s="245"/>
      <c r="D39" s="560"/>
      <c r="E39" s="560"/>
      <c r="F39" s="560"/>
      <c r="G39" s="560"/>
      <c r="H39" s="560"/>
      <c r="I39" s="560"/>
      <c r="J39" s="560"/>
      <c r="K39" s="560"/>
      <c r="L39" s="560"/>
      <c r="M39" s="560"/>
      <c r="N39" s="560"/>
      <c r="O39" s="560"/>
      <c r="P39" s="502"/>
      <c r="Q39" s="495"/>
      <c r="R39" s="557"/>
      <c r="S39" s="531"/>
      <c r="T39" s="526" t="s">
        <v>1858</v>
      </c>
      <c r="U39" s="527" t="e">
        <f>U38-#REF!</f>
        <v>#REF!</v>
      </c>
      <c r="V39" s="532" t="s">
        <v>1859</v>
      </c>
      <c r="W39" s="529" t="e">
        <f>(#REF!+BM39)/1100000</f>
        <v>#REF!</v>
      </c>
      <c r="X39" s="89"/>
      <c r="Y39" s="73"/>
      <c r="Z39" s="261"/>
      <c r="AA39" s="261"/>
      <c r="AB39" s="80" t="s">
        <v>1858</v>
      </c>
      <c r="AC39" s="81" t="e">
        <f>AC38-#REF!</f>
        <v>#REF!</v>
      </c>
      <c r="AD39" s="82" t="s">
        <v>1860</v>
      </c>
      <c r="AE39" s="83"/>
    </row>
    <row r="40" spans="1:54" ht="22.5" customHeight="1" thickBot="1">
      <c r="A40" s="257" t="s">
        <v>1957</v>
      </c>
      <c r="B40" s="554">
        <v>1</v>
      </c>
      <c r="C40" s="244">
        <f>B40+D40+E40+F40+G40+I40+H40+J40+K40+L40+M40+N40+O40</f>
        <v>1</v>
      </c>
      <c r="D40" s="525"/>
      <c r="E40" s="525"/>
      <c r="F40" s="525"/>
      <c r="G40" s="525"/>
      <c r="H40" s="525"/>
      <c r="I40" s="525"/>
      <c r="J40" s="525"/>
      <c r="K40" s="525"/>
      <c r="L40" s="525"/>
      <c r="M40" s="525"/>
      <c r="N40" s="525"/>
      <c r="O40" s="525"/>
      <c r="P40" s="490" t="s">
        <v>1945</v>
      </c>
      <c r="Q40" s="490" t="s">
        <v>1955</v>
      </c>
      <c r="R40" s="553" t="s">
        <v>1958</v>
      </c>
      <c r="S40" s="537" t="s">
        <v>1954</v>
      </c>
      <c r="T40" s="521" t="s">
        <v>1864</v>
      </c>
      <c r="U40" s="522">
        <f>BK40/1100000</f>
        <v>0</v>
      </c>
      <c r="V40" s="523" t="s">
        <v>1865</v>
      </c>
      <c r="W40" s="524" t="e">
        <f>U40*0.75-(#REF!+W41)</f>
        <v>#REF!</v>
      </c>
      <c r="X40" s="299" t="s">
        <v>1868</v>
      </c>
      <c r="Y40" s="547" t="s">
        <v>1869</v>
      </c>
      <c r="Z40" s="260" t="s">
        <v>1959</v>
      </c>
      <c r="AA40" s="260"/>
      <c r="AB40" s="80" t="s">
        <v>1864</v>
      </c>
      <c r="AC40" s="81">
        <v>16560000</v>
      </c>
      <c r="AD40" s="82" t="s">
        <v>1871</v>
      </c>
      <c r="AE40" s="83">
        <v>0</v>
      </c>
      <c r="AF40" s="91" t="s">
        <v>1872</v>
      </c>
      <c r="AG40" s="92">
        <v>0</v>
      </c>
      <c r="AH40" s="92" t="s">
        <v>1873</v>
      </c>
      <c r="AI40" s="92">
        <v>0</v>
      </c>
      <c r="AJ40" s="92" t="s">
        <v>1856</v>
      </c>
      <c r="AK40" s="92">
        <v>10000000</v>
      </c>
      <c r="AL40" s="92" t="s">
        <v>1856</v>
      </c>
      <c r="AM40" s="92"/>
      <c r="AN40" s="92" t="s">
        <v>1856</v>
      </c>
      <c r="AO40" s="92"/>
      <c r="AP40" s="92"/>
      <c r="AQ40" s="92"/>
      <c r="AR40" s="92"/>
      <c r="AS40" s="92"/>
      <c r="AT40" s="92"/>
      <c r="AU40" s="92"/>
      <c r="AV40" s="92"/>
      <c r="AW40" s="92"/>
      <c r="AX40" s="92"/>
      <c r="AY40" s="92"/>
      <c r="AZ40" s="92"/>
      <c r="BA40" s="92"/>
      <c r="BB40" s="92"/>
    </row>
    <row r="41" spans="1:54" ht="22.5" customHeight="1" thickBot="1">
      <c r="A41" s="258"/>
      <c r="B41" s="558"/>
      <c r="C41" s="245"/>
      <c r="D41" s="560"/>
      <c r="E41" s="560"/>
      <c r="F41" s="560"/>
      <c r="G41" s="560"/>
      <c r="H41" s="560"/>
      <c r="I41" s="560"/>
      <c r="J41" s="560"/>
      <c r="K41" s="560"/>
      <c r="L41" s="560"/>
      <c r="M41" s="560"/>
      <c r="N41" s="560"/>
      <c r="O41" s="560"/>
      <c r="P41" s="502"/>
      <c r="Q41" s="495"/>
      <c r="R41" s="557"/>
      <c r="S41" s="531"/>
      <c r="T41" s="526" t="s">
        <v>1858</v>
      </c>
      <c r="U41" s="527" t="e">
        <f>U40-#REF!</f>
        <v>#REF!</v>
      </c>
      <c r="V41" s="532" t="s">
        <v>1859</v>
      </c>
      <c r="W41" s="529" t="e">
        <f>(#REF!+BM41)/1100000</f>
        <v>#REF!</v>
      </c>
      <c r="X41" s="89"/>
      <c r="Y41" s="73"/>
      <c r="Z41" s="261"/>
      <c r="AA41" s="261"/>
      <c r="AB41" s="80" t="s">
        <v>1858</v>
      </c>
      <c r="AC41" s="81" t="e">
        <f>AC40-#REF!</f>
        <v>#REF!</v>
      </c>
      <c r="AD41" s="82" t="s">
        <v>1860</v>
      </c>
      <c r="AE41" s="83"/>
    </row>
    <row r="42" spans="1:54" ht="22.5" customHeight="1" thickBot="1">
      <c r="A42" s="257" t="s">
        <v>1960</v>
      </c>
      <c r="B42" s="554">
        <v>0.18</v>
      </c>
      <c r="C42" s="244">
        <f>B42+D42+E42+F42+G42+I42+H42+J42+K42+L42+M42+N42+O42</f>
        <v>0.57999999999999996</v>
      </c>
      <c r="D42" s="525">
        <v>0.05</v>
      </c>
      <c r="E42" s="525">
        <v>0.05</v>
      </c>
      <c r="F42" s="525">
        <v>0.05</v>
      </c>
      <c r="G42" s="525">
        <v>0.05</v>
      </c>
      <c r="H42" s="525">
        <v>0.05</v>
      </c>
      <c r="I42" s="525">
        <v>0.05</v>
      </c>
      <c r="J42" s="525">
        <v>0.05</v>
      </c>
      <c r="K42" s="525">
        <v>0.05</v>
      </c>
      <c r="L42" s="525"/>
      <c r="M42" s="525"/>
      <c r="N42" s="525"/>
      <c r="O42" s="525"/>
      <c r="P42" s="490" t="s">
        <v>1963</v>
      </c>
      <c r="Q42" s="490" t="s">
        <v>1964</v>
      </c>
      <c r="R42" s="553" t="s">
        <v>1961</v>
      </c>
      <c r="S42" s="537" t="s">
        <v>1962</v>
      </c>
      <c r="T42" s="521" t="s">
        <v>1864</v>
      </c>
      <c r="U42" s="522">
        <f>BK42/1100000</f>
        <v>0</v>
      </c>
      <c r="V42" s="523" t="s">
        <v>1865</v>
      </c>
      <c r="W42" s="524" t="e">
        <f>U42*0.75-(#REF!+W43)</f>
        <v>#REF!</v>
      </c>
      <c r="X42" s="299" t="s">
        <v>1868</v>
      </c>
      <c r="Y42" s="547" t="s">
        <v>1869</v>
      </c>
      <c r="Z42" s="260" t="s">
        <v>1959</v>
      </c>
      <c r="AA42" s="260"/>
      <c r="AB42" s="80" t="s">
        <v>1864</v>
      </c>
      <c r="AC42" s="81">
        <v>346800000</v>
      </c>
      <c r="AD42" s="82" t="s">
        <v>1871</v>
      </c>
      <c r="AE42" s="83">
        <v>0</v>
      </c>
      <c r="AF42" s="91" t="s">
        <v>1872</v>
      </c>
      <c r="AG42" s="92">
        <v>0</v>
      </c>
      <c r="AH42" s="92" t="s">
        <v>1873</v>
      </c>
      <c r="AI42" s="92">
        <v>0</v>
      </c>
      <c r="AJ42" s="92" t="s">
        <v>1856</v>
      </c>
      <c r="AK42" s="92">
        <v>0</v>
      </c>
      <c r="AL42" s="92" t="s">
        <v>1856</v>
      </c>
      <c r="AM42" s="92"/>
      <c r="AN42" s="92" t="s">
        <v>1856</v>
      </c>
      <c r="AO42" s="92"/>
      <c r="AP42" s="92"/>
      <c r="AQ42" s="92"/>
      <c r="AR42" s="92"/>
      <c r="AS42" s="92"/>
      <c r="AT42" s="92"/>
      <c r="AU42" s="92"/>
      <c r="AV42" s="92"/>
      <c r="AW42" s="92"/>
      <c r="AX42" s="92"/>
      <c r="AY42" s="92"/>
      <c r="AZ42" s="92"/>
      <c r="BA42" s="92"/>
      <c r="BB42" s="92"/>
    </row>
    <row r="43" spans="1:54" ht="22.5" customHeight="1" thickBot="1">
      <c r="A43" s="258"/>
      <c r="B43" s="558"/>
      <c r="C43" s="245"/>
      <c r="D43" s="560"/>
      <c r="E43" s="560"/>
      <c r="F43" s="560"/>
      <c r="G43" s="560"/>
      <c r="H43" s="560"/>
      <c r="I43" s="560"/>
      <c r="J43" s="560"/>
      <c r="K43" s="560"/>
      <c r="L43" s="560"/>
      <c r="M43" s="560"/>
      <c r="N43" s="560"/>
      <c r="O43" s="560"/>
      <c r="P43" s="502"/>
      <c r="Q43" s="495"/>
      <c r="R43" s="557"/>
      <c r="S43" s="531"/>
      <c r="T43" s="526" t="s">
        <v>1858</v>
      </c>
      <c r="U43" s="527" t="e">
        <f>U42-#REF!</f>
        <v>#REF!</v>
      </c>
      <c r="V43" s="532" t="s">
        <v>1859</v>
      </c>
      <c r="W43" s="529" t="e">
        <f>(#REF!+BM43)/1100000</f>
        <v>#REF!</v>
      </c>
      <c r="X43" s="89"/>
      <c r="Y43" s="73"/>
      <c r="Z43" s="261"/>
      <c r="AA43" s="261"/>
      <c r="AB43" s="80" t="s">
        <v>1858</v>
      </c>
      <c r="AC43" s="81" t="e">
        <f>AC42-#REF!</f>
        <v>#REF!</v>
      </c>
      <c r="AD43" s="82" t="s">
        <v>1860</v>
      </c>
      <c r="AE43" s="83"/>
    </row>
    <row r="44" spans="1:54" ht="22.5" customHeight="1" thickBot="1">
      <c r="A44" s="257" t="s">
        <v>1965</v>
      </c>
      <c r="B44" s="554">
        <v>1</v>
      </c>
      <c r="C44" s="244">
        <f>B44+D44+E44+F44+G44+I44+H44+J44+K44+L44+M44+N44+O44</f>
        <v>1</v>
      </c>
      <c r="D44" s="525"/>
      <c r="E44" s="525"/>
      <c r="F44" s="525"/>
      <c r="G44" s="525"/>
      <c r="H44" s="525"/>
      <c r="I44" s="525"/>
      <c r="J44" s="525"/>
      <c r="K44" s="525"/>
      <c r="L44" s="525"/>
      <c r="M44" s="525"/>
      <c r="N44" s="525"/>
      <c r="O44" s="525"/>
      <c r="P44" s="490" t="s">
        <v>1945</v>
      </c>
      <c r="Q44" s="490" t="s">
        <v>1968</v>
      </c>
      <c r="R44" s="553" t="s">
        <v>1966</v>
      </c>
      <c r="S44" s="537" t="s">
        <v>1967</v>
      </c>
      <c r="T44" s="521" t="s">
        <v>1864</v>
      </c>
      <c r="U44" s="522">
        <f>BK44/1100000</f>
        <v>0</v>
      </c>
      <c r="V44" s="523" t="s">
        <v>1865</v>
      </c>
      <c r="W44" s="524" t="e">
        <f>U44*0.75-(#REF!+W45)</f>
        <v>#REF!</v>
      </c>
      <c r="X44" s="299" t="s">
        <v>1868</v>
      </c>
      <c r="Y44" s="547" t="s">
        <v>1869</v>
      </c>
      <c r="Z44" s="260" t="s">
        <v>1959</v>
      </c>
      <c r="AA44" s="260"/>
      <c r="AB44" s="80" t="s">
        <v>1864</v>
      </c>
      <c r="AC44" s="81">
        <v>13578000</v>
      </c>
      <c r="AD44" s="82" t="s">
        <v>1871</v>
      </c>
      <c r="AE44" s="83">
        <v>0</v>
      </c>
      <c r="AF44" s="91" t="s">
        <v>1872</v>
      </c>
      <c r="AG44" s="92">
        <v>0</v>
      </c>
      <c r="AH44" s="92" t="s">
        <v>1873</v>
      </c>
      <c r="AI44" s="92">
        <v>0</v>
      </c>
      <c r="AJ44" s="92" t="s">
        <v>1856</v>
      </c>
      <c r="AK44" s="92">
        <v>0</v>
      </c>
      <c r="AL44" s="92" t="s">
        <v>1856</v>
      </c>
      <c r="AM44" s="92"/>
      <c r="AN44" s="92" t="s">
        <v>1856</v>
      </c>
      <c r="AO44" s="92"/>
      <c r="AP44" s="92"/>
      <c r="AQ44" s="92"/>
      <c r="AR44" s="92"/>
      <c r="AS44" s="92"/>
      <c r="AT44" s="92"/>
      <c r="AU44" s="92"/>
      <c r="AV44" s="92"/>
      <c r="AW44" s="92"/>
      <c r="AX44" s="92"/>
      <c r="AY44" s="92"/>
      <c r="AZ44" s="92"/>
      <c r="BA44" s="92"/>
      <c r="BB44" s="92"/>
    </row>
    <row r="45" spans="1:54" ht="22.5" customHeight="1" thickBot="1">
      <c r="A45" s="258"/>
      <c r="B45" s="558"/>
      <c r="C45" s="245"/>
      <c r="D45" s="560"/>
      <c r="E45" s="560"/>
      <c r="F45" s="560"/>
      <c r="G45" s="560"/>
      <c r="H45" s="560"/>
      <c r="I45" s="560"/>
      <c r="J45" s="560"/>
      <c r="K45" s="560"/>
      <c r="L45" s="560"/>
      <c r="M45" s="560"/>
      <c r="N45" s="560"/>
      <c r="O45" s="560"/>
      <c r="P45" s="502"/>
      <c r="Q45" s="495"/>
      <c r="R45" s="557"/>
      <c r="S45" s="531"/>
      <c r="T45" s="526" t="s">
        <v>1858</v>
      </c>
      <c r="U45" s="527" t="e">
        <f>U44-#REF!</f>
        <v>#REF!</v>
      </c>
      <c r="V45" s="532" t="s">
        <v>1859</v>
      </c>
      <c r="W45" s="529" t="e">
        <f>(#REF!+BM45)/1100000</f>
        <v>#REF!</v>
      </c>
      <c r="X45" s="89"/>
      <c r="Y45" s="73"/>
      <c r="Z45" s="261"/>
      <c r="AA45" s="261"/>
      <c r="AB45" s="80" t="s">
        <v>1858</v>
      </c>
      <c r="AC45" s="81" t="e">
        <f>AC44-#REF!</f>
        <v>#REF!</v>
      </c>
      <c r="AD45" s="82" t="s">
        <v>1860</v>
      </c>
      <c r="AE45" s="83"/>
    </row>
    <row r="46" spans="1:54" ht="22.5" customHeight="1" thickBot="1">
      <c r="A46" s="257" t="s">
        <v>1969</v>
      </c>
      <c r="B46" s="554">
        <v>0.1</v>
      </c>
      <c r="C46" s="244">
        <f>B46+D46+E46+F46+G46+I46+H46+J46+K46+L46+M46+N46+O46</f>
        <v>0.3600000000000001</v>
      </c>
      <c r="D46" s="525">
        <v>0.05</v>
      </c>
      <c r="E46" s="525">
        <v>0.05</v>
      </c>
      <c r="F46" s="525">
        <v>0.05</v>
      </c>
      <c r="G46" s="525">
        <v>0.03</v>
      </c>
      <c r="H46" s="525">
        <v>0.03</v>
      </c>
      <c r="I46" s="525">
        <v>0.01</v>
      </c>
      <c r="J46" s="525">
        <v>0.01</v>
      </c>
      <c r="K46" s="525">
        <v>0.01</v>
      </c>
      <c r="L46" s="525">
        <v>0.01</v>
      </c>
      <c r="M46" s="525">
        <v>0.01</v>
      </c>
      <c r="N46" s="525"/>
      <c r="O46" s="525"/>
      <c r="P46" s="490" t="s">
        <v>1972</v>
      </c>
      <c r="Q46" s="490" t="s">
        <v>1973</v>
      </c>
      <c r="R46" s="553" t="s">
        <v>1970</v>
      </c>
      <c r="S46" s="537" t="s">
        <v>1971</v>
      </c>
      <c r="T46" s="521" t="s">
        <v>1864</v>
      </c>
      <c r="U46" s="522">
        <f>BK46/1100000</f>
        <v>0</v>
      </c>
      <c r="V46" s="523" t="s">
        <v>1865</v>
      </c>
      <c r="W46" s="524" t="e">
        <f>U46*0.75-(#REF!+W47)</f>
        <v>#REF!</v>
      </c>
      <c r="X46" s="299" t="s">
        <v>1868</v>
      </c>
      <c r="Y46" s="547" t="s">
        <v>1869</v>
      </c>
      <c r="Z46" s="261"/>
      <c r="AA46" s="261"/>
      <c r="AB46" s="80" t="s">
        <v>1864</v>
      </c>
      <c r="AC46" s="81">
        <v>315371370</v>
      </c>
      <c r="AD46" s="82" t="s">
        <v>1871</v>
      </c>
      <c r="AE46" s="83">
        <v>0</v>
      </c>
      <c r="AF46" s="91" t="s">
        <v>1872</v>
      </c>
      <c r="AG46" s="92">
        <v>0</v>
      </c>
      <c r="AH46" s="92" t="s">
        <v>1873</v>
      </c>
      <c r="AI46" s="92">
        <v>0</v>
      </c>
      <c r="AJ46" s="92" t="s">
        <v>1856</v>
      </c>
      <c r="AK46" s="92">
        <v>0</v>
      </c>
      <c r="AL46" s="92" t="s">
        <v>1856</v>
      </c>
      <c r="AM46" s="92"/>
      <c r="AN46" s="92" t="s">
        <v>1856</v>
      </c>
      <c r="AO46" s="92"/>
      <c r="AP46" s="92"/>
      <c r="AQ46" s="92"/>
      <c r="AR46" s="92"/>
      <c r="AS46" s="92"/>
      <c r="AT46" s="92"/>
      <c r="AU46" s="92"/>
      <c r="AV46" s="92"/>
      <c r="AW46" s="92"/>
      <c r="AX46" s="92"/>
      <c r="AY46" s="92"/>
      <c r="AZ46" s="92"/>
      <c r="BA46" s="92"/>
    </row>
    <row r="47" spans="1:54" ht="22.5" customHeight="1" thickBot="1">
      <c r="A47" s="258"/>
      <c r="B47" s="558"/>
      <c r="C47" s="245"/>
      <c r="D47" s="560"/>
      <c r="E47" s="560"/>
      <c r="F47" s="560"/>
      <c r="G47" s="560"/>
      <c r="H47" s="560"/>
      <c r="I47" s="560"/>
      <c r="J47" s="560"/>
      <c r="K47" s="560"/>
      <c r="L47" s="560"/>
      <c r="M47" s="560"/>
      <c r="N47" s="560"/>
      <c r="O47" s="560"/>
      <c r="P47" s="502"/>
      <c r="Q47" s="495"/>
      <c r="R47" s="557"/>
      <c r="S47" s="531"/>
      <c r="T47" s="526" t="s">
        <v>1858</v>
      </c>
      <c r="U47" s="527" t="e">
        <f>U46-#REF!</f>
        <v>#REF!</v>
      </c>
      <c r="V47" s="532" t="s">
        <v>1859</v>
      </c>
      <c r="W47" s="529" t="e">
        <f>(#REF!+BM47)/1100000</f>
        <v>#REF!</v>
      </c>
      <c r="X47" s="89"/>
      <c r="Y47" s="73"/>
      <c r="Z47" s="261"/>
      <c r="AA47" s="261"/>
      <c r="AB47" s="80" t="s">
        <v>1858</v>
      </c>
      <c r="AC47" s="81" t="e">
        <f>AC46-#REF!</f>
        <v>#REF!</v>
      </c>
      <c r="AD47" s="82" t="s">
        <v>1860</v>
      </c>
      <c r="AE47" s="83"/>
    </row>
    <row r="48" spans="1:54" ht="22.5" customHeight="1" thickBot="1">
      <c r="A48" s="257" t="s">
        <v>1974</v>
      </c>
      <c r="B48" s="554">
        <v>0.15</v>
      </c>
      <c r="C48" s="244">
        <f>B48+D48+E48+F48+G48+I48+H48+J48+K48+L48+M48+N48+O48</f>
        <v>1</v>
      </c>
      <c r="D48" s="525">
        <v>0.1</v>
      </c>
      <c r="E48" s="525">
        <v>0.1</v>
      </c>
      <c r="F48" s="525">
        <v>0.55000000000000004</v>
      </c>
      <c r="G48" s="525">
        <v>0.1</v>
      </c>
      <c r="H48" s="525"/>
      <c r="I48" s="525"/>
      <c r="J48" s="525"/>
      <c r="K48" s="525"/>
      <c r="L48" s="525"/>
      <c r="M48" s="525"/>
      <c r="N48" s="525"/>
      <c r="O48" s="525"/>
      <c r="P48" s="490" t="s">
        <v>1866</v>
      </c>
      <c r="Q48" s="490" t="s">
        <v>1977</v>
      </c>
      <c r="R48" s="553" t="s">
        <v>1975</v>
      </c>
      <c r="S48" s="537" t="s">
        <v>1976</v>
      </c>
      <c r="T48" s="521" t="s">
        <v>1864</v>
      </c>
      <c r="U48" s="522">
        <f>BK48/1100000</f>
        <v>0</v>
      </c>
      <c r="V48" s="523" t="s">
        <v>1865</v>
      </c>
      <c r="W48" s="524" t="e">
        <f>U48*0.75-(#REF!+W49)</f>
        <v>#REF!</v>
      </c>
      <c r="X48" s="299" t="s">
        <v>1868</v>
      </c>
      <c r="Y48" s="547" t="s">
        <v>1869</v>
      </c>
      <c r="Z48" s="261"/>
      <c r="AA48" s="261"/>
      <c r="AB48" s="80" t="s">
        <v>1864</v>
      </c>
      <c r="AC48" s="81">
        <v>40270000</v>
      </c>
      <c r="AD48" s="82" t="s">
        <v>1871</v>
      </c>
      <c r="AE48" s="83">
        <v>0</v>
      </c>
      <c r="AF48" s="91" t="s">
        <v>1872</v>
      </c>
      <c r="AG48" s="92">
        <v>0</v>
      </c>
      <c r="AH48" s="92" t="s">
        <v>1873</v>
      </c>
      <c r="AI48" s="92">
        <v>0</v>
      </c>
      <c r="AJ48" s="92" t="s">
        <v>1856</v>
      </c>
      <c r="AK48" s="92">
        <v>0</v>
      </c>
      <c r="AL48" s="92" t="s">
        <v>1856</v>
      </c>
      <c r="AM48" s="92"/>
      <c r="AN48" s="92" t="s">
        <v>1856</v>
      </c>
      <c r="AO48" s="92"/>
      <c r="AP48" s="92"/>
      <c r="AQ48" s="92"/>
      <c r="AR48" s="92"/>
      <c r="AS48" s="92"/>
      <c r="AT48" s="92"/>
      <c r="AU48" s="92"/>
      <c r="AV48" s="92"/>
      <c r="AW48" s="92"/>
      <c r="AX48" s="92"/>
      <c r="AY48" s="92"/>
      <c r="AZ48" s="92"/>
      <c r="BA48" s="92"/>
    </row>
    <row r="49" spans="1:53" ht="22.5" customHeight="1" thickBot="1">
      <c r="A49" s="258"/>
      <c r="B49" s="558"/>
      <c r="C49" s="245"/>
      <c r="D49" s="560"/>
      <c r="E49" s="560"/>
      <c r="F49" s="560"/>
      <c r="G49" s="560"/>
      <c r="H49" s="560"/>
      <c r="I49" s="560"/>
      <c r="J49" s="560"/>
      <c r="K49" s="560"/>
      <c r="L49" s="560"/>
      <c r="M49" s="560"/>
      <c r="N49" s="560"/>
      <c r="O49" s="560"/>
      <c r="P49" s="502"/>
      <c r="Q49" s="495"/>
      <c r="R49" s="557"/>
      <c r="S49" s="531"/>
      <c r="T49" s="526" t="s">
        <v>1858</v>
      </c>
      <c r="U49" s="527" t="e">
        <f>U48-#REF!</f>
        <v>#REF!</v>
      </c>
      <c r="V49" s="532" t="s">
        <v>1859</v>
      </c>
      <c r="W49" s="529" t="e">
        <f>(#REF!+BM49)/1100000</f>
        <v>#REF!</v>
      </c>
      <c r="X49" s="89"/>
      <c r="Y49" s="73"/>
      <c r="Z49" s="261"/>
      <c r="AA49" s="261"/>
      <c r="AB49" s="80" t="s">
        <v>1858</v>
      </c>
      <c r="AC49" s="81" t="e">
        <f>AC48-#REF!</f>
        <v>#REF!</v>
      </c>
      <c r="AD49" s="82" t="s">
        <v>1860</v>
      </c>
      <c r="AE49" s="83"/>
    </row>
    <row r="50" spans="1:53" ht="22.5" customHeight="1" thickBot="1">
      <c r="A50" s="257" t="s">
        <v>1978</v>
      </c>
      <c r="B50" s="554">
        <v>0.6</v>
      </c>
      <c r="C50" s="244">
        <f>B50+D50+E50+F50+G50+I50+H50+J50+K50+L50+M50+N50+O50</f>
        <v>1</v>
      </c>
      <c r="D50" s="525">
        <v>0.4</v>
      </c>
      <c r="E50" s="525"/>
      <c r="F50" s="525"/>
      <c r="G50" s="525"/>
      <c r="H50" s="525"/>
      <c r="I50" s="525"/>
      <c r="J50" s="525"/>
      <c r="K50" s="525"/>
      <c r="L50" s="525"/>
      <c r="M50" s="525"/>
      <c r="N50" s="525"/>
      <c r="O50" s="525"/>
      <c r="P50" s="490" t="s">
        <v>1866</v>
      </c>
      <c r="Q50" s="490" t="s">
        <v>1981</v>
      </c>
      <c r="R50" s="553" t="s">
        <v>1979</v>
      </c>
      <c r="S50" s="537" t="s">
        <v>1980</v>
      </c>
      <c r="T50" s="521" t="s">
        <v>1864</v>
      </c>
      <c r="U50" s="522">
        <f>BK50/1100000</f>
        <v>0</v>
      </c>
      <c r="V50" s="523" t="s">
        <v>1865</v>
      </c>
      <c r="W50" s="524" t="e">
        <f>U50*0.75-(#REF!+W51)</f>
        <v>#REF!</v>
      </c>
      <c r="X50" s="299" t="s">
        <v>1868</v>
      </c>
      <c r="Y50" s="547" t="s">
        <v>1869</v>
      </c>
      <c r="Z50" s="261"/>
      <c r="AA50" s="261"/>
      <c r="AB50" s="80" t="s">
        <v>1864</v>
      </c>
      <c r="AC50" s="81">
        <v>90221000</v>
      </c>
      <c r="AD50" s="82" t="s">
        <v>1871</v>
      </c>
      <c r="AE50" s="83">
        <v>0</v>
      </c>
      <c r="AF50" s="91" t="s">
        <v>1872</v>
      </c>
      <c r="AG50" s="92">
        <v>0</v>
      </c>
      <c r="AH50" s="92" t="s">
        <v>1873</v>
      </c>
      <c r="AI50" s="92">
        <v>0</v>
      </c>
      <c r="AJ50" s="92" t="s">
        <v>1856</v>
      </c>
      <c r="AK50" s="92">
        <v>0</v>
      </c>
      <c r="AL50" s="92" t="s">
        <v>1856</v>
      </c>
      <c r="AM50" s="92"/>
      <c r="AN50" s="92" t="s">
        <v>1856</v>
      </c>
      <c r="AO50" s="92"/>
      <c r="AP50" s="92"/>
      <c r="AQ50" s="92"/>
      <c r="AR50" s="92"/>
      <c r="AS50" s="92"/>
      <c r="AT50" s="92"/>
      <c r="AU50" s="92"/>
      <c r="AV50" s="92"/>
      <c r="AW50" s="92"/>
      <c r="AX50" s="92"/>
      <c r="AY50" s="92"/>
      <c r="AZ50" s="92"/>
      <c r="BA50" s="92"/>
    </row>
    <row r="51" spans="1:53" s="77" customFormat="1" ht="22.5" customHeight="1" thickBot="1">
      <c r="A51" s="258"/>
      <c r="B51" s="558"/>
      <c r="C51" s="245"/>
      <c r="D51" s="560"/>
      <c r="E51" s="560"/>
      <c r="F51" s="560"/>
      <c r="G51" s="560"/>
      <c r="H51" s="560"/>
      <c r="I51" s="560"/>
      <c r="J51" s="560"/>
      <c r="K51" s="560"/>
      <c r="L51" s="560"/>
      <c r="M51" s="560"/>
      <c r="N51" s="560"/>
      <c r="O51" s="560"/>
      <c r="P51" s="502"/>
      <c r="Q51" s="495"/>
      <c r="R51" s="557"/>
      <c r="S51" s="531"/>
      <c r="T51" s="526" t="s">
        <v>1858</v>
      </c>
      <c r="U51" s="527" t="e">
        <f>U50-#REF!</f>
        <v>#REF!</v>
      </c>
      <c r="V51" s="532" t="s">
        <v>1859</v>
      </c>
      <c r="W51" s="529" t="e">
        <f>(#REF!+BM51)/1100000</f>
        <v>#REF!</v>
      </c>
      <c r="X51" s="89"/>
      <c r="Y51" s="73"/>
      <c r="Z51" s="261"/>
      <c r="AA51" s="261"/>
      <c r="AB51" s="80" t="s">
        <v>1858</v>
      </c>
      <c r="AC51" s="81" t="e">
        <f>AC50-#REF!</f>
        <v>#REF!</v>
      </c>
      <c r="AD51" s="82" t="s">
        <v>1860</v>
      </c>
      <c r="AE51" s="83"/>
    </row>
    <row r="52" spans="1:53" s="77" customFormat="1" ht="22.5" customHeight="1" thickBot="1">
      <c r="A52" s="257" t="s">
        <v>1982</v>
      </c>
      <c r="B52" s="554">
        <v>0</v>
      </c>
      <c r="C52" s="244">
        <f>B52+D52+E52+F52+G52+I52+H52+J52+K52+L52+M52+N52+O52</f>
        <v>0.16000000000000003</v>
      </c>
      <c r="D52" s="525"/>
      <c r="E52" s="525"/>
      <c r="F52" s="525">
        <v>0.03</v>
      </c>
      <c r="G52" s="525">
        <v>0.03</v>
      </c>
      <c r="H52" s="525">
        <v>0.03</v>
      </c>
      <c r="I52" s="525">
        <v>0.03</v>
      </c>
      <c r="J52" s="525">
        <v>0.01</v>
      </c>
      <c r="K52" s="525">
        <v>0.01</v>
      </c>
      <c r="L52" s="525">
        <v>0.01</v>
      </c>
      <c r="M52" s="525">
        <v>0.01</v>
      </c>
      <c r="N52" s="525"/>
      <c r="O52" s="525"/>
      <c r="P52" s="490" t="s">
        <v>1985</v>
      </c>
      <c r="Q52" s="490" t="s">
        <v>1986</v>
      </c>
      <c r="R52" s="553" t="s">
        <v>1983</v>
      </c>
      <c r="S52" s="537" t="s">
        <v>1984</v>
      </c>
      <c r="T52" s="521" t="s">
        <v>1864</v>
      </c>
      <c r="U52" s="522">
        <f>BK52/1100000</f>
        <v>0</v>
      </c>
      <c r="V52" s="523" t="s">
        <v>1865</v>
      </c>
      <c r="W52" s="524" t="e">
        <f>U52*0.75-(#REF!+W53)</f>
        <v>#REF!</v>
      </c>
      <c r="X52" s="299" t="s">
        <v>1868</v>
      </c>
      <c r="Y52" s="547" t="s">
        <v>1869</v>
      </c>
      <c r="Z52" s="261"/>
      <c r="AA52" s="261"/>
      <c r="AB52" s="80" t="s">
        <v>1864</v>
      </c>
      <c r="AC52" s="81">
        <v>170752000</v>
      </c>
      <c r="AD52" s="82" t="s">
        <v>1871</v>
      </c>
      <c r="AE52" s="83">
        <v>0</v>
      </c>
      <c r="AF52" s="91" t="s">
        <v>1872</v>
      </c>
      <c r="AG52" s="92">
        <v>0</v>
      </c>
      <c r="AH52" s="92" t="s">
        <v>1873</v>
      </c>
      <c r="AI52" s="92">
        <v>0</v>
      </c>
      <c r="AJ52" s="92" t="s">
        <v>1856</v>
      </c>
      <c r="AK52" s="92">
        <v>0</v>
      </c>
      <c r="AL52" s="92" t="s">
        <v>1856</v>
      </c>
      <c r="AM52" s="92"/>
      <c r="AN52" s="92" t="s">
        <v>1856</v>
      </c>
      <c r="AO52" s="92"/>
      <c r="AP52" s="92"/>
      <c r="AQ52" s="92"/>
      <c r="AR52" s="92"/>
      <c r="AS52" s="92"/>
      <c r="AT52" s="92"/>
      <c r="AU52" s="92"/>
      <c r="AV52" s="92"/>
      <c r="AW52" s="92"/>
      <c r="AX52" s="92"/>
      <c r="AY52" s="92"/>
      <c r="AZ52" s="92"/>
      <c r="BA52" s="92"/>
    </row>
    <row r="53" spans="1:53" s="77" customFormat="1" ht="22.5" customHeight="1" thickBot="1">
      <c r="A53" s="258"/>
      <c r="B53" s="558"/>
      <c r="C53" s="245"/>
      <c r="D53" s="560"/>
      <c r="E53" s="560"/>
      <c r="F53" s="560"/>
      <c r="G53" s="560"/>
      <c r="H53" s="560"/>
      <c r="I53" s="560"/>
      <c r="J53" s="560"/>
      <c r="K53" s="560"/>
      <c r="L53" s="560"/>
      <c r="M53" s="560"/>
      <c r="N53" s="560"/>
      <c r="O53" s="560"/>
      <c r="P53" s="502"/>
      <c r="Q53" s="495"/>
      <c r="R53" s="557"/>
      <c r="S53" s="531"/>
      <c r="T53" s="526" t="s">
        <v>1858</v>
      </c>
      <c r="U53" s="527" t="e">
        <f>U52-#REF!</f>
        <v>#REF!</v>
      </c>
      <c r="V53" s="532" t="s">
        <v>1859</v>
      </c>
      <c r="W53" s="529" t="e">
        <f>(#REF!+BM53)/1100000</f>
        <v>#REF!</v>
      </c>
      <c r="X53" s="89"/>
      <c r="Y53" s="73"/>
      <c r="Z53" s="261"/>
      <c r="AA53" s="261"/>
      <c r="AB53" s="80" t="s">
        <v>1858</v>
      </c>
      <c r="AC53" s="81" t="e">
        <f>AC52-#REF!</f>
        <v>#REF!</v>
      </c>
      <c r="AD53" s="82" t="s">
        <v>1860</v>
      </c>
      <c r="AE53" s="83"/>
    </row>
    <row r="54" spans="1:53" s="77" customFormat="1" ht="22.5" customHeight="1" thickBot="1">
      <c r="A54" s="257" t="s">
        <v>1987</v>
      </c>
      <c r="B54" s="554">
        <v>0</v>
      </c>
      <c r="C54" s="244">
        <f>B54+D54+E54+F54+G54+I54+H54+J54+K54+L54+M54+N54+O54</f>
        <v>0.18000000000000005</v>
      </c>
      <c r="D54" s="525"/>
      <c r="E54" s="525"/>
      <c r="F54" s="525">
        <v>0.01</v>
      </c>
      <c r="G54" s="525">
        <v>0.05</v>
      </c>
      <c r="H54" s="525">
        <v>0.05</v>
      </c>
      <c r="I54" s="525">
        <v>0.05</v>
      </c>
      <c r="J54" s="525">
        <v>0.01</v>
      </c>
      <c r="K54" s="525">
        <v>0.01</v>
      </c>
      <c r="L54" s="525"/>
      <c r="M54" s="525"/>
      <c r="N54" s="525"/>
      <c r="O54" s="525"/>
      <c r="P54" s="490" t="s">
        <v>1963</v>
      </c>
      <c r="Q54" s="490" t="s">
        <v>1990</v>
      </c>
      <c r="R54" s="553" t="s">
        <v>1988</v>
      </c>
      <c r="S54" s="537" t="s">
        <v>1989</v>
      </c>
      <c r="T54" s="521" t="s">
        <v>1864</v>
      </c>
      <c r="U54" s="522">
        <f>BK54/1100000</f>
        <v>0</v>
      </c>
      <c r="V54" s="523" t="s">
        <v>1865</v>
      </c>
      <c r="W54" s="524" t="e">
        <f>U54*0.75-(#REF!+W55)</f>
        <v>#REF!</v>
      </c>
      <c r="X54" s="299" t="s">
        <v>1868</v>
      </c>
      <c r="Y54" s="547" t="s">
        <v>1869</v>
      </c>
      <c r="Z54" s="261"/>
      <c r="AA54" s="261"/>
      <c r="AB54" s="80" t="s">
        <v>1864</v>
      </c>
      <c r="AC54" s="81">
        <v>310272550</v>
      </c>
      <c r="AD54" s="82" t="s">
        <v>1871</v>
      </c>
      <c r="AE54" s="83">
        <v>0</v>
      </c>
      <c r="AF54" s="91" t="s">
        <v>1872</v>
      </c>
      <c r="AG54" s="92">
        <v>0</v>
      </c>
      <c r="AH54" s="92" t="s">
        <v>1873</v>
      </c>
      <c r="AI54" s="92">
        <v>0</v>
      </c>
      <c r="AJ54" s="92" t="s">
        <v>1856</v>
      </c>
      <c r="AK54" s="92">
        <v>0</v>
      </c>
      <c r="AL54" s="92" t="s">
        <v>1856</v>
      </c>
      <c r="AM54" s="92"/>
      <c r="AN54" s="92" t="s">
        <v>1856</v>
      </c>
      <c r="AO54" s="92"/>
      <c r="AP54" s="92"/>
      <c r="AQ54" s="92"/>
      <c r="AR54" s="92"/>
      <c r="AS54" s="92"/>
      <c r="AT54" s="92"/>
      <c r="AU54" s="92"/>
      <c r="AV54" s="92"/>
      <c r="AW54" s="92"/>
      <c r="AX54" s="92"/>
      <c r="AY54" s="92"/>
      <c r="AZ54" s="92"/>
      <c r="BA54" s="92"/>
    </row>
    <row r="55" spans="1:53" s="77" customFormat="1" ht="22.5" customHeight="1" thickBot="1">
      <c r="A55" s="258"/>
      <c r="B55" s="558"/>
      <c r="C55" s="245"/>
      <c r="D55" s="560"/>
      <c r="E55" s="560"/>
      <c r="F55" s="560"/>
      <c r="G55" s="560"/>
      <c r="H55" s="560"/>
      <c r="I55" s="560"/>
      <c r="J55" s="560"/>
      <c r="K55" s="560"/>
      <c r="L55" s="560"/>
      <c r="M55" s="560"/>
      <c r="N55" s="560"/>
      <c r="O55" s="560"/>
      <c r="P55" s="502"/>
      <c r="Q55" s="495"/>
      <c r="R55" s="557"/>
      <c r="S55" s="531"/>
      <c r="T55" s="526" t="s">
        <v>1858</v>
      </c>
      <c r="U55" s="527" t="e">
        <f>U54-#REF!</f>
        <v>#REF!</v>
      </c>
      <c r="V55" s="532" t="s">
        <v>1859</v>
      </c>
      <c r="W55" s="529" t="e">
        <f>(#REF!+BM55)/1100000</f>
        <v>#REF!</v>
      </c>
      <c r="X55" s="89"/>
      <c r="Y55" s="73"/>
      <c r="Z55" s="261"/>
      <c r="AA55" s="261"/>
      <c r="AB55" s="80" t="s">
        <v>1858</v>
      </c>
      <c r="AC55" s="81" t="e">
        <f>AC54-#REF!</f>
        <v>#REF!</v>
      </c>
      <c r="AD55" s="82" t="s">
        <v>1860</v>
      </c>
      <c r="AE55" s="83"/>
    </row>
    <row r="56" spans="1:53" s="77" customFormat="1" ht="22.5" customHeight="1" thickBot="1">
      <c r="A56" s="257" t="s">
        <v>1991</v>
      </c>
      <c r="B56" s="554">
        <v>0</v>
      </c>
      <c r="C56" s="244">
        <f>B56+D56+E56+F56+G56+I56+H56+J56+K56+L56+M56+N56+O56</f>
        <v>0.31</v>
      </c>
      <c r="D56" s="525"/>
      <c r="E56" s="525"/>
      <c r="F56" s="525">
        <v>0.01</v>
      </c>
      <c r="G56" s="525">
        <v>0.05</v>
      </c>
      <c r="H56" s="525">
        <v>0.05</v>
      </c>
      <c r="I56" s="525">
        <v>0.05</v>
      </c>
      <c r="J56" s="525">
        <v>0.05</v>
      </c>
      <c r="K56" s="525">
        <v>0.05</v>
      </c>
      <c r="L56" s="525">
        <v>0.05</v>
      </c>
      <c r="M56" s="525"/>
      <c r="N56" s="525"/>
      <c r="O56" s="525"/>
      <c r="P56" s="490" t="s">
        <v>1993</v>
      </c>
      <c r="Q56" s="490" t="s">
        <v>1994</v>
      </c>
      <c r="R56" s="553" t="s">
        <v>1992</v>
      </c>
      <c r="S56" s="537" t="s">
        <v>1989</v>
      </c>
      <c r="T56" s="521" t="s">
        <v>1864</v>
      </c>
      <c r="U56" s="522">
        <f>BK56/1100000</f>
        <v>0</v>
      </c>
      <c r="V56" s="523" t="s">
        <v>1865</v>
      </c>
      <c r="W56" s="524" t="e">
        <f>U56*0.75-(#REF!+W57)</f>
        <v>#REF!</v>
      </c>
      <c r="X56" s="299" t="s">
        <v>1868</v>
      </c>
      <c r="Y56" s="547" t="s">
        <v>1869</v>
      </c>
      <c r="Z56" s="261"/>
      <c r="AA56" s="261"/>
      <c r="AB56" s="80" t="s">
        <v>1864</v>
      </c>
      <c r="AC56" s="81">
        <v>304606400</v>
      </c>
      <c r="AD56" s="82" t="s">
        <v>1871</v>
      </c>
      <c r="AE56" s="83">
        <v>0</v>
      </c>
      <c r="AF56" s="91" t="s">
        <v>1872</v>
      </c>
      <c r="AG56" s="92">
        <v>0</v>
      </c>
      <c r="AH56" s="92" t="s">
        <v>1873</v>
      </c>
      <c r="AI56" s="92">
        <v>0</v>
      </c>
      <c r="AJ56" s="92" t="s">
        <v>1856</v>
      </c>
      <c r="AK56" s="92">
        <v>0</v>
      </c>
      <c r="AL56" s="92" t="s">
        <v>1856</v>
      </c>
      <c r="AM56" s="92"/>
      <c r="AN56" s="92" t="s">
        <v>1856</v>
      </c>
      <c r="AO56" s="92"/>
      <c r="AP56" s="92"/>
      <c r="AQ56" s="92"/>
      <c r="AR56" s="92"/>
      <c r="AS56" s="92"/>
      <c r="AT56" s="92"/>
      <c r="AU56" s="92"/>
      <c r="AV56" s="92"/>
      <c r="AW56" s="92"/>
      <c r="AX56" s="92"/>
      <c r="AY56" s="92"/>
      <c r="AZ56" s="92"/>
      <c r="BA56" s="92"/>
    </row>
    <row r="57" spans="1:53" s="77" customFormat="1" ht="22.5" customHeight="1" thickBot="1">
      <c r="A57" s="258"/>
      <c r="B57" s="558"/>
      <c r="C57" s="245"/>
      <c r="D57" s="560"/>
      <c r="E57" s="560"/>
      <c r="F57" s="560"/>
      <c r="G57" s="560"/>
      <c r="H57" s="560"/>
      <c r="I57" s="560"/>
      <c r="J57" s="560"/>
      <c r="K57" s="560"/>
      <c r="L57" s="560"/>
      <c r="M57" s="560"/>
      <c r="N57" s="560"/>
      <c r="O57" s="560"/>
      <c r="P57" s="502"/>
      <c r="Q57" s="495"/>
      <c r="R57" s="557"/>
      <c r="S57" s="531"/>
      <c r="T57" s="526" t="s">
        <v>1858</v>
      </c>
      <c r="U57" s="527" t="e">
        <f>U56-#REF!</f>
        <v>#REF!</v>
      </c>
      <c r="V57" s="532" t="s">
        <v>1859</v>
      </c>
      <c r="W57" s="529" t="e">
        <f>(#REF!+BM57)/1100000</f>
        <v>#REF!</v>
      </c>
      <c r="X57" s="89"/>
      <c r="Y57" s="73"/>
      <c r="Z57" s="261"/>
      <c r="AA57" s="261"/>
      <c r="AB57" s="80" t="s">
        <v>1858</v>
      </c>
      <c r="AC57" s="81" t="e">
        <f>AC56-#REF!</f>
        <v>#REF!</v>
      </c>
      <c r="AD57" s="82" t="s">
        <v>1860</v>
      </c>
      <c r="AE57" s="83"/>
    </row>
    <row r="58" spans="1:53" s="77" customFormat="1" ht="22.5" customHeight="1" thickBot="1">
      <c r="A58" s="257" t="s">
        <v>1995</v>
      </c>
      <c r="B58" s="554">
        <v>0</v>
      </c>
      <c r="C58" s="244">
        <f>B58+D58+E58+F58+G58+I58+H58+J58+K58+L58+M58+N58+O58</f>
        <v>0.45999999999999996</v>
      </c>
      <c r="D58" s="525"/>
      <c r="E58" s="525"/>
      <c r="F58" s="525">
        <v>0.05</v>
      </c>
      <c r="G58" s="525">
        <v>0.1</v>
      </c>
      <c r="H58" s="525">
        <v>0.1</v>
      </c>
      <c r="I58" s="525">
        <v>0.1</v>
      </c>
      <c r="J58" s="525">
        <v>0.1</v>
      </c>
      <c r="K58" s="525">
        <v>0.01</v>
      </c>
      <c r="L58" s="525"/>
      <c r="M58" s="525"/>
      <c r="N58" s="525"/>
      <c r="O58" s="525"/>
      <c r="P58" s="490" t="s">
        <v>1998</v>
      </c>
      <c r="Q58" s="490" t="s">
        <v>1999</v>
      </c>
      <c r="R58" s="553" t="s">
        <v>1996</v>
      </c>
      <c r="S58" s="537" t="s">
        <v>1997</v>
      </c>
      <c r="T58" s="521" t="s">
        <v>1864</v>
      </c>
      <c r="U58" s="522">
        <f>BK58/1100000</f>
        <v>0</v>
      </c>
      <c r="V58" s="523" t="s">
        <v>1865</v>
      </c>
      <c r="W58" s="524" t="e">
        <f>U58*0.75-(#REF!+W59)</f>
        <v>#REF!</v>
      </c>
      <c r="X58" s="299" t="s">
        <v>1868</v>
      </c>
      <c r="Y58" s="547" t="s">
        <v>1869</v>
      </c>
      <c r="Z58" s="261"/>
      <c r="AA58" s="261"/>
      <c r="AB58" s="80" t="s">
        <v>1864</v>
      </c>
      <c r="AC58" s="81">
        <v>41088000</v>
      </c>
      <c r="AD58" s="82" t="s">
        <v>1871</v>
      </c>
      <c r="AE58" s="83">
        <v>0</v>
      </c>
      <c r="AF58" s="91" t="s">
        <v>1872</v>
      </c>
      <c r="AG58" s="92">
        <v>0</v>
      </c>
      <c r="AH58" s="92" t="s">
        <v>1873</v>
      </c>
      <c r="AI58" s="92">
        <v>0</v>
      </c>
      <c r="AJ58" s="92" t="s">
        <v>1856</v>
      </c>
      <c r="AK58" s="92">
        <v>0</v>
      </c>
      <c r="AL58" s="92" t="s">
        <v>1856</v>
      </c>
      <c r="AM58" s="92"/>
      <c r="AN58" s="92" t="s">
        <v>1856</v>
      </c>
      <c r="AO58" s="92"/>
      <c r="AP58" s="92"/>
      <c r="AQ58" s="92"/>
      <c r="AR58" s="92"/>
      <c r="AS58" s="92"/>
      <c r="AT58" s="92"/>
      <c r="AU58" s="92"/>
      <c r="AV58" s="92"/>
      <c r="AW58" s="92"/>
      <c r="AX58" s="92"/>
      <c r="AY58" s="92"/>
      <c r="AZ58" s="92"/>
      <c r="BA58" s="92"/>
    </row>
    <row r="59" spans="1:53" s="77" customFormat="1" ht="22.5" customHeight="1" thickBot="1">
      <c r="A59" s="258"/>
      <c r="B59" s="558"/>
      <c r="C59" s="245"/>
      <c r="D59" s="560"/>
      <c r="E59" s="560"/>
      <c r="F59" s="560"/>
      <c r="G59" s="560"/>
      <c r="H59" s="560"/>
      <c r="I59" s="560"/>
      <c r="J59" s="560"/>
      <c r="K59" s="560"/>
      <c r="L59" s="560"/>
      <c r="M59" s="560"/>
      <c r="N59" s="560"/>
      <c r="O59" s="560"/>
      <c r="P59" s="502"/>
      <c r="Q59" s="495"/>
      <c r="R59" s="557"/>
      <c r="S59" s="531" t="s">
        <v>1857</v>
      </c>
      <c r="T59" s="526" t="s">
        <v>1858</v>
      </c>
      <c r="U59" s="527" t="e">
        <f>U58-#REF!</f>
        <v>#REF!</v>
      </c>
      <c r="V59" s="532" t="s">
        <v>1859</v>
      </c>
      <c r="W59" s="529" t="e">
        <f>(#REF!+BM59)/1100000</f>
        <v>#REF!</v>
      </c>
      <c r="X59" s="89"/>
      <c r="Y59" s="73"/>
      <c r="Z59" s="261"/>
      <c r="AA59" s="261"/>
      <c r="AB59" s="80" t="s">
        <v>1858</v>
      </c>
      <c r="AC59" s="81" t="e">
        <f>AC58-#REF!</f>
        <v>#REF!</v>
      </c>
      <c r="AD59" s="82" t="s">
        <v>1860</v>
      </c>
      <c r="AE59" s="83"/>
    </row>
    <row r="60" spans="1:53" s="77" customFormat="1" ht="22.5" customHeight="1" thickBot="1">
      <c r="A60" s="257" t="s">
        <v>2000</v>
      </c>
      <c r="B60" s="554">
        <v>0</v>
      </c>
      <c r="C60" s="244">
        <f>B60+D60+E60+F60+G60+I60+H60+J60+K60+L60+M60+N60+O60</f>
        <v>0.95000000000000018</v>
      </c>
      <c r="D60" s="525"/>
      <c r="E60" s="525"/>
      <c r="F60" s="525"/>
      <c r="G60" s="525">
        <v>0.1</v>
      </c>
      <c r="H60" s="525">
        <v>0.1</v>
      </c>
      <c r="I60" s="525">
        <v>0.1</v>
      </c>
      <c r="J60" s="525">
        <v>0.3</v>
      </c>
      <c r="K60" s="525">
        <v>0.2</v>
      </c>
      <c r="L60" s="525">
        <v>0.05</v>
      </c>
      <c r="M60" s="525">
        <v>0.05</v>
      </c>
      <c r="N60" s="525">
        <v>0.05</v>
      </c>
      <c r="O60" s="525"/>
      <c r="P60" s="490" t="s">
        <v>2003</v>
      </c>
      <c r="Q60" s="490" t="s">
        <v>1999</v>
      </c>
      <c r="R60" s="553" t="s">
        <v>2001</v>
      </c>
      <c r="S60" s="537" t="s">
        <v>2002</v>
      </c>
      <c r="T60" s="521" t="s">
        <v>1864</v>
      </c>
      <c r="U60" s="522">
        <f>BK60/1100000</f>
        <v>0</v>
      </c>
      <c r="V60" s="523" t="s">
        <v>1865</v>
      </c>
      <c r="W60" s="524" t="e">
        <f>U60*0.75-(#REF!+W61)</f>
        <v>#REF!</v>
      </c>
      <c r="X60" s="299" t="s">
        <v>1868</v>
      </c>
      <c r="Y60" s="547" t="s">
        <v>1869</v>
      </c>
      <c r="Z60" s="261"/>
      <c r="AA60" s="261"/>
      <c r="AB60" s="80" t="s">
        <v>1864</v>
      </c>
      <c r="AC60" s="81">
        <v>41831000</v>
      </c>
      <c r="AD60" s="82" t="s">
        <v>1871</v>
      </c>
      <c r="AE60" s="83">
        <v>0</v>
      </c>
      <c r="AF60" s="91" t="s">
        <v>1872</v>
      </c>
      <c r="AG60" s="92">
        <v>0</v>
      </c>
      <c r="AH60" s="92" t="s">
        <v>1873</v>
      </c>
      <c r="AI60" s="92">
        <v>0</v>
      </c>
      <c r="AJ60" s="92" t="s">
        <v>1856</v>
      </c>
      <c r="AK60" s="92">
        <v>0</v>
      </c>
      <c r="AL60" s="92" t="s">
        <v>1856</v>
      </c>
      <c r="AM60" s="92"/>
      <c r="AN60" s="92" t="s">
        <v>1856</v>
      </c>
      <c r="AO60" s="92"/>
      <c r="AP60" s="92"/>
      <c r="AQ60" s="92"/>
      <c r="AR60" s="92"/>
      <c r="AS60" s="92"/>
      <c r="AT60" s="92"/>
      <c r="AU60" s="92"/>
      <c r="AV60" s="92"/>
      <c r="AW60" s="92"/>
      <c r="AX60" s="92"/>
      <c r="AY60" s="92"/>
      <c r="AZ60" s="92"/>
      <c r="BA60" s="92"/>
    </row>
    <row r="61" spans="1:53" s="77" customFormat="1" ht="22.5" customHeight="1" thickBot="1">
      <c r="A61" s="258"/>
      <c r="B61" s="558"/>
      <c r="C61" s="245"/>
      <c r="D61" s="560"/>
      <c r="E61" s="560"/>
      <c r="F61" s="560"/>
      <c r="G61" s="560"/>
      <c r="H61" s="560"/>
      <c r="I61" s="560"/>
      <c r="J61" s="560"/>
      <c r="K61" s="560"/>
      <c r="L61" s="560"/>
      <c r="M61" s="560"/>
      <c r="N61" s="560"/>
      <c r="O61" s="560"/>
      <c r="P61" s="502"/>
      <c r="Q61" s="495"/>
      <c r="R61" s="557"/>
      <c r="S61" s="531" t="s">
        <v>2004</v>
      </c>
      <c r="T61" s="526" t="s">
        <v>1858</v>
      </c>
      <c r="U61" s="527" t="e">
        <f>U60-#REF!</f>
        <v>#REF!</v>
      </c>
      <c r="V61" s="532" t="s">
        <v>1859</v>
      </c>
      <c r="W61" s="529" t="e">
        <f>(#REF!+BM61)/1100000</f>
        <v>#REF!</v>
      </c>
      <c r="X61" s="89"/>
      <c r="Y61" s="73"/>
      <c r="Z61" s="261"/>
      <c r="AA61" s="261"/>
      <c r="AB61" s="80" t="s">
        <v>1858</v>
      </c>
      <c r="AC61" s="81" t="e">
        <f>AC60-#REF!</f>
        <v>#REF!</v>
      </c>
      <c r="AD61" s="82" t="s">
        <v>1860</v>
      </c>
      <c r="AE61" s="83"/>
    </row>
    <row r="62" spans="1:53" s="77" customFormat="1" ht="22.5" customHeight="1" thickBot="1">
      <c r="A62" s="257" t="s">
        <v>2005</v>
      </c>
      <c r="B62" s="554">
        <v>0</v>
      </c>
      <c r="C62" s="244">
        <f>B62+D62+E62+F62+G62+I62+H62+J62+K62+L62+M62+N62+O62</f>
        <v>1</v>
      </c>
      <c r="D62" s="525"/>
      <c r="E62" s="525"/>
      <c r="F62" s="525"/>
      <c r="G62" s="525">
        <v>0.2</v>
      </c>
      <c r="H62" s="525">
        <v>0.3</v>
      </c>
      <c r="I62" s="525">
        <v>0.3</v>
      </c>
      <c r="J62" s="525">
        <v>0.1</v>
      </c>
      <c r="K62" s="525">
        <v>0.1</v>
      </c>
      <c r="L62" s="525"/>
      <c r="M62" s="525"/>
      <c r="N62" s="525"/>
      <c r="O62" s="525"/>
      <c r="P62" s="490" t="s">
        <v>1945</v>
      </c>
      <c r="Q62" s="490" t="s">
        <v>1999</v>
      </c>
      <c r="R62" s="553" t="s">
        <v>2006</v>
      </c>
      <c r="S62" s="537" t="s">
        <v>2007</v>
      </c>
      <c r="T62" s="521" t="s">
        <v>1864</v>
      </c>
      <c r="U62" s="522">
        <f>BK62/1100000</f>
        <v>0</v>
      </c>
      <c r="V62" s="523" t="s">
        <v>1865</v>
      </c>
      <c r="W62" s="524" t="e">
        <f>U62*0.75-(#REF!+W63)</f>
        <v>#REF!</v>
      </c>
      <c r="X62" s="299" t="s">
        <v>1868</v>
      </c>
      <c r="Y62" s="547" t="s">
        <v>1869</v>
      </c>
      <c r="Z62" s="261"/>
      <c r="AA62" s="261"/>
      <c r="AB62" s="80" t="s">
        <v>1864</v>
      </c>
      <c r="AC62" s="81">
        <v>18900000</v>
      </c>
      <c r="AD62" s="82" t="s">
        <v>1871</v>
      </c>
      <c r="AE62" s="83">
        <v>0</v>
      </c>
      <c r="AF62" s="91" t="s">
        <v>1872</v>
      </c>
      <c r="AG62" s="92">
        <v>0</v>
      </c>
      <c r="AH62" s="92" t="s">
        <v>1873</v>
      </c>
      <c r="AI62" s="92">
        <v>0</v>
      </c>
      <c r="AJ62" s="92" t="s">
        <v>1856</v>
      </c>
      <c r="AK62" s="92">
        <v>0</v>
      </c>
      <c r="AL62" s="92" t="s">
        <v>1856</v>
      </c>
      <c r="AM62" s="92"/>
      <c r="AN62" s="92" t="s">
        <v>1856</v>
      </c>
      <c r="AO62" s="92"/>
      <c r="AP62" s="92"/>
      <c r="AQ62" s="92"/>
      <c r="AR62" s="92"/>
      <c r="AS62" s="92"/>
      <c r="AT62" s="92"/>
      <c r="AU62" s="92"/>
      <c r="AV62" s="92"/>
      <c r="AW62" s="92"/>
      <c r="AX62" s="92"/>
      <c r="AY62" s="92"/>
      <c r="AZ62" s="92"/>
      <c r="BA62" s="92"/>
    </row>
    <row r="63" spans="1:53" s="77" customFormat="1" ht="22.5" customHeight="1" thickBot="1">
      <c r="A63" s="258"/>
      <c r="B63" s="558"/>
      <c r="C63" s="245"/>
      <c r="D63" s="560"/>
      <c r="E63" s="560"/>
      <c r="F63" s="560"/>
      <c r="G63" s="560"/>
      <c r="H63" s="560"/>
      <c r="I63" s="560"/>
      <c r="J63" s="560"/>
      <c r="K63" s="560"/>
      <c r="L63" s="560"/>
      <c r="M63" s="560"/>
      <c r="N63" s="560"/>
      <c r="O63" s="560"/>
      <c r="P63" s="502"/>
      <c r="Q63" s="495"/>
      <c r="R63" s="557"/>
      <c r="S63" s="531"/>
      <c r="T63" s="526" t="s">
        <v>1858</v>
      </c>
      <c r="U63" s="527" t="e">
        <f>U62-#REF!</f>
        <v>#REF!</v>
      </c>
      <c r="V63" s="532" t="s">
        <v>1859</v>
      </c>
      <c r="W63" s="529" t="e">
        <f>(#REF!+BM63)/1100000</f>
        <v>#REF!</v>
      </c>
      <c r="X63" s="89"/>
      <c r="Y63" s="73"/>
      <c r="Z63" s="261"/>
      <c r="AA63" s="261"/>
      <c r="AB63" s="80" t="s">
        <v>1858</v>
      </c>
      <c r="AC63" s="81" t="e">
        <f>AC62-#REF!</f>
        <v>#REF!</v>
      </c>
      <c r="AD63" s="82" t="s">
        <v>1860</v>
      </c>
      <c r="AE63" s="83"/>
    </row>
    <row r="64" spans="1:53" s="77" customFormat="1" ht="22.5" customHeight="1" thickBot="1">
      <c r="A64" s="257" t="s">
        <v>2008</v>
      </c>
      <c r="B64" s="554">
        <v>0</v>
      </c>
      <c r="C64" s="244">
        <f>B64+D64+E64+F64+G64+I64+H64+J64+K64+L64+M64+N64+O64</f>
        <v>0.49999999999999994</v>
      </c>
      <c r="D64" s="525"/>
      <c r="E64" s="525"/>
      <c r="F64" s="525"/>
      <c r="G64" s="525">
        <v>0.05</v>
      </c>
      <c r="H64" s="525">
        <v>0.1</v>
      </c>
      <c r="I64" s="525">
        <v>0.1</v>
      </c>
      <c r="J64" s="525">
        <v>0.1</v>
      </c>
      <c r="K64" s="525">
        <v>0.1</v>
      </c>
      <c r="L64" s="525">
        <v>0.05</v>
      </c>
      <c r="M64" s="525"/>
      <c r="N64" s="525"/>
      <c r="O64" s="525"/>
      <c r="P64" s="490" t="s">
        <v>2011</v>
      </c>
      <c r="Q64" s="490" t="s">
        <v>2012</v>
      </c>
      <c r="R64" s="553" t="s">
        <v>2009</v>
      </c>
      <c r="S64" s="537" t="s">
        <v>2010</v>
      </c>
      <c r="T64" s="521" t="s">
        <v>1864</v>
      </c>
      <c r="U64" s="522">
        <f>BK64/1100000</f>
        <v>0</v>
      </c>
      <c r="V64" s="523" t="s">
        <v>1865</v>
      </c>
      <c r="W64" s="524" t="e">
        <f>U64*0.75-(#REF!+W65)</f>
        <v>#REF!</v>
      </c>
      <c r="X64" s="299" t="s">
        <v>1868</v>
      </c>
      <c r="Y64" s="547" t="s">
        <v>1869</v>
      </c>
      <c r="Z64" s="261"/>
      <c r="AA64" s="261"/>
      <c r="AB64" s="80" t="s">
        <v>1864</v>
      </c>
      <c r="AC64" s="81">
        <v>18500000</v>
      </c>
      <c r="AD64" s="82" t="s">
        <v>1871</v>
      </c>
      <c r="AE64" s="83">
        <v>0</v>
      </c>
      <c r="AF64" s="91" t="s">
        <v>1872</v>
      </c>
      <c r="AG64" s="92">
        <v>0</v>
      </c>
      <c r="AH64" s="92" t="s">
        <v>1873</v>
      </c>
      <c r="AI64" s="92">
        <v>0</v>
      </c>
      <c r="AJ64" s="92" t="s">
        <v>1856</v>
      </c>
      <c r="AK64" s="92">
        <v>0</v>
      </c>
      <c r="AL64" s="92" t="s">
        <v>1856</v>
      </c>
      <c r="AM64" s="92"/>
      <c r="AN64" s="92" t="s">
        <v>1856</v>
      </c>
      <c r="AO64" s="92"/>
      <c r="AP64" s="92"/>
      <c r="AQ64" s="92"/>
      <c r="AR64" s="92"/>
      <c r="AS64" s="92"/>
      <c r="AT64" s="92"/>
      <c r="AU64" s="92"/>
      <c r="AV64" s="92"/>
      <c r="AW64" s="92"/>
      <c r="AX64" s="92"/>
      <c r="AY64" s="92"/>
      <c r="AZ64" s="92"/>
      <c r="BA64" s="92"/>
    </row>
    <row r="65" spans="1:53" s="77" customFormat="1" ht="22.5" customHeight="1" thickBot="1">
      <c r="A65" s="258"/>
      <c r="B65" s="558"/>
      <c r="C65" s="245"/>
      <c r="D65" s="560"/>
      <c r="E65" s="560"/>
      <c r="F65" s="560"/>
      <c r="G65" s="560"/>
      <c r="H65" s="560"/>
      <c r="I65" s="560"/>
      <c r="J65" s="560"/>
      <c r="K65" s="560"/>
      <c r="L65" s="560"/>
      <c r="M65" s="560"/>
      <c r="N65" s="560"/>
      <c r="O65" s="560"/>
      <c r="P65" s="502"/>
      <c r="Q65" s="495"/>
      <c r="R65" s="557"/>
      <c r="S65" s="531" t="s">
        <v>2013</v>
      </c>
      <c r="T65" s="526" t="s">
        <v>1858</v>
      </c>
      <c r="U65" s="527" t="e">
        <f>U64-#REF!</f>
        <v>#REF!</v>
      </c>
      <c r="V65" s="532" t="s">
        <v>1859</v>
      </c>
      <c r="W65" s="529" t="e">
        <f>(#REF!+BM65)/1100000</f>
        <v>#REF!</v>
      </c>
      <c r="X65" s="89"/>
      <c r="Y65" s="73"/>
      <c r="Z65" s="261"/>
      <c r="AA65" s="261"/>
      <c r="AB65" s="80" t="s">
        <v>1858</v>
      </c>
      <c r="AC65" s="81" t="e">
        <f>AC64-#REF!</f>
        <v>#REF!</v>
      </c>
      <c r="AD65" s="82" t="s">
        <v>1860</v>
      </c>
      <c r="AE65" s="83"/>
    </row>
    <row r="66" spans="1:53" s="77" customFormat="1" ht="22.5" customHeight="1" thickBot="1">
      <c r="A66" s="257" t="s">
        <v>2014</v>
      </c>
      <c r="B66" s="554">
        <v>0</v>
      </c>
      <c r="C66" s="244">
        <f>B66+D66+E66+F66+G66+I66+H66+J66+K66+L66+M66+N66+O66</f>
        <v>0.39999999999999997</v>
      </c>
      <c r="D66" s="525"/>
      <c r="E66" s="525"/>
      <c r="F66" s="525"/>
      <c r="G66" s="525">
        <v>0.05</v>
      </c>
      <c r="H66" s="525">
        <v>0.05</v>
      </c>
      <c r="I66" s="525">
        <v>0.05</v>
      </c>
      <c r="J66" s="525">
        <v>0.05</v>
      </c>
      <c r="K66" s="525">
        <v>0.05</v>
      </c>
      <c r="L66" s="525">
        <v>0.05</v>
      </c>
      <c r="M66" s="525">
        <v>0.05</v>
      </c>
      <c r="N66" s="525">
        <v>0.05</v>
      </c>
      <c r="O66" s="525"/>
      <c r="P66" s="490" t="s">
        <v>2016</v>
      </c>
      <c r="Q66" s="490" t="s">
        <v>2017</v>
      </c>
      <c r="R66" s="553" t="s">
        <v>2015</v>
      </c>
      <c r="S66" s="537" t="s">
        <v>2010</v>
      </c>
      <c r="T66" s="521" t="s">
        <v>1864</v>
      </c>
      <c r="U66" s="522">
        <f>BK66/1100000</f>
        <v>0</v>
      </c>
      <c r="V66" s="523" t="s">
        <v>1865</v>
      </c>
      <c r="W66" s="524" t="e">
        <f>U66*0.75-(#REF!+W67)</f>
        <v>#REF!</v>
      </c>
      <c r="X66" s="299" t="s">
        <v>1868</v>
      </c>
      <c r="Y66" s="547" t="s">
        <v>1869</v>
      </c>
      <c r="Z66" s="261"/>
      <c r="AA66" s="261"/>
      <c r="AB66" s="80" t="s">
        <v>1864</v>
      </c>
      <c r="AC66" s="81">
        <v>255560000</v>
      </c>
      <c r="AD66" s="82" t="s">
        <v>1871</v>
      </c>
      <c r="AE66" s="83">
        <v>0</v>
      </c>
      <c r="AF66" s="91" t="s">
        <v>1872</v>
      </c>
      <c r="AG66" s="92">
        <v>0</v>
      </c>
      <c r="AH66" s="92" t="s">
        <v>1873</v>
      </c>
      <c r="AI66" s="92">
        <v>0</v>
      </c>
      <c r="AJ66" s="92" t="s">
        <v>1856</v>
      </c>
      <c r="AK66" s="92">
        <v>0</v>
      </c>
      <c r="AL66" s="92" t="s">
        <v>1856</v>
      </c>
      <c r="AM66" s="92"/>
      <c r="AN66" s="92" t="s">
        <v>1856</v>
      </c>
      <c r="AO66" s="92"/>
      <c r="AP66" s="92"/>
      <c r="AQ66" s="92"/>
      <c r="AR66" s="92"/>
      <c r="AS66" s="92"/>
      <c r="AT66" s="92"/>
      <c r="AU66" s="92"/>
      <c r="AV66" s="92"/>
      <c r="AW66" s="92"/>
      <c r="AX66" s="92"/>
      <c r="AY66" s="92"/>
      <c r="AZ66" s="92"/>
      <c r="BA66" s="92"/>
    </row>
    <row r="67" spans="1:53" ht="22.5" customHeight="1" thickBot="1">
      <c r="A67" s="258"/>
      <c r="B67" s="558"/>
      <c r="C67" s="245"/>
      <c r="D67" s="560"/>
      <c r="E67" s="560"/>
      <c r="F67" s="560"/>
      <c r="G67" s="560"/>
      <c r="H67" s="560"/>
      <c r="I67" s="560"/>
      <c r="J67" s="560"/>
      <c r="K67" s="560"/>
      <c r="L67" s="560"/>
      <c r="M67" s="560"/>
      <c r="N67" s="560"/>
      <c r="O67" s="560"/>
      <c r="P67" s="502"/>
      <c r="Q67" s="495"/>
      <c r="R67" s="557"/>
      <c r="S67" s="531"/>
      <c r="T67" s="526" t="s">
        <v>1858</v>
      </c>
      <c r="U67" s="527" t="e">
        <f>U66-#REF!</f>
        <v>#REF!</v>
      </c>
      <c r="V67" s="532" t="s">
        <v>1859</v>
      </c>
      <c r="W67" s="529" t="e">
        <f>(#REF!+BM67)/1100000</f>
        <v>#REF!</v>
      </c>
      <c r="X67" s="89"/>
      <c r="Y67" s="73"/>
      <c r="Z67" s="261"/>
      <c r="AA67" s="261"/>
      <c r="AB67" s="80" t="s">
        <v>1858</v>
      </c>
      <c r="AC67" s="81" t="e">
        <f>AC66-#REF!</f>
        <v>#REF!</v>
      </c>
      <c r="AD67" s="82" t="s">
        <v>1860</v>
      </c>
      <c r="AE67" s="83"/>
    </row>
    <row r="68" spans="1:53" ht="22.5" customHeight="1" thickBot="1">
      <c r="A68" s="257" t="s">
        <v>2018</v>
      </c>
      <c r="B68" s="554">
        <v>0</v>
      </c>
      <c r="C68" s="244">
        <f>B68+D68+E68+F68+G68+I68+H68+J68+K68+L68+M68+N68+O68</f>
        <v>0.89999999999999991</v>
      </c>
      <c r="D68" s="525"/>
      <c r="E68" s="525"/>
      <c r="F68" s="525"/>
      <c r="G68" s="525">
        <v>0.05</v>
      </c>
      <c r="H68" s="525">
        <v>0.05</v>
      </c>
      <c r="I68" s="525">
        <v>0.05</v>
      </c>
      <c r="J68" s="525">
        <v>0.1</v>
      </c>
      <c r="K68" s="525">
        <v>0.1</v>
      </c>
      <c r="L68" s="525">
        <v>0.05</v>
      </c>
      <c r="M68" s="525">
        <v>0.05</v>
      </c>
      <c r="N68" s="525">
        <v>0.45</v>
      </c>
      <c r="O68" s="525"/>
      <c r="P68" s="490" t="s">
        <v>2022</v>
      </c>
      <c r="Q68" s="490" t="s">
        <v>2023</v>
      </c>
      <c r="R68" s="553" t="s">
        <v>2019</v>
      </c>
      <c r="S68" s="537" t="s">
        <v>2021</v>
      </c>
      <c r="T68" s="521" t="s">
        <v>1864</v>
      </c>
      <c r="U68" s="522">
        <f>BK68/1100000</f>
        <v>0</v>
      </c>
      <c r="V68" s="523" t="s">
        <v>1865</v>
      </c>
      <c r="W68" s="524" t="e">
        <f>U68*0.75-(#REF!+W69)</f>
        <v>#REF!</v>
      </c>
      <c r="X68" s="299" t="s">
        <v>1868</v>
      </c>
      <c r="Y68" s="547" t="s">
        <v>1869</v>
      </c>
      <c r="Z68" s="261"/>
      <c r="AA68" s="261"/>
      <c r="AB68" s="80" t="s">
        <v>1864</v>
      </c>
      <c r="AC68" s="81">
        <v>31570000</v>
      </c>
      <c r="AD68" s="82" t="s">
        <v>1871</v>
      </c>
      <c r="AE68" s="83">
        <v>0</v>
      </c>
      <c r="AF68" s="91" t="s">
        <v>1872</v>
      </c>
      <c r="AG68" s="92">
        <v>0</v>
      </c>
      <c r="AH68" s="92" t="s">
        <v>1873</v>
      </c>
      <c r="AI68" s="92">
        <v>0</v>
      </c>
      <c r="AJ68" s="92" t="s">
        <v>1856</v>
      </c>
      <c r="AK68" s="92">
        <v>0</v>
      </c>
      <c r="AL68" s="92" t="s">
        <v>1856</v>
      </c>
      <c r="AM68" s="92"/>
      <c r="AN68" s="92" t="s">
        <v>1856</v>
      </c>
      <c r="AO68" s="92"/>
      <c r="AP68" s="92"/>
      <c r="AQ68" s="92"/>
      <c r="AR68" s="92"/>
      <c r="AS68" s="92"/>
      <c r="AT68" s="92"/>
      <c r="AU68" s="92"/>
      <c r="AV68" s="92"/>
      <c r="AW68" s="92"/>
      <c r="AX68" s="92"/>
      <c r="AY68" s="92"/>
      <c r="AZ68" s="92"/>
      <c r="BA68" s="92"/>
    </row>
    <row r="69" spans="1:53" ht="22.5" customHeight="1" thickBot="1">
      <c r="A69" s="258"/>
      <c r="B69" s="558"/>
      <c r="C69" s="245"/>
      <c r="D69" s="560"/>
      <c r="E69" s="560"/>
      <c r="F69" s="560"/>
      <c r="G69" s="560"/>
      <c r="H69" s="560"/>
      <c r="I69" s="560"/>
      <c r="J69" s="560"/>
      <c r="K69" s="560"/>
      <c r="L69" s="560"/>
      <c r="M69" s="560"/>
      <c r="N69" s="560"/>
      <c r="O69" s="560"/>
      <c r="P69" s="502"/>
      <c r="Q69" s="495"/>
      <c r="R69" s="557"/>
      <c r="S69" s="531"/>
      <c r="T69" s="526" t="s">
        <v>1858</v>
      </c>
      <c r="U69" s="527" t="e">
        <f>U68-#REF!</f>
        <v>#REF!</v>
      </c>
      <c r="V69" s="532" t="s">
        <v>1859</v>
      </c>
      <c r="W69" s="529" t="e">
        <f>(#REF!+BM69)/1100000</f>
        <v>#REF!</v>
      </c>
      <c r="X69" s="89"/>
      <c r="Y69" s="73"/>
      <c r="Z69" s="261"/>
      <c r="AA69" s="261"/>
      <c r="AB69" s="80" t="s">
        <v>1858</v>
      </c>
      <c r="AC69" s="81" t="e">
        <f>AC68-#REF!</f>
        <v>#REF!</v>
      </c>
      <c r="AD69" s="82" t="s">
        <v>1860</v>
      </c>
      <c r="AE69" s="83"/>
    </row>
    <row r="70" spans="1:53" ht="22.5" customHeight="1" thickBot="1">
      <c r="A70" s="257" t="s">
        <v>2024</v>
      </c>
      <c r="B70" s="554">
        <v>0</v>
      </c>
      <c r="C70" s="244">
        <f>B70+D70+E70+F70+G70+I70+H70+J70+K70+L70+M70+N70+O70</f>
        <v>0.19999999999999998</v>
      </c>
      <c r="D70" s="525"/>
      <c r="E70" s="525"/>
      <c r="F70" s="525"/>
      <c r="G70" s="525"/>
      <c r="H70" s="525">
        <v>0.05</v>
      </c>
      <c r="I70" s="525">
        <v>0.05</v>
      </c>
      <c r="J70" s="525">
        <v>0.02</v>
      </c>
      <c r="K70" s="525">
        <v>0.02</v>
      </c>
      <c r="L70" s="525">
        <v>0.02</v>
      </c>
      <c r="M70" s="525">
        <v>0.02</v>
      </c>
      <c r="N70" s="525">
        <v>0.02</v>
      </c>
      <c r="O70" s="525"/>
      <c r="P70" s="490" t="s">
        <v>2027</v>
      </c>
      <c r="Q70" s="490" t="s">
        <v>2028</v>
      </c>
      <c r="R70" s="553" t="s">
        <v>2025</v>
      </c>
      <c r="S70" s="537" t="s">
        <v>2026</v>
      </c>
      <c r="T70" s="521" t="s">
        <v>1864</v>
      </c>
      <c r="U70" s="522">
        <f>BK70/1100000</f>
        <v>0</v>
      </c>
      <c r="V70" s="523" t="s">
        <v>1865</v>
      </c>
      <c r="W70" s="524" t="e">
        <f>U70*0.75-(#REF!+W71)</f>
        <v>#REF!</v>
      </c>
      <c r="X70" s="299" t="s">
        <v>1868</v>
      </c>
      <c r="Y70" s="547" t="s">
        <v>1869</v>
      </c>
      <c r="Z70" s="261"/>
      <c r="AA70" s="261"/>
      <c r="AB70" s="80" t="s">
        <v>1864</v>
      </c>
      <c r="AC70" s="81">
        <v>362180000</v>
      </c>
      <c r="AD70" s="82" t="s">
        <v>1871</v>
      </c>
      <c r="AE70" s="83">
        <v>0</v>
      </c>
      <c r="AF70" s="91" t="s">
        <v>1872</v>
      </c>
      <c r="AG70" s="92">
        <v>0</v>
      </c>
      <c r="AH70" s="92" t="s">
        <v>1873</v>
      </c>
      <c r="AI70" s="92">
        <v>0</v>
      </c>
      <c r="AJ70" s="92" t="s">
        <v>1856</v>
      </c>
      <c r="AK70" s="92">
        <v>0</v>
      </c>
      <c r="AL70" s="92" t="s">
        <v>1856</v>
      </c>
      <c r="AM70" s="92"/>
      <c r="AN70" s="92" t="s">
        <v>1856</v>
      </c>
      <c r="AO70" s="92"/>
      <c r="AP70" s="92"/>
      <c r="AQ70" s="92"/>
      <c r="AR70" s="92"/>
      <c r="AS70" s="92"/>
      <c r="AT70" s="92"/>
      <c r="AU70" s="92"/>
      <c r="AV70" s="92"/>
      <c r="AW70" s="92"/>
      <c r="AX70" s="92"/>
      <c r="AY70" s="92"/>
      <c r="AZ70" s="92"/>
      <c r="BA70" s="92"/>
    </row>
    <row r="71" spans="1:53" ht="22.5" customHeight="1">
      <c r="A71" s="258"/>
      <c r="B71" s="558"/>
      <c r="C71" s="245"/>
      <c r="D71" s="560"/>
      <c r="E71" s="560"/>
      <c r="F71" s="560"/>
      <c r="G71" s="560"/>
      <c r="H71" s="560"/>
      <c r="I71" s="560"/>
      <c r="J71" s="560"/>
      <c r="K71" s="560"/>
      <c r="L71" s="560"/>
      <c r="M71" s="560"/>
      <c r="N71" s="560"/>
      <c r="O71" s="560"/>
      <c r="P71" s="502"/>
      <c r="Q71" s="495"/>
      <c r="R71" s="557"/>
      <c r="S71" s="531"/>
      <c r="T71" s="526" t="s">
        <v>1858</v>
      </c>
      <c r="U71" s="527" t="e">
        <f>U70-#REF!</f>
        <v>#REF!</v>
      </c>
      <c r="V71" s="532" t="s">
        <v>1859</v>
      </c>
      <c r="W71" s="529" t="e">
        <f>(#REF!+BM71)/1100000</f>
        <v>#REF!</v>
      </c>
      <c r="X71" s="89"/>
      <c r="Y71" s="73"/>
      <c r="Z71" s="261"/>
      <c r="AA71" s="261"/>
      <c r="AB71" s="80" t="s">
        <v>1858</v>
      </c>
      <c r="AC71" s="81" t="e">
        <f>AC70-#REF!</f>
        <v>#REF!</v>
      </c>
      <c r="AD71" s="82" t="s">
        <v>1860</v>
      </c>
      <c r="AE71" s="83"/>
    </row>
  </sheetData>
  <phoneticPr fontId="2" type="noConversion"/>
  <printOptions horizontalCentered="1"/>
  <pageMargins left="0.15748031496062992" right="0.15748031496062992" top="0.59055118110236227" bottom="0.39370078740157483" header="0.31496062992125984" footer="0.31496062992125984"/>
  <pageSetup paperSize="9" scale="98" orientation="landscape" r:id="rId1"/>
  <rowBreaks count="6" manualBreakCount="6">
    <brk id="13" max="34" man="1"/>
    <brk id="23" max="34" man="1"/>
    <brk id="33" max="34" man="1"/>
    <brk id="43" max="34" man="1"/>
    <brk id="53" max="34" man="1"/>
    <brk id="63" max="34"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C70"/>
  <sheetViews>
    <sheetView view="pageBreakPreview" zoomScaleSheetLayoutView="100" workbookViewId="0">
      <pane ySplit="2" topLeftCell="A19" activePane="bottomLeft" state="frozen"/>
      <selection activeCell="J78" sqref="J78"/>
      <selection pane="bottomLeft" activeCell="J78" sqref="J78"/>
    </sheetView>
  </sheetViews>
  <sheetFormatPr defaultColWidth="10.25" defaultRowHeight="30.75" customHeight="1"/>
  <cols>
    <col min="1" max="1" width="12.625" style="275" customWidth="1"/>
    <col min="2" max="2" width="5.5" style="282" customWidth="1"/>
    <col min="3" max="3" width="5.125" style="282" customWidth="1"/>
    <col min="4" max="15" width="8.875" style="275" customWidth="1"/>
    <col min="16" max="16" width="17.375" style="275" customWidth="1"/>
    <col min="17" max="19" width="9.625" style="275" customWidth="1"/>
    <col min="20" max="20" width="20.625" style="78" customWidth="1"/>
    <col min="21" max="21" width="9.875" style="275" customWidth="1"/>
    <col min="22" max="22" width="7" style="275" bestFit="1" customWidth="1"/>
    <col min="23" max="23" width="8.75" style="275" customWidth="1"/>
    <col min="24" max="24" width="7" style="275" bestFit="1" customWidth="1"/>
    <col min="25" max="25" width="8.625" style="275" customWidth="1"/>
    <col min="26" max="27" width="10.25" style="275"/>
    <col min="28" max="28" width="4.5" style="275" customWidth="1"/>
    <col min="29" max="29" width="6.125" style="275" customWidth="1"/>
    <col min="30" max="30" width="16" style="275" customWidth="1"/>
    <col min="31" max="31" width="14.625" style="277" customWidth="1"/>
    <col min="32" max="55" width="16" style="77" customWidth="1"/>
    <col min="56" max="16384" width="10.25" style="78"/>
  </cols>
  <sheetData>
    <row r="1" spans="1:55" ht="25.5" customHeight="1">
      <c r="A1" s="279" t="s">
        <v>2029</v>
      </c>
      <c r="Q1" s="393" t="s">
        <v>1030</v>
      </c>
      <c r="R1" s="393"/>
      <c r="S1" s="393"/>
    </row>
    <row r="2" spans="1:55" ht="25.5" customHeight="1" thickBot="1">
      <c r="A2" s="513" t="s">
        <v>1031</v>
      </c>
      <c r="B2" s="514" t="s">
        <v>1036</v>
      </c>
      <c r="C2" s="515" t="s">
        <v>1037</v>
      </c>
      <c r="D2" s="552" t="s">
        <v>768</v>
      </c>
      <c r="E2" s="552" t="s">
        <v>1052</v>
      </c>
      <c r="F2" s="552" t="s">
        <v>758</v>
      </c>
      <c r="G2" s="552" t="s">
        <v>759</v>
      </c>
      <c r="H2" s="552" t="s">
        <v>760</v>
      </c>
      <c r="I2" s="552" t="s">
        <v>761</v>
      </c>
      <c r="J2" s="552" t="s">
        <v>762</v>
      </c>
      <c r="K2" s="552" t="s">
        <v>763</v>
      </c>
      <c r="L2" s="552" t="s">
        <v>764</v>
      </c>
      <c r="M2" s="552" t="s">
        <v>765</v>
      </c>
      <c r="N2" s="552" t="s">
        <v>766</v>
      </c>
      <c r="O2" s="552" t="s">
        <v>702</v>
      </c>
      <c r="P2" s="513" t="s">
        <v>1038</v>
      </c>
      <c r="Q2" s="516" t="s">
        <v>1337</v>
      </c>
      <c r="R2" s="8" t="s">
        <v>770</v>
      </c>
      <c r="S2" s="8" t="s">
        <v>772</v>
      </c>
      <c r="T2" s="513" t="s">
        <v>1032</v>
      </c>
      <c r="U2" s="513" t="s">
        <v>1033</v>
      </c>
      <c r="V2" s="513" t="s">
        <v>1336</v>
      </c>
      <c r="W2" s="513"/>
      <c r="X2" s="551" t="s">
        <v>1067</v>
      </c>
      <c r="Y2" s="552"/>
      <c r="AB2" s="291" t="s">
        <v>1040</v>
      </c>
    </row>
    <row r="3" spans="1:55" ht="22.5" customHeight="1" thickBot="1">
      <c r="A3" s="490" t="s">
        <v>1272</v>
      </c>
      <c r="B3" s="554">
        <v>1</v>
      </c>
      <c r="C3" s="555">
        <f>B3+D3+E3+F3+G3+H3+I3+J3+K3+N3+L3+M3+O3</f>
        <v>1</v>
      </c>
      <c r="D3" s="525"/>
      <c r="E3" s="525"/>
      <c r="F3" s="525"/>
      <c r="G3" s="525"/>
      <c r="H3" s="525"/>
      <c r="I3" s="525"/>
      <c r="J3" s="525"/>
      <c r="K3" s="525"/>
      <c r="L3" s="525"/>
      <c r="M3" s="525"/>
      <c r="N3" s="525"/>
      <c r="O3" s="525"/>
      <c r="P3" s="490" t="s">
        <v>1846</v>
      </c>
      <c r="Q3" s="490" t="s">
        <v>996</v>
      </c>
      <c r="R3" s="533" t="s">
        <v>36</v>
      </c>
      <c r="S3" s="533">
        <v>36</v>
      </c>
      <c r="T3" s="553" t="s">
        <v>2030</v>
      </c>
      <c r="U3" s="520" t="s">
        <v>2031</v>
      </c>
      <c r="V3" s="521" t="s">
        <v>799</v>
      </c>
      <c r="W3" s="522">
        <f>BN3/1000000</f>
        <v>0</v>
      </c>
      <c r="X3" s="523" t="s">
        <v>832</v>
      </c>
      <c r="Y3" s="524" t="e">
        <f>W3-(#REF!+Y4)*1.1</f>
        <v>#REF!</v>
      </c>
      <c r="Z3" s="299" t="s">
        <v>812</v>
      </c>
      <c r="AA3" s="79" t="s">
        <v>813</v>
      </c>
      <c r="AB3" s="260" t="s">
        <v>1322</v>
      </c>
      <c r="AC3" s="80" t="s">
        <v>799</v>
      </c>
      <c r="AD3" s="81">
        <v>65000000</v>
      </c>
      <c r="AE3" s="82"/>
      <c r="AF3" s="83">
        <f>SUM(AG3:BC3)</f>
        <v>0</v>
      </c>
      <c r="AG3" s="91"/>
      <c r="AH3" s="92"/>
      <c r="AI3" s="92"/>
      <c r="AJ3" s="92"/>
      <c r="AK3" s="92"/>
      <c r="AL3" s="92"/>
      <c r="AM3" s="92"/>
      <c r="AN3" s="92"/>
      <c r="AO3" s="92"/>
      <c r="AP3" s="92"/>
      <c r="AQ3" s="92"/>
      <c r="AR3" s="92"/>
      <c r="AS3" s="92"/>
      <c r="AT3" s="92"/>
      <c r="AU3" s="92"/>
      <c r="AV3" s="92"/>
      <c r="AW3" s="92"/>
      <c r="AX3" s="92"/>
      <c r="AY3" s="92"/>
      <c r="AZ3" s="92"/>
      <c r="BA3" s="92"/>
      <c r="BB3" s="92"/>
      <c r="BC3" s="92"/>
    </row>
    <row r="4" spans="1:55" ht="22.5" customHeight="1" thickBot="1">
      <c r="A4" s="495"/>
      <c r="B4" s="558"/>
      <c r="C4" s="559"/>
      <c r="D4" s="780"/>
      <c r="E4" s="780"/>
      <c r="F4" s="780"/>
      <c r="G4" s="780"/>
      <c r="H4" s="780"/>
      <c r="I4" s="780"/>
      <c r="J4" s="780"/>
      <c r="K4" s="780"/>
      <c r="L4" s="780"/>
      <c r="M4" s="780"/>
      <c r="N4" s="780"/>
      <c r="O4" s="780"/>
      <c r="P4" s="502"/>
      <c r="Q4" s="495"/>
      <c r="R4" s="533"/>
      <c r="S4" s="533"/>
      <c r="T4" s="557"/>
      <c r="U4" s="531"/>
      <c r="V4" s="578" t="s">
        <v>1277</v>
      </c>
      <c r="W4" s="579"/>
      <c r="X4" s="532" t="s">
        <v>1080</v>
      </c>
      <c r="Y4" s="529">
        <f>BP4/1000000</f>
        <v>0</v>
      </c>
      <c r="Z4" s="89"/>
      <c r="AA4" s="73"/>
      <c r="AB4" s="261"/>
      <c r="AC4" s="80"/>
      <c r="AD4" s="81"/>
      <c r="AE4" s="82" t="s">
        <v>824</v>
      </c>
      <c r="AF4" s="83"/>
    </row>
    <row r="5" spans="1:55" ht="22.5" customHeight="1" thickBot="1">
      <c r="A5" s="490" t="s">
        <v>2032</v>
      </c>
      <c r="B5" s="554">
        <v>0.4</v>
      </c>
      <c r="C5" s="555">
        <f>B5+D5+E5+F5+G5+H5+I5+J5+K5+N5+L5+M5+O5</f>
        <v>0.48000000000000009</v>
      </c>
      <c r="D5" s="525">
        <v>0.02</v>
      </c>
      <c r="E5" s="525">
        <v>0.02</v>
      </c>
      <c r="F5" s="525">
        <v>0.02</v>
      </c>
      <c r="G5" s="525">
        <v>0.02</v>
      </c>
      <c r="H5" s="525"/>
      <c r="I5" s="525"/>
      <c r="J5" s="525"/>
      <c r="K5" s="525"/>
      <c r="L5" s="525"/>
      <c r="M5" s="525"/>
      <c r="N5" s="525"/>
      <c r="O5" s="525"/>
      <c r="P5" s="490" t="s">
        <v>2035</v>
      </c>
      <c r="Q5" s="490" t="s">
        <v>2036</v>
      </c>
      <c r="R5" s="533" t="s">
        <v>1283</v>
      </c>
      <c r="S5" s="533">
        <v>284</v>
      </c>
      <c r="T5" s="553" t="s">
        <v>2033</v>
      </c>
      <c r="U5" s="520" t="s">
        <v>2034</v>
      </c>
      <c r="V5" s="521" t="s">
        <v>799</v>
      </c>
      <c r="W5" s="522">
        <v>30</v>
      </c>
      <c r="X5" s="523" t="s">
        <v>832</v>
      </c>
      <c r="Y5" s="524" t="e">
        <f>W5-(#REF!+Y6)*1.1</f>
        <v>#REF!</v>
      </c>
      <c r="Z5" s="299" t="s">
        <v>812</v>
      </c>
      <c r="AA5" s="79" t="s">
        <v>813</v>
      </c>
      <c r="AB5" s="260" t="s">
        <v>1322</v>
      </c>
      <c r="AC5" s="80" t="s">
        <v>799</v>
      </c>
      <c r="AD5" s="81">
        <v>30000000</v>
      </c>
      <c r="AE5" s="82"/>
      <c r="AF5" s="83">
        <f>SUM(AG5:BC5)</f>
        <v>0</v>
      </c>
      <c r="AG5" s="91"/>
      <c r="AH5" s="92"/>
      <c r="AI5" s="92"/>
      <c r="AJ5" s="92"/>
      <c r="AK5" s="92"/>
      <c r="AL5" s="92"/>
      <c r="AM5" s="92"/>
      <c r="AN5" s="92"/>
      <c r="AO5" s="92"/>
      <c r="AP5" s="92"/>
      <c r="AQ5" s="92"/>
      <c r="AR5" s="92"/>
      <c r="AS5" s="92"/>
      <c r="AT5" s="92"/>
      <c r="AU5" s="92"/>
      <c r="AV5" s="92"/>
      <c r="AW5" s="92"/>
      <c r="AX5" s="92"/>
      <c r="AY5" s="92"/>
      <c r="AZ5" s="92"/>
      <c r="BA5" s="92"/>
      <c r="BB5" s="92"/>
      <c r="BC5" s="92"/>
    </row>
    <row r="6" spans="1:55" ht="22.5" customHeight="1" thickBot="1">
      <c r="A6" s="495"/>
      <c r="B6" s="558"/>
      <c r="C6" s="559"/>
      <c r="D6" s="780"/>
      <c r="E6" s="780"/>
      <c r="F6" s="780"/>
      <c r="G6" s="780"/>
      <c r="H6" s="780"/>
      <c r="I6" s="780"/>
      <c r="J6" s="780"/>
      <c r="K6" s="780"/>
      <c r="L6" s="780"/>
      <c r="M6" s="780"/>
      <c r="N6" s="780"/>
      <c r="O6" s="780"/>
      <c r="P6" s="502"/>
      <c r="Q6" s="495"/>
      <c r="R6" s="533"/>
      <c r="S6" s="533"/>
      <c r="T6" s="557"/>
      <c r="U6" s="531"/>
      <c r="V6" s="578" t="s">
        <v>1277</v>
      </c>
      <c r="W6" s="579"/>
      <c r="X6" s="532" t="s">
        <v>1080</v>
      </c>
      <c r="Y6" s="529">
        <f>BP6/1000000</f>
        <v>0</v>
      </c>
      <c r="Z6" s="89"/>
      <c r="AA6" s="73"/>
      <c r="AB6" s="261"/>
      <c r="AC6" s="80"/>
      <c r="AD6" s="81"/>
      <c r="AE6" s="82" t="s">
        <v>824</v>
      </c>
      <c r="AF6" s="83"/>
    </row>
    <row r="7" spans="1:55" ht="22.5" customHeight="1" thickBot="1">
      <c r="A7" s="507" t="s">
        <v>2037</v>
      </c>
      <c r="B7" s="554">
        <v>0.5</v>
      </c>
      <c r="C7" s="555">
        <f>B7+D7+E7+F7+G7+H7+I7+J7+K7+N7+L7+M7+O7</f>
        <v>0.5</v>
      </c>
      <c r="D7" s="525"/>
      <c r="E7" s="525"/>
      <c r="F7" s="525"/>
      <c r="G7" s="525"/>
      <c r="H7" s="525"/>
      <c r="I7" s="525"/>
      <c r="J7" s="525"/>
      <c r="K7" s="525"/>
      <c r="L7" s="525"/>
      <c r="M7" s="525"/>
      <c r="N7" s="525"/>
      <c r="O7" s="525"/>
      <c r="P7" s="490" t="s">
        <v>1853</v>
      </c>
      <c r="Q7" s="490" t="s">
        <v>78</v>
      </c>
      <c r="R7" s="533"/>
      <c r="S7" s="533"/>
      <c r="T7" s="553" t="s">
        <v>2038</v>
      </c>
      <c r="U7" s="520" t="s">
        <v>2039</v>
      </c>
      <c r="V7" s="521" t="s">
        <v>799</v>
      </c>
      <c r="W7" s="522">
        <f>BN7/1000000</f>
        <v>0</v>
      </c>
      <c r="X7" s="523" t="s">
        <v>832</v>
      </c>
      <c r="Y7" s="524" t="e">
        <f>W7-(#REF!+Y8)*1.1</f>
        <v>#REF!</v>
      </c>
      <c r="Z7" s="299" t="s">
        <v>90</v>
      </c>
      <c r="AA7" s="79" t="s">
        <v>34</v>
      </c>
      <c r="AB7" s="260"/>
      <c r="AC7" s="80" t="s">
        <v>104</v>
      </c>
      <c r="AD7" s="81">
        <v>107800000</v>
      </c>
      <c r="AE7" s="82"/>
      <c r="AF7" s="83">
        <f>SUM(AG7:BC7)</f>
        <v>0</v>
      </c>
      <c r="AG7" s="91"/>
      <c r="AH7" s="92"/>
      <c r="AI7" s="92"/>
      <c r="AJ7" s="92"/>
      <c r="AK7" s="92"/>
      <c r="AL7" s="92"/>
      <c r="AM7" s="92"/>
      <c r="AN7" s="92"/>
      <c r="AO7" s="92"/>
      <c r="AP7" s="92"/>
      <c r="AQ7" s="92"/>
      <c r="AR7" s="92"/>
      <c r="AS7" s="92"/>
      <c r="AT7" s="92"/>
      <c r="AU7" s="92"/>
      <c r="AV7" s="92"/>
      <c r="AW7" s="92"/>
      <c r="AX7" s="92"/>
      <c r="AY7" s="92"/>
      <c r="AZ7" s="92"/>
      <c r="BA7" s="92"/>
      <c r="BB7" s="92"/>
      <c r="BC7" s="92"/>
    </row>
    <row r="8" spans="1:55" ht="22.5" customHeight="1" thickBot="1">
      <c r="A8" s="508" t="s">
        <v>1061</v>
      </c>
      <c r="B8" s="558"/>
      <c r="C8" s="559"/>
      <c r="D8" s="780"/>
      <c r="E8" s="780"/>
      <c r="F8" s="780"/>
      <c r="G8" s="780"/>
      <c r="H8" s="780"/>
      <c r="I8" s="780"/>
      <c r="J8" s="780"/>
      <c r="K8" s="780"/>
      <c r="L8" s="780"/>
      <c r="M8" s="780"/>
      <c r="N8" s="780"/>
      <c r="O8" s="780"/>
      <c r="P8" s="502"/>
      <c r="Q8" s="495"/>
      <c r="R8" s="533"/>
      <c r="S8" s="533"/>
      <c r="T8" s="557"/>
      <c r="U8" s="531"/>
      <c r="V8" s="578" t="s">
        <v>27</v>
      </c>
      <c r="W8" s="579"/>
      <c r="X8" s="532" t="s">
        <v>207</v>
      </c>
      <c r="Y8" s="529">
        <f t="shared" ref="Y8" si="0">BP8/1000000</f>
        <v>0</v>
      </c>
      <c r="Z8" s="89"/>
      <c r="AA8" s="73"/>
      <c r="AB8" s="261"/>
      <c r="AC8" s="80"/>
      <c r="AD8" s="81"/>
      <c r="AE8" s="82" t="s">
        <v>100</v>
      </c>
      <c r="AF8" s="83"/>
    </row>
    <row r="9" spans="1:55" ht="22.5" customHeight="1" thickBot="1">
      <c r="A9" s="490" t="s">
        <v>1122</v>
      </c>
      <c r="B9" s="554">
        <v>0.89</v>
      </c>
      <c r="C9" s="555">
        <f>B9+D9+E9+F9+G9+H9+I9+J9+K9+N9+L9+M9+O9</f>
        <v>1</v>
      </c>
      <c r="D9" s="525">
        <v>0.11</v>
      </c>
      <c r="E9" s="525"/>
      <c r="F9" s="525"/>
      <c r="G9" s="525"/>
      <c r="H9" s="525"/>
      <c r="I9" s="525"/>
      <c r="J9" s="525"/>
      <c r="K9" s="525"/>
      <c r="L9" s="525"/>
      <c r="M9" s="525"/>
      <c r="N9" s="525"/>
      <c r="O9" s="525"/>
      <c r="P9" s="490" t="s">
        <v>2041</v>
      </c>
      <c r="Q9" s="490" t="s">
        <v>2042</v>
      </c>
      <c r="R9" s="533" t="s">
        <v>36</v>
      </c>
      <c r="S9" s="533">
        <v>310</v>
      </c>
      <c r="T9" s="553" t="s">
        <v>2040</v>
      </c>
      <c r="U9" s="520">
        <v>19.059999999999999</v>
      </c>
      <c r="V9" s="521" t="s">
        <v>104</v>
      </c>
      <c r="W9" s="522">
        <f>BN9/1000000</f>
        <v>0</v>
      </c>
      <c r="X9" s="523" t="s">
        <v>7</v>
      </c>
      <c r="Y9" s="524" t="e">
        <f>W9-(#REF!+Y10)*1.1</f>
        <v>#REF!</v>
      </c>
      <c r="Z9" s="299" t="s">
        <v>2043</v>
      </c>
      <c r="AA9" s="79" t="s">
        <v>2044</v>
      </c>
      <c r="AB9" s="260"/>
      <c r="AC9" s="80" t="s">
        <v>2045</v>
      </c>
      <c r="AD9" s="81">
        <v>21160000</v>
      </c>
      <c r="AE9" s="82"/>
      <c r="AF9" s="83">
        <f>SUM(AG9:BC9)</f>
        <v>0</v>
      </c>
      <c r="AG9" s="91"/>
      <c r="AH9" s="92"/>
      <c r="AI9" s="92"/>
      <c r="AJ9" s="92"/>
      <c r="AK9" s="92"/>
      <c r="AL9" s="92"/>
      <c r="AM9" s="92"/>
      <c r="AN9" s="92"/>
      <c r="AO9" s="92"/>
      <c r="AP9" s="92"/>
      <c r="AQ9" s="92"/>
      <c r="AR9" s="92"/>
      <c r="AS9" s="92"/>
      <c r="AT9" s="92"/>
      <c r="AU9" s="92"/>
      <c r="AV9" s="92"/>
      <c r="AW9" s="92"/>
      <c r="AX9" s="92"/>
      <c r="AY9" s="92"/>
      <c r="AZ9" s="92"/>
      <c r="BA9" s="92"/>
      <c r="BB9" s="92"/>
      <c r="BC9" s="92"/>
    </row>
    <row r="10" spans="1:55" ht="22.5" customHeight="1" thickBot="1">
      <c r="A10" s="495"/>
      <c r="B10" s="558"/>
      <c r="C10" s="559"/>
      <c r="D10" s="780"/>
      <c r="E10" s="780"/>
      <c r="F10" s="780"/>
      <c r="G10" s="780"/>
      <c r="H10" s="780"/>
      <c r="I10" s="780"/>
      <c r="J10" s="780"/>
      <c r="K10" s="780"/>
      <c r="L10" s="780"/>
      <c r="M10" s="780"/>
      <c r="N10" s="780"/>
      <c r="O10" s="780"/>
      <c r="P10" s="502"/>
      <c r="Q10" s="495"/>
      <c r="R10" s="533"/>
      <c r="S10" s="533"/>
      <c r="T10" s="557"/>
      <c r="U10" s="531"/>
      <c r="V10" s="578" t="s">
        <v>2047</v>
      </c>
      <c r="W10" s="579"/>
      <c r="X10" s="532" t="s">
        <v>2046</v>
      </c>
      <c r="Y10" s="529">
        <f t="shared" ref="Y10" si="1">BP10/1000000</f>
        <v>0</v>
      </c>
      <c r="Z10" s="89"/>
      <c r="AA10" s="73"/>
      <c r="AB10" s="261"/>
      <c r="AC10" s="80"/>
      <c r="AD10" s="81"/>
      <c r="AE10" s="82" t="s">
        <v>2048</v>
      </c>
      <c r="AF10" s="83"/>
    </row>
    <row r="11" spans="1:55" ht="22.5" customHeight="1" thickBot="1">
      <c r="A11" s="507" t="s">
        <v>2049</v>
      </c>
      <c r="B11" s="554">
        <v>1</v>
      </c>
      <c r="C11" s="555">
        <f>B11+D11+E11+F11+G11+H11+I11+J11+K11+N11+L11+M11+O11</f>
        <v>1</v>
      </c>
      <c r="D11" s="525"/>
      <c r="E11" s="525"/>
      <c r="F11" s="525"/>
      <c r="G11" s="525"/>
      <c r="H11" s="525"/>
      <c r="I11" s="525"/>
      <c r="J11" s="525"/>
      <c r="K11" s="525"/>
      <c r="L11" s="525"/>
      <c r="M11" s="525"/>
      <c r="N11" s="525"/>
      <c r="O11" s="525"/>
      <c r="P11" s="490" t="s">
        <v>2041</v>
      </c>
      <c r="Q11" s="490" t="s">
        <v>2042</v>
      </c>
      <c r="R11" s="533" t="s">
        <v>36</v>
      </c>
      <c r="S11" s="533">
        <v>275</v>
      </c>
      <c r="T11" s="553" t="s">
        <v>2050</v>
      </c>
      <c r="U11" s="520">
        <v>19.03</v>
      </c>
      <c r="V11" s="521" t="s">
        <v>2045</v>
      </c>
      <c r="W11" s="522">
        <f>BN11/1000000</f>
        <v>0</v>
      </c>
      <c r="X11" s="523" t="s">
        <v>2051</v>
      </c>
      <c r="Y11" s="524" t="e">
        <f>W11-(#REF!+Y12)*1.1</f>
        <v>#REF!</v>
      </c>
      <c r="Z11" s="299" t="s">
        <v>2043</v>
      </c>
      <c r="AA11" s="79" t="s">
        <v>2044</v>
      </c>
      <c r="AB11" s="260"/>
      <c r="AC11" s="80" t="s">
        <v>2045</v>
      </c>
      <c r="AD11" s="81">
        <v>58000000</v>
      </c>
      <c r="AE11" s="82"/>
      <c r="AF11" s="83">
        <f>SUM(AG11:BC11)</f>
        <v>0</v>
      </c>
      <c r="AG11" s="91"/>
      <c r="AH11" s="92"/>
      <c r="AI11" s="92"/>
      <c r="AJ11" s="92"/>
      <c r="AK11" s="92"/>
      <c r="AL11" s="92"/>
      <c r="AM11" s="92"/>
      <c r="AN11" s="92"/>
      <c r="AO11" s="92"/>
      <c r="AP11" s="92"/>
      <c r="AQ11" s="92"/>
      <c r="AR11" s="92"/>
      <c r="AS11" s="92"/>
      <c r="AT11" s="92"/>
      <c r="AU11" s="92"/>
      <c r="AV11" s="92"/>
      <c r="AW11" s="92"/>
      <c r="AX11" s="92"/>
      <c r="AY11" s="92"/>
      <c r="AZ11" s="92"/>
      <c r="BA11" s="92"/>
      <c r="BB11" s="92"/>
      <c r="BC11" s="92"/>
    </row>
    <row r="12" spans="1:55" ht="22.5" customHeight="1" thickBot="1">
      <c r="A12" s="508" t="s">
        <v>2204</v>
      </c>
      <c r="B12" s="558"/>
      <c r="C12" s="559"/>
      <c r="D12" s="780"/>
      <c r="E12" s="780"/>
      <c r="F12" s="780"/>
      <c r="G12" s="780"/>
      <c r="H12" s="780"/>
      <c r="I12" s="780"/>
      <c r="J12" s="780"/>
      <c r="K12" s="780"/>
      <c r="L12" s="780"/>
      <c r="M12" s="780"/>
      <c r="N12" s="780"/>
      <c r="O12" s="780"/>
      <c r="P12" s="502"/>
      <c r="Q12" s="495"/>
      <c r="R12" s="533"/>
      <c r="S12" s="533"/>
      <c r="T12" s="557"/>
      <c r="U12" s="531"/>
      <c r="V12" s="578" t="s">
        <v>2047</v>
      </c>
      <c r="W12" s="579"/>
      <c r="X12" s="532" t="s">
        <v>2046</v>
      </c>
      <c r="Y12" s="529">
        <f t="shared" ref="Y12" si="2">BP12/1000000</f>
        <v>0</v>
      </c>
      <c r="Z12" s="89"/>
      <c r="AA12" s="73"/>
      <c r="AB12" s="261"/>
      <c r="AC12" s="80"/>
      <c r="AD12" s="81"/>
      <c r="AE12" s="82" t="s">
        <v>2048</v>
      </c>
      <c r="AF12" s="83"/>
    </row>
    <row r="13" spans="1:55" ht="22.5" customHeight="1" thickBot="1">
      <c r="A13" s="490" t="s">
        <v>2052</v>
      </c>
      <c r="B13" s="554">
        <v>1</v>
      </c>
      <c r="C13" s="555">
        <f>B13+D13+E13+F13+G13+H13+I13+J13+K13+N13+L13+M13+O13</f>
        <v>1</v>
      </c>
      <c r="D13" s="525"/>
      <c r="E13" s="525"/>
      <c r="F13" s="525"/>
      <c r="G13" s="525"/>
      <c r="H13" s="525"/>
      <c r="I13" s="525"/>
      <c r="J13" s="525"/>
      <c r="K13" s="525"/>
      <c r="L13" s="525"/>
      <c r="M13" s="525"/>
      <c r="N13" s="525"/>
      <c r="O13" s="525"/>
      <c r="P13" s="490" t="s">
        <v>2041</v>
      </c>
      <c r="Q13" s="490" t="s">
        <v>2054</v>
      </c>
      <c r="R13" s="533" t="s">
        <v>1283</v>
      </c>
      <c r="S13" s="533">
        <v>232</v>
      </c>
      <c r="T13" s="700" t="s">
        <v>2053</v>
      </c>
      <c r="U13" s="520">
        <v>18.09</v>
      </c>
      <c r="V13" s="410" t="s">
        <v>2045</v>
      </c>
      <c r="W13" s="522">
        <f>BN13/1000000</f>
        <v>0</v>
      </c>
      <c r="X13" s="412" t="s">
        <v>2051</v>
      </c>
      <c r="Y13" s="524" t="e">
        <f>W13-(#REF!+Y14)*1.1</f>
        <v>#REF!</v>
      </c>
      <c r="Z13" s="299" t="s">
        <v>2043</v>
      </c>
      <c r="AA13" s="79" t="s">
        <v>2044</v>
      </c>
      <c r="AB13" s="797"/>
      <c r="AC13" s="80" t="s">
        <v>2045</v>
      </c>
      <c r="AD13" s="81">
        <v>57750000</v>
      </c>
      <c r="AE13" s="82"/>
      <c r="AF13" s="83">
        <f>SUM(AG13:BC13)</f>
        <v>0</v>
      </c>
      <c r="AG13" s="91"/>
      <c r="AH13" s="92"/>
      <c r="AI13" s="92"/>
      <c r="AJ13" s="92"/>
      <c r="AK13" s="92"/>
      <c r="AL13" s="92"/>
      <c r="AM13" s="92"/>
      <c r="AN13" s="92"/>
      <c r="AO13" s="92"/>
      <c r="AP13" s="92"/>
      <c r="AQ13" s="92"/>
      <c r="AR13" s="92"/>
      <c r="AS13" s="92"/>
      <c r="AT13" s="92"/>
      <c r="AU13" s="92"/>
      <c r="AV13" s="92"/>
      <c r="AW13" s="92"/>
      <c r="AX13" s="92"/>
      <c r="AY13" s="92"/>
      <c r="AZ13" s="92"/>
      <c r="BA13" s="92"/>
      <c r="BB13" s="92"/>
      <c r="BC13" s="92"/>
    </row>
    <row r="14" spans="1:55" ht="22.5" customHeight="1" thickBot="1">
      <c r="A14" s="495"/>
      <c r="B14" s="558"/>
      <c r="C14" s="559"/>
      <c r="D14" s="780"/>
      <c r="E14" s="780"/>
      <c r="F14" s="780"/>
      <c r="G14" s="780"/>
      <c r="H14" s="780"/>
      <c r="I14" s="780"/>
      <c r="J14" s="780"/>
      <c r="K14" s="780"/>
      <c r="L14" s="780"/>
      <c r="M14" s="780"/>
      <c r="N14" s="780"/>
      <c r="O14" s="780"/>
      <c r="P14" s="502"/>
      <c r="Q14" s="495"/>
      <c r="R14" s="533"/>
      <c r="S14" s="533"/>
      <c r="T14" s="784"/>
      <c r="U14" s="593"/>
      <c r="V14" s="578" t="s">
        <v>2047</v>
      </c>
      <c r="W14" s="579"/>
      <c r="X14" s="532" t="s">
        <v>2046</v>
      </c>
      <c r="Y14" s="529">
        <f t="shared" ref="Y14" si="3">BP14/1000000</f>
        <v>0</v>
      </c>
      <c r="Z14" s="89"/>
      <c r="AA14" s="73"/>
      <c r="AB14" s="798"/>
      <c r="AC14" s="80"/>
      <c r="AD14" s="81"/>
      <c r="AE14" s="82" t="s">
        <v>2048</v>
      </c>
      <c r="AF14" s="83"/>
    </row>
    <row r="15" spans="1:55" ht="22.5" customHeight="1" thickBot="1">
      <c r="A15" s="490" t="s">
        <v>2055</v>
      </c>
      <c r="B15" s="554">
        <v>1</v>
      </c>
      <c r="C15" s="555">
        <f>B15+D15+E15+F15+G15+H15+I15+J15+K15+N15+L15+M15+O15</f>
        <v>1</v>
      </c>
      <c r="D15" s="525"/>
      <c r="E15" s="525"/>
      <c r="F15" s="525"/>
      <c r="G15" s="525"/>
      <c r="H15" s="525"/>
      <c r="I15" s="525"/>
      <c r="J15" s="525"/>
      <c r="K15" s="525"/>
      <c r="L15" s="525"/>
      <c r="M15" s="525"/>
      <c r="N15" s="525"/>
      <c r="O15" s="525"/>
      <c r="P15" s="490" t="s">
        <v>2041</v>
      </c>
      <c r="Q15" s="490" t="s">
        <v>2054</v>
      </c>
      <c r="R15" s="533" t="s">
        <v>36</v>
      </c>
      <c r="S15" s="533">
        <v>125</v>
      </c>
      <c r="T15" s="553" t="s">
        <v>2056</v>
      </c>
      <c r="U15" s="520">
        <v>16.079999999999998</v>
      </c>
      <c r="V15" s="410" t="s">
        <v>2045</v>
      </c>
      <c r="W15" s="522">
        <f>BN15/1000000</f>
        <v>0</v>
      </c>
      <c r="X15" s="412" t="s">
        <v>2051</v>
      </c>
      <c r="Y15" s="524" t="e">
        <f>W15-(#REF!+Y16)*1.1</f>
        <v>#REF!</v>
      </c>
      <c r="Z15" s="299" t="s">
        <v>2043</v>
      </c>
      <c r="AA15" s="79" t="s">
        <v>2044</v>
      </c>
      <c r="AB15" s="260"/>
      <c r="AC15" s="80" t="s">
        <v>2045</v>
      </c>
      <c r="AD15" s="81">
        <v>75000000</v>
      </c>
      <c r="AE15" s="82"/>
      <c r="AF15" s="83">
        <f>SUM(AG15:BC15)</f>
        <v>0</v>
      </c>
      <c r="AG15" s="91"/>
      <c r="AH15" s="92"/>
      <c r="AI15" s="92"/>
      <c r="AJ15" s="92"/>
      <c r="AK15" s="92"/>
      <c r="AL15" s="92"/>
      <c r="AM15" s="92"/>
      <c r="AN15" s="92"/>
      <c r="AO15" s="92"/>
      <c r="AP15" s="92"/>
      <c r="AQ15" s="92"/>
      <c r="AR15" s="92"/>
      <c r="AS15" s="92"/>
      <c r="AT15" s="92"/>
      <c r="AU15" s="92"/>
      <c r="AV15" s="92"/>
      <c r="AW15" s="92"/>
      <c r="AX15" s="92"/>
      <c r="AY15" s="92"/>
      <c r="AZ15" s="92"/>
      <c r="BA15" s="92"/>
      <c r="BB15" s="92"/>
      <c r="BC15" s="92"/>
    </row>
    <row r="16" spans="1:55" ht="22.5" customHeight="1" thickBot="1">
      <c r="A16" s="495"/>
      <c r="B16" s="558"/>
      <c r="C16" s="559"/>
      <c r="D16" s="780"/>
      <c r="E16" s="780"/>
      <c r="F16" s="780"/>
      <c r="G16" s="780"/>
      <c r="H16" s="780"/>
      <c r="I16" s="780"/>
      <c r="J16" s="780"/>
      <c r="K16" s="780"/>
      <c r="L16" s="780"/>
      <c r="M16" s="780"/>
      <c r="N16" s="780"/>
      <c r="O16" s="780"/>
      <c r="P16" s="502"/>
      <c r="Q16" s="495"/>
      <c r="R16" s="533"/>
      <c r="S16" s="533"/>
      <c r="T16" s="557"/>
      <c r="U16" s="593"/>
      <c r="V16" s="578" t="s">
        <v>2047</v>
      </c>
      <c r="W16" s="579"/>
      <c r="X16" s="532" t="s">
        <v>2046</v>
      </c>
      <c r="Y16" s="529">
        <f t="shared" ref="Y16" si="4">BP16/1000000</f>
        <v>0</v>
      </c>
      <c r="Z16" s="89"/>
      <c r="AA16" s="73"/>
      <c r="AB16" s="261"/>
      <c r="AC16" s="80"/>
      <c r="AD16" s="81"/>
      <c r="AE16" s="82" t="s">
        <v>2048</v>
      </c>
      <c r="AF16" s="83"/>
    </row>
    <row r="17" spans="1:55" ht="22.5" customHeight="1" thickBot="1">
      <c r="A17" s="490" t="s">
        <v>2057</v>
      </c>
      <c r="B17" s="554">
        <v>0.35</v>
      </c>
      <c r="C17" s="555">
        <f>B17+D17+E17+F17+G17+H17+I17+J17+K17+N17+L17+M17+O17</f>
        <v>0.35</v>
      </c>
      <c r="D17" s="525"/>
      <c r="E17" s="525"/>
      <c r="F17" s="525"/>
      <c r="G17" s="525"/>
      <c r="H17" s="525"/>
      <c r="I17" s="525"/>
      <c r="J17" s="525"/>
      <c r="K17" s="525"/>
      <c r="L17" s="525"/>
      <c r="M17" s="525"/>
      <c r="N17" s="525"/>
      <c r="O17" s="525"/>
      <c r="P17" s="490" t="s">
        <v>2059</v>
      </c>
      <c r="Q17" s="490" t="s">
        <v>2054</v>
      </c>
      <c r="R17" s="533" t="s">
        <v>1283</v>
      </c>
      <c r="S17" s="533">
        <v>273</v>
      </c>
      <c r="T17" s="553" t="s">
        <v>2058</v>
      </c>
      <c r="U17" s="520">
        <v>18.03</v>
      </c>
      <c r="V17" s="410" t="s">
        <v>2045</v>
      </c>
      <c r="W17" s="522">
        <f>BN17/1000000</f>
        <v>0</v>
      </c>
      <c r="X17" s="412" t="s">
        <v>2051</v>
      </c>
      <c r="Y17" s="524" t="e">
        <f>W17-(#REF!+Y18)*1.1</f>
        <v>#REF!</v>
      </c>
      <c r="Z17" s="299" t="s">
        <v>2043</v>
      </c>
      <c r="AA17" s="79" t="s">
        <v>2044</v>
      </c>
      <c r="AB17" s="260"/>
      <c r="AC17" s="80" t="s">
        <v>2045</v>
      </c>
      <c r="AD17" s="81">
        <v>130000000</v>
      </c>
      <c r="AE17" s="82"/>
      <c r="AF17" s="83">
        <f>SUM(AG17:BC17)</f>
        <v>0</v>
      </c>
      <c r="AG17" s="91"/>
      <c r="AH17" s="92"/>
      <c r="AI17" s="92"/>
      <c r="AJ17" s="92"/>
      <c r="AK17" s="92"/>
      <c r="AL17" s="92"/>
      <c r="AM17" s="92"/>
      <c r="AN17" s="92"/>
      <c r="AO17" s="92"/>
      <c r="AP17" s="92"/>
      <c r="AQ17" s="92"/>
      <c r="AR17" s="92"/>
      <c r="AS17" s="92"/>
      <c r="AT17" s="92"/>
      <c r="AU17" s="92"/>
      <c r="AV17" s="92"/>
      <c r="AW17" s="92"/>
      <c r="AX17" s="92"/>
      <c r="AY17" s="92"/>
      <c r="AZ17" s="92"/>
      <c r="BA17" s="92"/>
      <c r="BB17" s="92"/>
      <c r="BC17" s="92"/>
    </row>
    <row r="18" spans="1:55" ht="22.5" customHeight="1" thickBot="1">
      <c r="A18" s="495"/>
      <c r="B18" s="558"/>
      <c r="C18" s="559"/>
      <c r="D18" s="780"/>
      <c r="E18" s="780"/>
      <c r="F18" s="780"/>
      <c r="G18" s="780"/>
      <c r="H18" s="780"/>
      <c r="I18" s="780"/>
      <c r="J18" s="780"/>
      <c r="K18" s="780"/>
      <c r="L18" s="780"/>
      <c r="M18" s="780"/>
      <c r="N18" s="780"/>
      <c r="O18" s="780"/>
      <c r="P18" s="502"/>
      <c r="Q18" s="495"/>
      <c r="R18" s="533"/>
      <c r="S18" s="533"/>
      <c r="T18" s="557"/>
      <c r="U18" s="593"/>
      <c r="V18" s="578" t="s">
        <v>2047</v>
      </c>
      <c r="W18" s="579"/>
      <c r="X18" s="532" t="s">
        <v>2046</v>
      </c>
      <c r="Y18" s="529">
        <f t="shared" ref="Y18" si="5">BP18/1000000</f>
        <v>0</v>
      </c>
      <c r="Z18" s="89"/>
      <c r="AA18" s="73"/>
      <c r="AB18" s="261"/>
      <c r="AC18" s="80"/>
      <c r="AD18" s="81"/>
      <c r="AE18" s="82" t="s">
        <v>2048</v>
      </c>
      <c r="AF18" s="83"/>
    </row>
    <row r="19" spans="1:55" ht="22.5" customHeight="1" thickBot="1">
      <c r="A19" s="490" t="s">
        <v>2060</v>
      </c>
      <c r="B19" s="554">
        <v>0</v>
      </c>
      <c r="C19" s="555">
        <f>B19+D19+E19+F19+G19+H19+I19+J19+K19+N19+L19+M19+O19</f>
        <v>0</v>
      </c>
      <c r="D19" s="525"/>
      <c r="E19" s="525"/>
      <c r="F19" s="525"/>
      <c r="G19" s="525"/>
      <c r="H19" s="525"/>
      <c r="I19" s="525"/>
      <c r="J19" s="525"/>
      <c r="K19" s="525"/>
      <c r="L19" s="525"/>
      <c r="M19" s="525"/>
      <c r="N19" s="525"/>
      <c r="O19" s="525"/>
      <c r="P19" s="490" t="s">
        <v>2059</v>
      </c>
      <c r="Q19" s="490" t="s">
        <v>2042</v>
      </c>
      <c r="R19" s="533" t="s">
        <v>1283</v>
      </c>
      <c r="S19" s="533">
        <v>309</v>
      </c>
      <c r="T19" s="553" t="s">
        <v>2061</v>
      </c>
      <c r="U19" s="520">
        <v>19.03</v>
      </c>
      <c r="V19" s="410" t="s">
        <v>2045</v>
      </c>
      <c r="W19" s="522">
        <f>BN19/1000000</f>
        <v>0</v>
      </c>
      <c r="X19" s="412" t="s">
        <v>2051</v>
      </c>
      <c r="Y19" s="524" t="e">
        <f>W19-(#REF!+Y20)*1.1</f>
        <v>#REF!</v>
      </c>
      <c r="Z19" s="299" t="s">
        <v>2043</v>
      </c>
      <c r="AA19" s="79" t="s">
        <v>2044</v>
      </c>
      <c r="AB19" s="260"/>
      <c r="AC19" s="80" t="s">
        <v>2045</v>
      </c>
      <c r="AD19" s="81">
        <v>43690000</v>
      </c>
      <c r="AE19" s="82"/>
      <c r="AF19" s="83">
        <f>SUM(AG19:BC19)</f>
        <v>0</v>
      </c>
      <c r="AG19" s="91"/>
      <c r="AH19" s="92"/>
      <c r="AI19" s="92"/>
      <c r="AJ19" s="92"/>
      <c r="AK19" s="92"/>
      <c r="AL19" s="92"/>
      <c r="AM19" s="92"/>
      <c r="AN19" s="92"/>
      <c r="AO19" s="92"/>
      <c r="AP19" s="92"/>
      <c r="AQ19" s="92"/>
      <c r="AR19" s="92"/>
      <c r="AS19" s="92"/>
      <c r="AT19" s="92"/>
      <c r="AU19" s="92"/>
      <c r="AV19" s="92"/>
      <c r="AW19" s="92"/>
      <c r="AX19" s="92"/>
      <c r="AY19" s="92"/>
      <c r="AZ19" s="92"/>
      <c r="BA19" s="92"/>
      <c r="BB19" s="92"/>
      <c r="BC19" s="92"/>
    </row>
    <row r="20" spans="1:55" ht="22.5" customHeight="1" thickBot="1">
      <c r="A20" s="495"/>
      <c r="B20" s="558"/>
      <c r="C20" s="559"/>
      <c r="D20" s="780"/>
      <c r="E20" s="780"/>
      <c r="F20" s="780"/>
      <c r="G20" s="780"/>
      <c r="H20" s="780"/>
      <c r="I20" s="780"/>
      <c r="J20" s="780"/>
      <c r="K20" s="780"/>
      <c r="L20" s="780"/>
      <c r="M20" s="780"/>
      <c r="N20" s="780"/>
      <c r="O20" s="780"/>
      <c r="P20" s="502"/>
      <c r="Q20" s="495"/>
      <c r="R20" s="533"/>
      <c r="S20" s="533"/>
      <c r="T20" s="557"/>
      <c r="U20" s="593"/>
      <c r="V20" s="578" t="s">
        <v>2047</v>
      </c>
      <c r="W20" s="579"/>
      <c r="X20" s="532" t="s">
        <v>2046</v>
      </c>
      <c r="Y20" s="529">
        <f t="shared" ref="Y20" si="6">BP20/1000000</f>
        <v>0</v>
      </c>
      <c r="Z20" s="89"/>
      <c r="AA20" s="73"/>
      <c r="AB20" s="261"/>
      <c r="AC20" s="80"/>
      <c r="AD20" s="81"/>
      <c r="AE20" s="82" t="s">
        <v>2048</v>
      </c>
      <c r="AF20" s="83"/>
    </row>
    <row r="21" spans="1:55" ht="22.5" customHeight="1" thickBot="1">
      <c r="A21" s="490" t="s">
        <v>2062</v>
      </c>
      <c r="B21" s="554">
        <v>0.65</v>
      </c>
      <c r="C21" s="555">
        <f>B21+D21+E21+F21+G21+H21+I21+J21+K21+N21+L21+M21+O21</f>
        <v>0.75000000000000011</v>
      </c>
      <c r="D21" s="525"/>
      <c r="E21" s="525">
        <v>0.01</v>
      </c>
      <c r="F21" s="525">
        <v>0.01</v>
      </c>
      <c r="G21" s="525">
        <v>0.01</v>
      </c>
      <c r="H21" s="525">
        <v>0.01</v>
      </c>
      <c r="I21" s="525">
        <v>0.01</v>
      </c>
      <c r="J21" s="525">
        <v>0.01</v>
      </c>
      <c r="K21" s="525">
        <v>0.01</v>
      </c>
      <c r="L21" s="525">
        <v>0.01</v>
      </c>
      <c r="M21" s="525">
        <v>0.01</v>
      </c>
      <c r="N21" s="525">
        <v>0.01</v>
      </c>
      <c r="O21" s="525"/>
      <c r="P21" s="490" t="s">
        <v>2064</v>
      </c>
      <c r="Q21" s="490" t="s">
        <v>2065</v>
      </c>
      <c r="R21" s="533" t="s">
        <v>1283</v>
      </c>
      <c r="S21" s="533">
        <v>189</v>
      </c>
      <c r="T21" s="553" t="s">
        <v>2063</v>
      </c>
      <c r="U21" s="520">
        <v>17.03</v>
      </c>
      <c r="V21" s="410" t="s">
        <v>2045</v>
      </c>
      <c r="W21" s="522">
        <f>BN21/1000000</f>
        <v>0</v>
      </c>
      <c r="X21" s="412" t="s">
        <v>2051</v>
      </c>
      <c r="Y21" s="524" t="e">
        <f>W21-(#REF!+Y22)*1.1</f>
        <v>#REF!</v>
      </c>
      <c r="Z21" s="299" t="s">
        <v>2043</v>
      </c>
      <c r="AA21" s="79" t="s">
        <v>2044</v>
      </c>
      <c r="AB21" s="260"/>
      <c r="AC21" s="80" t="s">
        <v>2045</v>
      </c>
      <c r="AD21" s="81">
        <v>18679000</v>
      </c>
      <c r="AE21" s="82"/>
      <c r="AF21" s="83">
        <f>SUM(AG21:BC21)</f>
        <v>0</v>
      </c>
      <c r="AG21" s="91"/>
      <c r="AH21" s="92"/>
      <c r="AI21" s="92"/>
      <c r="AJ21" s="92"/>
      <c r="AK21" s="92"/>
      <c r="AL21" s="92"/>
      <c r="AM21" s="92"/>
      <c r="AN21" s="92"/>
      <c r="AO21" s="92"/>
      <c r="AP21" s="92"/>
      <c r="AQ21" s="92"/>
      <c r="AR21" s="92"/>
      <c r="AS21" s="92"/>
      <c r="AT21" s="92"/>
      <c r="AU21" s="92"/>
      <c r="AV21" s="92"/>
      <c r="AW21" s="92"/>
      <c r="AX21" s="92"/>
      <c r="AY21" s="92"/>
      <c r="AZ21" s="92"/>
      <c r="BA21" s="92"/>
      <c r="BB21" s="92"/>
      <c r="BC21" s="92"/>
    </row>
    <row r="22" spans="1:55" ht="22.5" customHeight="1" thickBot="1">
      <c r="A22" s="495"/>
      <c r="B22" s="558"/>
      <c r="C22" s="559"/>
      <c r="D22" s="780"/>
      <c r="E22" s="780"/>
      <c r="F22" s="780"/>
      <c r="G22" s="780"/>
      <c r="H22" s="780"/>
      <c r="I22" s="780"/>
      <c r="J22" s="780"/>
      <c r="K22" s="780"/>
      <c r="L22" s="780"/>
      <c r="M22" s="780"/>
      <c r="N22" s="780"/>
      <c r="O22" s="780"/>
      <c r="P22" s="502"/>
      <c r="Q22" s="495"/>
      <c r="R22" s="533"/>
      <c r="S22" s="533"/>
      <c r="T22" s="557"/>
      <c r="U22" s="593"/>
      <c r="V22" s="578" t="s">
        <v>2047</v>
      </c>
      <c r="W22" s="579"/>
      <c r="X22" s="532" t="s">
        <v>2046</v>
      </c>
      <c r="Y22" s="529">
        <f t="shared" ref="Y22" si="7">BP22/1000000</f>
        <v>0</v>
      </c>
      <c r="Z22" s="89"/>
      <c r="AA22" s="73"/>
      <c r="AB22" s="261"/>
      <c r="AC22" s="80"/>
      <c r="AD22" s="81"/>
      <c r="AE22" s="82" t="s">
        <v>2048</v>
      </c>
      <c r="AF22" s="83"/>
    </row>
    <row r="23" spans="1:55" ht="22.5" customHeight="1" thickBot="1">
      <c r="A23" s="490" t="s">
        <v>2066</v>
      </c>
      <c r="B23" s="554">
        <v>0.93</v>
      </c>
      <c r="C23" s="555">
        <f>B23+D23+E23+F23+G23+H23+I23+J23+K23+N23+L23+M23+O23</f>
        <v>0.98000000000000009</v>
      </c>
      <c r="D23" s="525"/>
      <c r="E23" s="525">
        <v>0.01</v>
      </c>
      <c r="F23" s="525">
        <v>0.01</v>
      </c>
      <c r="G23" s="525">
        <v>0.01</v>
      </c>
      <c r="H23" s="525">
        <v>0.01</v>
      </c>
      <c r="I23" s="525">
        <v>0.01</v>
      </c>
      <c r="J23" s="525"/>
      <c r="K23" s="525"/>
      <c r="L23" s="525"/>
      <c r="M23" s="525"/>
      <c r="N23" s="525"/>
      <c r="O23" s="525"/>
      <c r="P23" s="490" t="s">
        <v>2068</v>
      </c>
      <c r="Q23" s="490" t="s">
        <v>2069</v>
      </c>
      <c r="R23" s="533" t="s">
        <v>2205</v>
      </c>
      <c r="S23" s="533">
        <v>190</v>
      </c>
      <c r="T23" s="553" t="s">
        <v>2067</v>
      </c>
      <c r="U23" s="520">
        <v>17.03</v>
      </c>
      <c r="V23" s="410" t="s">
        <v>2045</v>
      </c>
      <c r="W23" s="522">
        <f>BN23/1000000</f>
        <v>0</v>
      </c>
      <c r="X23" s="412" t="s">
        <v>2051</v>
      </c>
      <c r="Y23" s="524" t="e">
        <f>W23-(#REF!+Y24)*1.1</f>
        <v>#REF!</v>
      </c>
      <c r="Z23" s="299" t="s">
        <v>2043</v>
      </c>
      <c r="AA23" s="79" t="s">
        <v>2044</v>
      </c>
      <c r="AB23" s="260"/>
      <c r="AC23" s="80" t="s">
        <v>2045</v>
      </c>
      <c r="AD23" s="81">
        <v>11364000</v>
      </c>
      <c r="AE23" s="82"/>
      <c r="AF23" s="83">
        <f>SUM(AG23:BC23)</f>
        <v>0</v>
      </c>
      <c r="AG23" s="91"/>
      <c r="AH23" s="92"/>
      <c r="AI23" s="92"/>
      <c r="AJ23" s="92"/>
      <c r="AK23" s="92"/>
      <c r="AL23" s="92"/>
      <c r="AM23" s="92"/>
      <c r="AN23" s="92"/>
      <c r="AO23" s="92"/>
      <c r="AP23" s="92"/>
      <c r="AQ23" s="92"/>
      <c r="AR23" s="92"/>
      <c r="AS23" s="92"/>
      <c r="AT23" s="92"/>
      <c r="AU23" s="92"/>
      <c r="AV23" s="92"/>
      <c r="AW23" s="92"/>
      <c r="AX23" s="92"/>
      <c r="AY23" s="92"/>
      <c r="AZ23" s="92"/>
      <c r="BA23" s="92"/>
      <c r="BB23" s="92"/>
      <c r="BC23" s="92"/>
    </row>
    <row r="24" spans="1:55" ht="22.5" customHeight="1" thickBot="1">
      <c r="A24" s="495"/>
      <c r="B24" s="558"/>
      <c r="C24" s="559"/>
      <c r="D24" s="780"/>
      <c r="E24" s="780"/>
      <c r="F24" s="780"/>
      <c r="G24" s="780"/>
      <c r="H24" s="780"/>
      <c r="I24" s="780"/>
      <c r="J24" s="780"/>
      <c r="K24" s="780"/>
      <c r="L24" s="780"/>
      <c r="M24" s="780"/>
      <c r="N24" s="780"/>
      <c r="O24" s="780"/>
      <c r="P24" s="502"/>
      <c r="Q24" s="495"/>
      <c r="R24" s="533"/>
      <c r="S24" s="533"/>
      <c r="T24" s="557"/>
      <c r="U24" s="593"/>
      <c r="V24" s="578" t="s">
        <v>2047</v>
      </c>
      <c r="W24" s="579"/>
      <c r="X24" s="532" t="s">
        <v>2046</v>
      </c>
      <c r="Y24" s="529">
        <f t="shared" ref="Y24" si="8">BP24/1000000</f>
        <v>0</v>
      </c>
      <c r="Z24" s="89"/>
      <c r="AA24" s="73"/>
      <c r="AB24" s="261"/>
      <c r="AC24" s="80"/>
      <c r="AD24" s="81"/>
      <c r="AE24" s="82" t="s">
        <v>2048</v>
      </c>
      <c r="AF24" s="83"/>
    </row>
    <row r="25" spans="1:55" ht="22.5" customHeight="1" thickBot="1">
      <c r="A25" s="507" t="s">
        <v>2070</v>
      </c>
      <c r="B25" s="554">
        <v>0</v>
      </c>
      <c r="C25" s="555">
        <f>B25+D25+E25+F25+G25+H25+I25+J25+K25+N25+L25+M25+O25</f>
        <v>0.8</v>
      </c>
      <c r="D25" s="525">
        <v>0.03</v>
      </c>
      <c r="E25" s="525"/>
      <c r="F25" s="525">
        <v>0.02</v>
      </c>
      <c r="G25" s="525">
        <v>0.05</v>
      </c>
      <c r="H25" s="525"/>
      <c r="I25" s="525"/>
      <c r="J25" s="525"/>
      <c r="K25" s="525"/>
      <c r="L25" s="525"/>
      <c r="M25" s="525">
        <v>0.2</v>
      </c>
      <c r="N25" s="525">
        <v>0.5</v>
      </c>
      <c r="O25" s="525"/>
      <c r="P25" s="490" t="s">
        <v>2072</v>
      </c>
      <c r="Q25" s="490" t="s">
        <v>2073</v>
      </c>
      <c r="R25" s="533"/>
      <c r="S25" s="533"/>
      <c r="T25" s="553" t="s">
        <v>2071</v>
      </c>
      <c r="U25" s="520">
        <v>21.06</v>
      </c>
      <c r="V25" s="410" t="s">
        <v>2045</v>
      </c>
      <c r="W25" s="522">
        <f>BN25/1000000</f>
        <v>0</v>
      </c>
      <c r="X25" s="412" t="s">
        <v>2051</v>
      </c>
      <c r="Y25" s="524" t="e">
        <f>W25-(#REF!+Y26)*1.1</f>
        <v>#REF!</v>
      </c>
      <c r="Z25" s="299" t="s">
        <v>2043</v>
      </c>
      <c r="AA25" s="79" t="s">
        <v>2044</v>
      </c>
      <c r="AB25" s="260"/>
      <c r="AC25" s="80" t="s">
        <v>2045</v>
      </c>
      <c r="AD25" s="81">
        <v>32000000</v>
      </c>
      <c r="AE25" s="82"/>
      <c r="AF25" s="83">
        <f>SUM(AG25:BC25)</f>
        <v>0</v>
      </c>
      <c r="AG25" s="91"/>
      <c r="AH25" s="92"/>
      <c r="AI25" s="92"/>
      <c r="AJ25" s="92"/>
      <c r="AK25" s="92"/>
      <c r="AL25" s="92"/>
      <c r="AM25" s="92"/>
      <c r="AN25" s="92"/>
      <c r="AO25" s="92"/>
      <c r="AP25" s="92"/>
      <c r="AQ25" s="92"/>
      <c r="AR25" s="92"/>
      <c r="AS25" s="92"/>
      <c r="AT25" s="92"/>
      <c r="AU25" s="92"/>
      <c r="AV25" s="92"/>
      <c r="AW25" s="92"/>
      <c r="AX25" s="92"/>
      <c r="AY25" s="92"/>
      <c r="AZ25" s="92"/>
      <c r="BA25" s="92"/>
      <c r="BB25" s="92"/>
      <c r="BC25" s="92"/>
    </row>
    <row r="26" spans="1:55" ht="22.5" customHeight="1" thickBot="1">
      <c r="A26" s="508" t="s">
        <v>1061</v>
      </c>
      <c r="B26" s="558"/>
      <c r="C26" s="559"/>
      <c r="D26" s="780"/>
      <c r="E26" s="780"/>
      <c r="F26" s="780"/>
      <c r="G26" s="780"/>
      <c r="H26" s="780"/>
      <c r="I26" s="780"/>
      <c r="J26" s="780"/>
      <c r="K26" s="780"/>
      <c r="L26" s="780"/>
      <c r="M26" s="780"/>
      <c r="N26" s="780"/>
      <c r="O26" s="780"/>
      <c r="P26" s="502"/>
      <c r="Q26" s="495"/>
      <c r="R26" s="533"/>
      <c r="S26" s="533"/>
      <c r="T26" s="557"/>
      <c r="U26" s="593"/>
      <c r="V26" s="578" t="s">
        <v>2047</v>
      </c>
      <c r="W26" s="579"/>
      <c r="X26" s="532" t="s">
        <v>2046</v>
      </c>
      <c r="Y26" s="529">
        <f t="shared" ref="Y26" si="9">BP26/1000000</f>
        <v>0</v>
      </c>
      <c r="Z26" s="89"/>
      <c r="AA26" s="73"/>
      <c r="AB26" s="261"/>
      <c r="AC26" s="80"/>
      <c r="AD26" s="81"/>
      <c r="AE26" s="82" t="s">
        <v>2048</v>
      </c>
      <c r="AF26" s="83"/>
    </row>
    <row r="27" spans="1:55" ht="22.5" customHeight="1" thickBot="1">
      <c r="A27" s="490" t="s">
        <v>2074</v>
      </c>
      <c r="B27" s="554">
        <v>0</v>
      </c>
      <c r="C27" s="555">
        <f>B27+D27+E27+F27+G27+H27+I27+J27+K27+N27+L27+M27+O27</f>
        <v>0.09</v>
      </c>
      <c r="D27" s="525">
        <v>0.03</v>
      </c>
      <c r="E27" s="525">
        <v>0.03</v>
      </c>
      <c r="F27" s="525">
        <v>0.03</v>
      </c>
      <c r="G27" s="525"/>
      <c r="H27" s="525"/>
      <c r="I27" s="525"/>
      <c r="J27" s="525"/>
      <c r="K27" s="525"/>
      <c r="L27" s="525"/>
      <c r="M27" s="525"/>
      <c r="N27" s="525"/>
      <c r="O27" s="525"/>
      <c r="P27" s="490" t="s">
        <v>2059</v>
      </c>
      <c r="Q27" s="490" t="s">
        <v>2042</v>
      </c>
      <c r="R27" s="533" t="s">
        <v>1283</v>
      </c>
      <c r="S27" s="533">
        <v>339</v>
      </c>
      <c r="T27" s="553" t="s">
        <v>2075</v>
      </c>
      <c r="U27" s="520">
        <v>21.08</v>
      </c>
      <c r="V27" s="410" t="s">
        <v>2045</v>
      </c>
      <c r="W27" s="522">
        <f>BN27/1000000</f>
        <v>0</v>
      </c>
      <c r="X27" s="412" t="s">
        <v>2051</v>
      </c>
      <c r="Y27" s="524" t="e">
        <f>W27-(#REF!+Y28)*1.1</f>
        <v>#REF!</v>
      </c>
      <c r="Z27" s="299" t="s">
        <v>2043</v>
      </c>
      <c r="AA27" s="79" t="s">
        <v>2044</v>
      </c>
      <c r="AB27" s="260"/>
      <c r="AC27" s="80" t="s">
        <v>2045</v>
      </c>
      <c r="AD27" s="81">
        <v>106500000</v>
      </c>
      <c r="AE27" s="82"/>
      <c r="AF27" s="83">
        <f>SUM(AG27:BC27)</f>
        <v>0</v>
      </c>
      <c r="AG27" s="91"/>
      <c r="AH27" s="92"/>
      <c r="AI27" s="92"/>
      <c r="AJ27" s="92"/>
      <c r="AK27" s="92"/>
      <c r="AL27" s="92"/>
      <c r="AM27" s="92"/>
      <c r="AN27" s="92"/>
      <c r="AO27" s="92"/>
      <c r="AP27" s="92"/>
      <c r="AQ27" s="92"/>
      <c r="AR27" s="92"/>
      <c r="AS27" s="92"/>
      <c r="AT27" s="92"/>
      <c r="AU27" s="92"/>
      <c r="AV27" s="92"/>
      <c r="AW27" s="92"/>
      <c r="AX27" s="92"/>
      <c r="AY27" s="92"/>
      <c r="AZ27" s="92"/>
      <c r="BA27" s="92"/>
      <c r="BB27" s="92"/>
      <c r="BC27" s="92"/>
    </row>
    <row r="28" spans="1:55" ht="22.5" customHeight="1" thickBot="1">
      <c r="A28" s="495"/>
      <c r="B28" s="558"/>
      <c r="C28" s="559"/>
      <c r="D28" s="780"/>
      <c r="E28" s="780"/>
      <c r="F28" s="780"/>
      <c r="G28" s="780"/>
      <c r="H28" s="780"/>
      <c r="I28" s="780"/>
      <c r="J28" s="780"/>
      <c r="K28" s="780"/>
      <c r="L28" s="780"/>
      <c r="M28" s="780"/>
      <c r="N28" s="780"/>
      <c r="O28" s="780"/>
      <c r="P28" s="502"/>
      <c r="Q28" s="495"/>
      <c r="R28" s="533"/>
      <c r="S28" s="533"/>
      <c r="T28" s="557"/>
      <c r="U28" s="593"/>
      <c r="V28" s="578" t="s">
        <v>2047</v>
      </c>
      <c r="W28" s="579"/>
      <c r="X28" s="532" t="s">
        <v>2046</v>
      </c>
      <c r="Y28" s="529">
        <f t="shared" ref="Y28" si="10">BP28/1000000</f>
        <v>0</v>
      </c>
      <c r="Z28" s="89"/>
      <c r="AA28" s="73"/>
      <c r="AB28" s="261"/>
      <c r="AC28" s="80"/>
      <c r="AD28" s="81"/>
      <c r="AE28" s="82" t="s">
        <v>2048</v>
      </c>
      <c r="AF28" s="83"/>
    </row>
    <row r="29" spans="1:55" ht="22.5" customHeight="1" thickBot="1">
      <c r="A29" s="563" t="s">
        <v>2076</v>
      </c>
      <c r="B29" s="554">
        <v>0</v>
      </c>
      <c r="C29" s="555">
        <f>B29+D29+E29+F29+G29+H29+I29+J29+K29+N29+L29+M29+O29</f>
        <v>0.89999999999999991</v>
      </c>
      <c r="D29" s="525">
        <v>0.03</v>
      </c>
      <c r="E29" s="525">
        <v>0.03</v>
      </c>
      <c r="F29" s="525">
        <v>0.01</v>
      </c>
      <c r="G29" s="525">
        <v>0.05</v>
      </c>
      <c r="H29" s="525">
        <v>0.05</v>
      </c>
      <c r="I29" s="525">
        <v>0.05</v>
      </c>
      <c r="J29" s="525">
        <v>0.05</v>
      </c>
      <c r="K29" s="525">
        <v>0.1</v>
      </c>
      <c r="L29" s="525">
        <v>0.2</v>
      </c>
      <c r="M29" s="525">
        <v>0.2</v>
      </c>
      <c r="N29" s="525">
        <v>0.13</v>
      </c>
      <c r="O29" s="525"/>
      <c r="P29" s="490" t="s">
        <v>2078</v>
      </c>
      <c r="Q29" s="490" t="s">
        <v>2073</v>
      </c>
      <c r="R29" s="533" t="s">
        <v>1283</v>
      </c>
      <c r="S29" s="533">
        <v>338</v>
      </c>
      <c r="T29" s="553" t="s">
        <v>2077</v>
      </c>
      <c r="U29" s="520">
        <v>21.12</v>
      </c>
      <c r="V29" s="410" t="s">
        <v>2045</v>
      </c>
      <c r="W29" s="522">
        <f>BN29/1000000</f>
        <v>0</v>
      </c>
      <c r="X29" s="412" t="s">
        <v>2051</v>
      </c>
      <c r="Y29" s="524" t="e">
        <f>W29-(#REF!+Y30)*1.1</f>
        <v>#REF!</v>
      </c>
      <c r="Z29" s="299" t="s">
        <v>2043</v>
      </c>
      <c r="AA29" s="79" t="s">
        <v>2044</v>
      </c>
      <c r="AB29" s="260"/>
      <c r="AC29" s="80" t="s">
        <v>2045</v>
      </c>
      <c r="AD29" s="81">
        <v>40656353</v>
      </c>
      <c r="AE29" s="82"/>
      <c r="AF29" s="83">
        <f>SUM(AG29:BC29)</f>
        <v>0</v>
      </c>
      <c r="AG29" s="91"/>
      <c r="AH29" s="92"/>
      <c r="AI29" s="92"/>
      <c r="AJ29" s="92"/>
      <c r="AK29" s="92"/>
      <c r="AL29" s="92"/>
      <c r="AM29" s="92"/>
      <c r="AN29" s="92"/>
      <c r="AO29" s="92"/>
      <c r="AP29" s="92"/>
      <c r="AQ29" s="92"/>
      <c r="AR29" s="92"/>
      <c r="AS29" s="92"/>
      <c r="AT29" s="92"/>
      <c r="AU29" s="92"/>
      <c r="AV29" s="92"/>
      <c r="AW29" s="92"/>
      <c r="AX29" s="92"/>
      <c r="AY29" s="92"/>
      <c r="AZ29" s="92"/>
      <c r="BA29" s="92"/>
      <c r="BB29" s="92"/>
      <c r="BC29" s="92"/>
    </row>
    <row r="30" spans="1:55" ht="22.5" customHeight="1" thickBot="1">
      <c r="A30" s="564"/>
      <c r="B30" s="558"/>
      <c r="C30" s="559"/>
      <c r="D30" s="780"/>
      <c r="E30" s="780"/>
      <c r="F30" s="780"/>
      <c r="G30" s="780"/>
      <c r="H30" s="780"/>
      <c r="I30" s="780"/>
      <c r="J30" s="780"/>
      <c r="K30" s="780"/>
      <c r="L30" s="780"/>
      <c r="M30" s="780"/>
      <c r="N30" s="780"/>
      <c r="O30" s="780"/>
      <c r="P30" s="502"/>
      <c r="Q30" s="495"/>
      <c r="R30" s="533"/>
      <c r="S30" s="533"/>
      <c r="T30" s="557"/>
      <c r="U30" s="593"/>
      <c r="V30" s="578" t="s">
        <v>2047</v>
      </c>
      <c r="W30" s="579"/>
      <c r="X30" s="532" t="s">
        <v>2046</v>
      </c>
      <c r="Y30" s="529">
        <f t="shared" ref="Y30" si="11">BP30/1000000</f>
        <v>0</v>
      </c>
      <c r="Z30" s="89"/>
      <c r="AA30" s="73"/>
      <c r="AB30" s="261"/>
      <c r="AC30" s="80"/>
      <c r="AD30" s="81"/>
      <c r="AE30" s="82" t="s">
        <v>2048</v>
      </c>
      <c r="AF30" s="83"/>
    </row>
    <row r="31" spans="1:55" ht="22.5" customHeight="1" thickBot="1">
      <c r="A31" s="507" t="s">
        <v>2079</v>
      </c>
      <c r="B31" s="554">
        <v>0</v>
      </c>
      <c r="C31" s="555">
        <f>B31+D31+E31+F31+G31+H31+I31+J31+K31+N31+L31+M31+O31</f>
        <v>0.89999999999999991</v>
      </c>
      <c r="D31" s="525">
        <v>0.05</v>
      </c>
      <c r="E31" s="525">
        <v>0.05</v>
      </c>
      <c r="F31" s="525">
        <v>0.01</v>
      </c>
      <c r="G31" s="525">
        <v>0.05</v>
      </c>
      <c r="H31" s="525"/>
      <c r="I31" s="525">
        <v>0.05</v>
      </c>
      <c r="J31" s="525">
        <v>0.1</v>
      </c>
      <c r="K31" s="525">
        <v>0.1</v>
      </c>
      <c r="L31" s="525">
        <v>0.1</v>
      </c>
      <c r="M31" s="525">
        <v>0.1</v>
      </c>
      <c r="N31" s="525">
        <v>0.28999999999999998</v>
      </c>
      <c r="O31" s="525"/>
      <c r="P31" s="490" t="s">
        <v>2081</v>
      </c>
      <c r="Q31" s="490" t="s">
        <v>2073</v>
      </c>
      <c r="R31" s="533"/>
      <c r="S31" s="533"/>
      <c r="T31" s="553" t="s">
        <v>2080</v>
      </c>
      <c r="U31" s="795">
        <v>21.02</v>
      </c>
      <c r="V31" s="410" t="s">
        <v>2045</v>
      </c>
      <c r="W31" s="522">
        <f>BN31/1000000</f>
        <v>0</v>
      </c>
      <c r="X31" s="412" t="s">
        <v>2051</v>
      </c>
      <c r="Y31" s="524" t="e">
        <f>W31-(#REF!+Y32)*1.1</f>
        <v>#REF!</v>
      </c>
      <c r="Z31" s="299" t="s">
        <v>2043</v>
      </c>
      <c r="AA31" s="79" t="s">
        <v>2044</v>
      </c>
      <c r="AB31" s="260"/>
      <c r="AC31" s="80" t="s">
        <v>2082</v>
      </c>
      <c r="AD31" s="81">
        <v>13530000</v>
      </c>
      <c r="AE31" s="82" t="s">
        <v>2083</v>
      </c>
      <c r="AF31" s="81">
        <f>AF3+AF5+AF7+AF9+AF11+AF13+AF15+AF17+AF19+AF21+AF23</f>
        <v>0</v>
      </c>
      <c r="AG31" s="91" t="s">
        <v>2084</v>
      </c>
      <c r="AH31" s="92"/>
      <c r="AI31" s="92" t="s">
        <v>2085</v>
      </c>
      <c r="AJ31" s="92"/>
      <c r="AK31" s="92" t="s">
        <v>2046</v>
      </c>
      <c r="AL31" s="92"/>
      <c r="AM31" s="92" t="s">
        <v>2046</v>
      </c>
      <c r="AN31" s="92"/>
      <c r="AO31" s="92" t="s">
        <v>2046</v>
      </c>
      <c r="AP31" s="92"/>
      <c r="AQ31" s="92"/>
      <c r="AR31" s="92"/>
      <c r="AS31" s="92"/>
      <c r="AT31" s="92"/>
      <c r="AU31" s="92"/>
      <c r="AV31" s="92"/>
      <c r="AW31" s="92"/>
      <c r="AX31" s="92"/>
      <c r="AY31" s="92"/>
      <c r="AZ31" s="92"/>
      <c r="BA31" s="92"/>
      <c r="BB31" s="92"/>
      <c r="BC31" s="92"/>
    </row>
    <row r="32" spans="1:55" ht="22.5" customHeight="1" thickBot="1">
      <c r="A32" s="508" t="s">
        <v>1061</v>
      </c>
      <c r="B32" s="558"/>
      <c r="C32" s="559"/>
      <c r="D32" s="780" t="s">
        <v>2086</v>
      </c>
      <c r="E32" s="780"/>
      <c r="F32" s="780"/>
      <c r="G32" s="780"/>
      <c r="H32" s="780"/>
      <c r="I32" s="780"/>
      <c r="J32" s="780"/>
      <c r="K32" s="780"/>
      <c r="L32" s="780"/>
      <c r="M32" s="780"/>
      <c r="N32" s="780"/>
      <c r="O32" s="780"/>
      <c r="P32" s="502"/>
      <c r="Q32" s="495"/>
      <c r="R32" s="533"/>
      <c r="S32" s="533"/>
      <c r="T32" s="557"/>
      <c r="U32" s="795"/>
      <c r="V32" s="578" t="s">
        <v>2047</v>
      </c>
      <c r="W32" s="579"/>
      <c r="X32" s="532" t="s">
        <v>2046</v>
      </c>
      <c r="Y32" s="529">
        <f t="shared" ref="Y32" si="12">BP32/1000000</f>
        <v>0</v>
      </c>
      <c r="Z32" s="89"/>
      <c r="AA32" s="73"/>
      <c r="AB32" s="261"/>
      <c r="AC32" s="80" t="s">
        <v>2087</v>
      </c>
      <c r="AD32" s="81">
        <f>AD4+AD6+AD8+AD10+AD12+AD14+AD16+AD18+AD20+AD22+AD24</f>
        <v>0</v>
      </c>
      <c r="AE32" s="82" t="s">
        <v>2048</v>
      </c>
      <c r="AF32" s="81">
        <f>AF4+AF6+AF8+AF10+AF12+AF14+AF16+AF18+AF20+AF22+AF24+AF26+AF28+AF30</f>
        <v>0</v>
      </c>
    </row>
    <row r="33" spans="1:55" ht="22.5" customHeight="1" thickBot="1">
      <c r="A33" s="507" t="s">
        <v>2088</v>
      </c>
      <c r="B33" s="554">
        <v>0</v>
      </c>
      <c r="C33" s="555">
        <f>B33+D33+E33+F33+G33+H33+I33+J33+K33+N33+L33+M33+O33</f>
        <v>0.6</v>
      </c>
      <c r="D33" s="525"/>
      <c r="E33" s="525"/>
      <c r="F33" s="525"/>
      <c r="G33" s="525"/>
      <c r="H33" s="525"/>
      <c r="I33" s="525"/>
      <c r="J33" s="525">
        <v>0.25</v>
      </c>
      <c r="K33" s="525">
        <v>0.25</v>
      </c>
      <c r="L33" s="525"/>
      <c r="M33" s="525">
        <v>0.1</v>
      </c>
      <c r="N33" s="525"/>
      <c r="O33" s="525"/>
      <c r="P33" s="490" t="s">
        <v>2090</v>
      </c>
      <c r="Q33" s="490" t="s">
        <v>2042</v>
      </c>
      <c r="R33" s="533"/>
      <c r="S33" s="533"/>
      <c r="T33" s="553" t="s">
        <v>2089</v>
      </c>
      <c r="U33" s="795">
        <v>21.02</v>
      </c>
      <c r="V33" s="410" t="s">
        <v>2045</v>
      </c>
      <c r="W33" s="522">
        <f>BN33/1000000</f>
        <v>0</v>
      </c>
      <c r="X33" s="412" t="s">
        <v>2051</v>
      </c>
      <c r="Y33" s="524" t="e">
        <f>W33-(#REF!+Y34)*1.1</f>
        <v>#REF!</v>
      </c>
      <c r="Z33" s="299" t="s">
        <v>2043</v>
      </c>
      <c r="AA33" s="79" t="s">
        <v>2044</v>
      </c>
      <c r="AB33" s="260"/>
      <c r="AC33" s="80" t="s">
        <v>2082</v>
      </c>
      <c r="AD33" s="81">
        <v>88000000</v>
      </c>
      <c r="AE33" s="82" t="s">
        <v>2083</v>
      </c>
      <c r="AF33" s="81">
        <f>AF5+AF7+AF9+AF11+AF13+AF15+AF17+AF19+AF21+AF23+AF25</f>
        <v>0</v>
      </c>
      <c r="AG33" s="91" t="s">
        <v>2084</v>
      </c>
      <c r="AH33" s="92"/>
      <c r="AI33" s="92" t="s">
        <v>2085</v>
      </c>
      <c r="AJ33" s="92"/>
      <c r="AK33" s="92" t="s">
        <v>2046</v>
      </c>
      <c r="AL33" s="92"/>
      <c r="AM33" s="92" t="s">
        <v>2046</v>
      </c>
      <c r="AN33" s="92"/>
      <c r="AO33" s="92" t="s">
        <v>2046</v>
      </c>
      <c r="AP33" s="92"/>
      <c r="AQ33" s="92"/>
      <c r="AR33" s="92"/>
      <c r="AS33" s="92"/>
      <c r="AT33" s="92"/>
      <c r="AU33" s="92"/>
      <c r="AV33" s="92"/>
      <c r="AW33" s="92"/>
      <c r="AX33" s="92"/>
      <c r="AY33" s="92"/>
      <c r="AZ33" s="92"/>
      <c r="BA33" s="92"/>
      <c r="BB33" s="92"/>
      <c r="BC33" s="92"/>
    </row>
    <row r="34" spans="1:55" ht="22.5" customHeight="1" thickBot="1">
      <c r="A34" s="508" t="s">
        <v>1061</v>
      </c>
      <c r="B34" s="558"/>
      <c r="C34" s="559"/>
      <c r="D34" s="780" t="s">
        <v>2086</v>
      </c>
      <c r="E34" s="780"/>
      <c r="F34" s="780"/>
      <c r="G34" s="780"/>
      <c r="H34" s="780"/>
      <c r="I34" s="780"/>
      <c r="J34" s="780"/>
      <c r="K34" s="780"/>
      <c r="L34" s="780"/>
      <c r="M34" s="780"/>
      <c r="N34" s="780"/>
      <c r="O34" s="780"/>
      <c r="P34" s="502"/>
      <c r="Q34" s="495"/>
      <c r="R34" s="533"/>
      <c r="S34" s="533"/>
      <c r="T34" s="557"/>
      <c r="U34" s="795"/>
      <c r="V34" s="578" t="s">
        <v>2047</v>
      </c>
      <c r="W34" s="579"/>
      <c r="X34" s="532" t="s">
        <v>2046</v>
      </c>
      <c r="Y34" s="529">
        <f t="shared" ref="Y34" si="13">BP34/1000000</f>
        <v>0</v>
      </c>
      <c r="Z34" s="89"/>
      <c r="AA34" s="73"/>
      <c r="AB34" s="261"/>
      <c r="AC34" s="80" t="s">
        <v>2087</v>
      </c>
      <c r="AD34" s="81">
        <f>AD6+AD8+AD10+AD12+AD14+AD16+AD18+AD20+AD22+AD24+AD26</f>
        <v>0</v>
      </c>
      <c r="AE34" s="82" t="s">
        <v>2048</v>
      </c>
      <c r="AF34" s="81">
        <f>AF6+AF8+AF10+AF12+AF14+AF16+AF18+AF20+AF22+AF24+AF26+AF28+AF30+AF32</f>
        <v>0</v>
      </c>
    </row>
    <row r="35" spans="1:55" ht="22.5" customHeight="1" thickBot="1">
      <c r="A35" s="490" t="s">
        <v>2091</v>
      </c>
      <c r="B35" s="554">
        <v>0</v>
      </c>
      <c r="C35" s="555">
        <f>B35+D35+E35+F35+G35+H35+I35+J35+K35+N35+L35+M35+O35</f>
        <v>0.5</v>
      </c>
      <c r="D35" s="525"/>
      <c r="E35" s="525"/>
      <c r="F35" s="525"/>
      <c r="G35" s="525"/>
      <c r="H35" s="525"/>
      <c r="I35" s="525"/>
      <c r="J35" s="525"/>
      <c r="K35" s="525"/>
      <c r="L35" s="525">
        <v>0.2</v>
      </c>
      <c r="M35" s="525">
        <v>0.1</v>
      </c>
      <c r="N35" s="525">
        <v>0.2</v>
      </c>
      <c r="O35" s="525"/>
      <c r="P35" s="490" t="s">
        <v>2093</v>
      </c>
      <c r="Q35" s="490" t="s">
        <v>2042</v>
      </c>
      <c r="R35" s="533"/>
      <c r="S35" s="533"/>
      <c r="T35" s="553" t="s">
        <v>2092</v>
      </c>
      <c r="U35" s="795">
        <v>21.07</v>
      </c>
      <c r="V35" s="410" t="s">
        <v>2045</v>
      </c>
      <c r="W35" s="522">
        <f>BN35/1000000</f>
        <v>0</v>
      </c>
      <c r="X35" s="412" t="s">
        <v>2051</v>
      </c>
      <c r="Y35" s="524" t="e">
        <f>W35-(#REF!+Y36)*1.1</f>
        <v>#REF!</v>
      </c>
      <c r="Z35" s="299" t="s">
        <v>2043</v>
      </c>
      <c r="AA35" s="79" t="s">
        <v>2044</v>
      </c>
      <c r="AB35" s="260"/>
      <c r="AC35" s="80" t="s">
        <v>2082</v>
      </c>
      <c r="AD35" s="81">
        <v>88000000</v>
      </c>
      <c r="AE35" s="82" t="s">
        <v>2083</v>
      </c>
      <c r="AF35" s="81">
        <f>AF7+AF9+AF11+AF13+AF15+AF17+AF19+AF21+AF23+AF25+AF27</f>
        <v>0</v>
      </c>
      <c r="AG35" s="91" t="s">
        <v>2084</v>
      </c>
      <c r="AH35" s="92"/>
      <c r="AI35" s="92" t="s">
        <v>2085</v>
      </c>
      <c r="AJ35" s="92"/>
      <c r="AK35" s="92" t="s">
        <v>2046</v>
      </c>
      <c r="AL35" s="92"/>
      <c r="AM35" s="92" t="s">
        <v>2046</v>
      </c>
      <c r="AN35" s="92"/>
      <c r="AO35" s="92" t="s">
        <v>2046</v>
      </c>
      <c r="AP35" s="92"/>
      <c r="AQ35" s="92"/>
      <c r="AR35" s="92"/>
      <c r="AS35" s="92"/>
      <c r="AT35" s="92"/>
      <c r="AU35" s="92"/>
      <c r="AV35" s="92"/>
      <c r="AW35" s="92"/>
      <c r="AX35" s="92"/>
      <c r="AY35" s="92"/>
      <c r="AZ35" s="92"/>
      <c r="BA35" s="92"/>
      <c r="BB35" s="92"/>
      <c r="BC35" s="92"/>
    </row>
    <row r="36" spans="1:55" ht="22.5" customHeight="1">
      <c r="A36" s="495"/>
      <c r="B36" s="558"/>
      <c r="C36" s="559"/>
      <c r="D36" s="780" t="s">
        <v>2086</v>
      </c>
      <c r="E36" s="780"/>
      <c r="F36" s="780"/>
      <c r="G36" s="780"/>
      <c r="H36" s="780"/>
      <c r="I36" s="780"/>
      <c r="J36" s="780"/>
      <c r="K36" s="780"/>
      <c r="L36" s="780"/>
      <c r="M36" s="780"/>
      <c r="N36" s="780"/>
      <c r="O36" s="780"/>
      <c r="P36" s="502"/>
      <c r="Q36" s="495"/>
      <c r="R36" s="533"/>
      <c r="S36" s="533"/>
      <c r="T36" s="557"/>
      <c r="U36" s="795"/>
      <c r="V36" s="578" t="s">
        <v>2047</v>
      </c>
      <c r="W36" s="579"/>
      <c r="X36" s="532" t="s">
        <v>2046</v>
      </c>
      <c r="Y36" s="529">
        <f t="shared" ref="Y36" si="14">BP36/1000000</f>
        <v>0</v>
      </c>
      <c r="Z36" s="89"/>
      <c r="AA36" s="73"/>
      <c r="AB36" s="261"/>
      <c r="AC36" s="80" t="s">
        <v>2087</v>
      </c>
      <c r="AD36" s="81">
        <f>AD8+AD10+AD12+AD14+AD16+AD18+AD20+AD22+AD24+AD26+AD28</f>
        <v>0</v>
      </c>
      <c r="AE36" s="82" t="s">
        <v>2048</v>
      </c>
      <c r="AF36" s="81">
        <f>AF8+AF10+AF12+AF14+AF16+AF18+AF20+AF22+AF24+AF26+AF28+AF30+AF32+AF34</f>
        <v>0</v>
      </c>
    </row>
    <row r="37" spans="1:55" ht="30.75" customHeight="1">
      <c r="T37" s="428"/>
      <c r="U37" s="388"/>
      <c r="W37" s="388"/>
    </row>
    <row r="70" spans="2:55" s="275" customFormat="1" ht="30.75" customHeight="1">
      <c r="B70" s="282"/>
      <c r="C70" s="282"/>
      <c r="T70" s="78"/>
      <c r="W70" s="275">
        <f>BL70/1000000</f>
        <v>0</v>
      </c>
      <c r="AE70" s="277"/>
      <c r="AF70" s="77"/>
      <c r="AG70" s="77"/>
      <c r="AH70" s="77"/>
      <c r="AI70" s="77"/>
      <c r="AJ70" s="77"/>
      <c r="AK70" s="77"/>
      <c r="AL70" s="77"/>
      <c r="AM70" s="77"/>
      <c r="AN70" s="77"/>
      <c r="AO70" s="77"/>
      <c r="AP70" s="77"/>
      <c r="AQ70" s="77"/>
      <c r="AR70" s="77"/>
      <c r="AS70" s="77"/>
      <c r="AT70" s="77"/>
      <c r="AU70" s="77"/>
      <c r="AV70" s="77"/>
      <c r="AW70" s="77"/>
      <c r="AX70" s="77"/>
      <c r="AY70" s="77"/>
      <c r="AZ70" s="77"/>
      <c r="BA70" s="77"/>
      <c r="BB70" s="77"/>
      <c r="BC70" s="77"/>
    </row>
  </sheetData>
  <phoneticPr fontId="2" type="noConversion"/>
  <printOptions horizontalCentered="1"/>
  <pageMargins left="0.15748031496062992" right="0.15748031496062992" top="0.59055118110236227" bottom="0.39370078740157483" header="0.31496062992125984" footer="0.31496062992125984"/>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Y62"/>
  <sheetViews>
    <sheetView view="pageBreakPreview" zoomScaleNormal="115" zoomScaleSheetLayoutView="100" workbookViewId="0">
      <pane xSplit="3" ySplit="2" topLeftCell="D33" activePane="bottomRight" state="frozen"/>
      <selection activeCell="J78" sqref="J78"/>
      <selection pane="topRight" activeCell="J78" sqref="J78"/>
      <selection pane="bottomLeft" activeCell="J78" sqref="J78"/>
      <selection pane="bottomRight" activeCell="J78" sqref="J78"/>
    </sheetView>
  </sheetViews>
  <sheetFormatPr defaultColWidth="10.25" defaultRowHeight="30.75" customHeight="1"/>
  <cols>
    <col min="1" max="1" width="12.625" style="76" customWidth="1"/>
    <col min="2" max="3" width="6.125" style="282" bestFit="1" customWidth="1"/>
    <col min="4" max="14" width="8.875" style="275" customWidth="1"/>
    <col min="15" max="15" width="8.625" style="275" customWidth="1"/>
    <col min="16" max="16" width="14.375" style="275" customWidth="1"/>
    <col min="17" max="17" width="12.625" style="275" customWidth="1"/>
    <col min="18" max="18" width="20.625" style="78" customWidth="1"/>
    <col min="19" max="19" width="9.875" style="275" customWidth="1"/>
    <col min="20" max="20" width="7" style="275" bestFit="1" customWidth="1"/>
    <col min="21" max="21" width="8.75" style="275" customWidth="1"/>
    <col min="22" max="22" width="7" style="275" bestFit="1" customWidth="1"/>
    <col min="23" max="23" width="8.625" style="275" customWidth="1"/>
    <col min="24" max="24" width="4.5" style="275" customWidth="1"/>
    <col min="25" max="25" width="6.125" style="275" customWidth="1"/>
    <col min="26" max="26" width="16" style="2" customWidth="1"/>
    <col min="27" max="27" width="14.625" style="277" customWidth="1"/>
    <col min="28" max="51" width="16" style="77" customWidth="1"/>
    <col min="52" max="16384" width="10.25" style="78"/>
  </cols>
  <sheetData>
    <row r="1" spans="1:51" ht="25.5" customHeight="1">
      <c r="A1" s="786" t="s">
        <v>1665</v>
      </c>
      <c r="Q1" s="393" t="s">
        <v>785</v>
      </c>
    </row>
    <row r="2" spans="1:51" ht="22.5" customHeight="1">
      <c r="A2" s="513" t="s">
        <v>786</v>
      </c>
      <c r="B2" s="514" t="s">
        <v>22</v>
      </c>
      <c r="C2" s="515" t="s">
        <v>23</v>
      </c>
      <c r="D2" s="552" t="s">
        <v>768</v>
      </c>
      <c r="E2" s="552" t="s">
        <v>1052</v>
      </c>
      <c r="F2" s="552" t="s">
        <v>1055</v>
      </c>
      <c r="G2" s="552" t="s">
        <v>1053</v>
      </c>
      <c r="H2" s="552" t="s">
        <v>760</v>
      </c>
      <c r="I2" s="552" t="s">
        <v>761</v>
      </c>
      <c r="J2" s="552" t="s">
        <v>762</v>
      </c>
      <c r="K2" s="552" t="s">
        <v>763</v>
      </c>
      <c r="L2" s="552" t="s">
        <v>764</v>
      </c>
      <c r="M2" s="552" t="s">
        <v>765</v>
      </c>
      <c r="N2" s="552" t="s">
        <v>766</v>
      </c>
      <c r="O2" s="552" t="s">
        <v>767</v>
      </c>
      <c r="P2" s="516" t="s">
        <v>1666</v>
      </c>
      <c r="Q2" s="516" t="s">
        <v>5</v>
      </c>
      <c r="R2" s="513" t="s">
        <v>24</v>
      </c>
      <c r="S2" s="513" t="s">
        <v>3</v>
      </c>
      <c r="T2" s="513" t="s">
        <v>1375</v>
      </c>
      <c r="U2" s="513"/>
      <c r="V2" s="551" t="s">
        <v>1376</v>
      </c>
      <c r="W2" s="552"/>
      <c r="X2" s="796" t="s">
        <v>1</v>
      </c>
    </row>
    <row r="3" spans="1:51" ht="22.5" customHeight="1">
      <c r="A3" s="257" t="s">
        <v>2094</v>
      </c>
      <c r="B3" s="554">
        <v>1</v>
      </c>
      <c r="C3" s="555">
        <f>B3+D3+E3+F3+G3+H3+I3+J3+K3+L3+M3+N3+O3</f>
        <v>1</v>
      </c>
      <c r="D3" s="525"/>
      <c r="E3" s="525"/>
      <c r="F3" s="525"/>
      <c r="G3" s="525"/>
      <c r="H3" s="525"/>
      <c r="I3" s="525"/>
      <c r="J3" s="525"/>
      <c r="K3" s="525"/>
      <c r="L3" s="525"/>
      <c r="M3" s="525"/>
      <c r="N3" s="525"/>
      <c r="O3" s="525"/>
      <c r="P3" s="566" t="s">
        <v>1121</v>
      </c>
      <c r="Q3" s="490" t="s">
        <v>2097</v>
      </c>
      <c r="R3" s="553" t="s">
        <v>2095</v>
      </c>
      <c r="S3" s="520" t="s">
        <v>2096</v>
      </c>
      <c r="T3" s="521" t="s">
        <v>89</v>
      </c>
      <c r="U3" s="522">
        <f>BH3/1100000</f>
        <v>0</v>
      </c>
      <c r="V3" s="523" t="s">
        <v>41</v>
      </c>
      <c r="W3" s="524" t="e">
        <f>#REF!/1100000</f>
        <v>#REF!</v>
      </c>
      <c r="X3" s="260"/>
      <c r="Y3" s="80" t="s">
        <v>89</v>
      </c>
      <c r="Z3" s="20">
        <v>200079000</v>
      </c>
      <c r="AA3" s="82"/>
      <c r="AB3" s="83">
        <f>SUM(AC3:AY3)</f>
        <v>0</v>
      </c>
      <c r="AC3" s="91"/>
      <c r="AD3" s="92"/>
      <c r="AE3" s="92"/>
      <c r="AF3" s="92"/>
      <c r="AG3" s="92"/>
      <c r="AH3" s="92"/>
      <c r="AI3" s="92"/>
      <c r="AJ3" s="92"/>
      <c r="AK3" s="92"/>
      <c r="AL3" s="92"/>
      <c r="AM3" s="92"/>
      <c r="AN3" s="92"/>
      <c r="AO3" s="92"/>
      <c r="AP3" s="92"/>
      <c r="AQ3" s="92"/>
      <c r="AR3" s="92"/>
      <c r="AS3" s="92"/>
      <c r="AT3" s="92"/>
      <c r="AU3" s="92"/>
      <c r="AV3" s="92"/>
      <c r="AW3" s="92"/>
      <c r="AX3" s="92"/>
      <c r="AY3" s="92"/>
    </row>
    <row r="4" spans="1:51" ht="22.5" customHeight="1">
      <c r="A4" s="258"/>
      <c r="B4" s="558"/>
      <c r="C4" s="559"/>
      <c r="D4" s="560"/>
      <c r="E4" s="560"/>
      <c r="F4" s="560"/>
      <c r="G4" s="560"/>
      <c r="H4" s="560"/>
      <c r="I4" s="560"/>
      <c r="J4" s="560"/>
      <c r="K4" s="560"/>
      <c r="L4" s="560"/>
      <c r="M4" s="560"/>
      <c r="N4" s="560"/>
      <c r="O4" s="560"/>
      <c r="P4" s="601"/>
      <c r="Q4" s="495"/>
      <c r="R4" s="557"/>
      <c r="S4" s="531" t="s">
        <v>2099</v>
      </c>
      <c r="T4" s="526" t="s">
        <v>2100</v>
      </c>
      <c r="U4" s="527" t="e">
        <f>U3-#REF!</f>
        <v>#REF!</v>
      </c>
      <c r="V4" s="532" t="s">
        <v>2100</v>
      </c>
      <c r="W4" s="529" t="e">
        <f>W3-#REF!</f>
        <v>#REF!</v>
      </c>
      <c r="X4" s="261"/>
      <c r="Y4" s="80" t="s">
        <v>2100</v>
      </c>
      <c r="Z4" s="20" t="e">
        <f>Z3-#REF!</f>
        <v>#REF!</v>
      </c>
      <c r="AA4" s="82" t="s">
        <v>2098</v>
      </c>
      <c r="AB4" s="83" t="e">
        <f>#REF!-#REF!</f>
        <v>#REF!</v>
      </c>
    </row>
    <row r="5" spans="1:51" ht="22.5" customHeight="1">
      <c r="A5" s="257" t="s">
        <v>2102</v>
      </c>
      <c r="B5" s="554">
        <v>1</v>
      </c>
      <c r="C5" s="555">
        <f>B5+D5+E5+F5+G5+H5+I5+J5+K5+L5+M5+N5+O5</f>
        <v>1</v>
      </c>
      <c r="D5" s="525"/>
      <c r="E5" s="525"/>
      <c r="F5" s="525"/>
      <c r="G5" s="525"/>
      <c r="H5" s="525"/>
      <c r="I5" s="525"/>
      <c r="J5" s="525"/>
      <c r="K5" s="525"/>
      <c r="L5" s="525"/>
      <c r="M5" s="525"/>
      <c r="N5" s="525"/>
      <c r="O5" s="525"/>
      <c r="P5" s="490" t="s">
        <v>2107</v>
      </c>
      <c r="Q5" s="490" t="s">
        <v>2108</v>
      </c>
      <c r="R5" s="553" t="s">
        <v>2103</v>
      </c>
      <c r="S5" s="520" t="s">
        <v>2104</v>
      </c>
      <c r="T5" s="521" t="s">
        <v>2105</v>
      </c>
      <c r="U5" s="522">
        <f>BH5/1100000</f>
        <v>0</v>
      </c>
      <c r="V5" s="523" t="s">
        <v>2106</v>
      </c>
      <c r="W5" s="524" t="e">
        <f>#REF!/1100000</f>
        <v>#REF!</v>
      </c>
      <c r="X5" s="260"/>
      <c r="Y5" s="80" t="s">
        <v>2105</v>
      </c>
      <c r="Z5" s="20">
        <v>117661000</v>
      </c>
      <c r="AA5" s="82"/>
      <c r="AB5" s="83">
        <f>SUM(AC5:AY5)</f>
        <v>0</v>
      </c>
      <c r="AC5" s="91"/>
      <c r="AD5" s="92"/>
      <c r="AE5" s="92"/>
      <c r="AF5" s="92"/>
      <c r="AG5" s="92"/>
      <c r="AH5" s="92"/>
      <c r="AI5" s="92"/>
      <c r="AJ5" s="92"/>
      <c r="AK5" s="92"/>
      <c r="AL5" s="92"/>
      <c r="AM5" s="92"/>
      <c r="AN5" s="92"/>
      <c r="AO5" s="92"/>
      <c r="AP5" s="92"/>
      <c r="AQ5" s="92"/>
      <c r="AR5" s="92"/>
      <c r="AS5" s="92"/>
      <c r="AT5" s="92"/>
      <c r="AU5" s="92"/>
      <c r="AV5" s="92"/>
      <c r="AW5" s="92"/>
      <c r="AX5" s="92"/>
      <c r="AY5" s="92"/>
    </row>
    <row r="6" spans="1:51" ht="22.5" customHeight="1">
      <c r="A6" s="258"/>
      <c r="B6" s="558"/>
      <c r="C6" s="559"/>
      <c r="D6" s="560"/>
      <c r="E6" s="560"/>
      <c r="F6" s="560"/>
      <c r="G6" s="560"/>
      <c r="H6" s="560"/>
      <c r="I6" s="560"/>
      <c r="J6" s="560"/>
      <c r="K6" s="560"/>
      <c r="L6" s="560"/>
      <c r="M6" s="560"/>
      <c r="N6" s="560"/>
      <c r="O6" s="560"/>
      <c r="P6" s="495"/>
      <c r="Q6" s="495"/>
      <c r="R6" s="557"/>
      <c r="S6" s="531" t="s">
        <v>2110</v>
      </c>
      <c r="T6" s="526" t="s">
        <v>2101</v>
      </c>
      <c r="U6" s="527" t="e">
        <f>U5-#REF!</f>
        <v>#REF!</v>
      </c>
      <c r="V6" s="532" t="s">
        <v>2101</v>
      </c>
      <c r="W6" s="529" t="e">
        <f>W5-#REF!</f>
        <v>#REF!</v>
      </c>
      <c r="X6" s="261"/>
      <c r="Y6" s="80" t="s">
        <v>2101</v>
      </c>
      <c r="Z6" s="20" t="e">
        <f>Z5-#REF!</f>
        <v>#REF!</v>
      </c>
      <c r="AA6" s="82" t="s">
        <v>2109</v>
      </c>
      <c r="AB6" s="83" t="e">
        <f>#REF!-#REF!</f>
        <v>#REF!</v>
      </c>
    </row>
    <row r="7" spans="1:51" ht="22.5" customHeight="1">
      <c r="A7" s="257" t="s">
        <v>2111</v>
      </c>
      <c r="B7" s="554">
        <v>0.9</v>
      </c>
      <c r="C7" s="555">
        <f>B7+D7+E7+F7+G7+H7+I7+J7+K7+L7+M7+N7+O7</f>
        <v>0.92</v>
      </c>
      <c r="D7" s="525">
        <v>0.01</v>
      </c>
      <c r="E7" s="525">
        <v>0.01</v>
      </c>
      <c r="F7" s="525"/>
      <c r="G7" s="525"/>
      <c r="H7" s="525"/>
      <c r="I7" s="525"/>
      <c r="J7" s="525"/>
      <c r="K7" s="525"/>
      <c r="L7" s="525"/>
      <c r="M7" s="525"/>
      <c r="N7" s="525"/>
      <c r="O7" s="525"/>
      <c r="P7" s="566" t="s">
        <v>2114</v>
      </c>
      <c r="Q7" s="490" t="s">
        <v>2115</v>
      </c>
      <c r="R7" s="553" t="s">
        <v>2112</v>
      </c>
      <c r="S7" s="520" t="s">
        <v>2113</v>
      </c>
      <c r="T7" s="521" t="s">
        <v>2105</v>
      </c>
      <c r="U7" s="522">
        <f>BH7/1100000</f>
        <v>0</v>
      </c>
      <c r="V7" s="523" t="s">
        <v>2106</v>
      </c>
      <c r="W7" s="524" t="e">
        <f>#REF!/1100000</f>
        <v>#REF!</v>
      </c>
      <c r="X7" s="260"/>
      <c r="Y7" s="80" t="s">
        <v>2105</v>
      </c>
      <c r="Z7" s="20">
        <v>106035000</v>
      </c>
      <c r="AA7" s="82"/>
      <c r="AB7" s="83">
        <f>SUM(AC7:AY7)</f>
        <v>0</v>
      </c>
      <c r="AC7" s="91"/>
      <c r="AD7" s="92"/>
      <c r="AE7" s="92"/>
      <c r="AF7" s="92"/>
      <c r="AG7" s="92"/>
      <c r="AH7" s="92"/>
      <c r="AI7" s="92"/>
      <c r="AJ7" s="92"/>
      <c r="AK7" s="92"/>
      <c r="AL7" s="92"/>
      <c r="AM7" s="92"/>
      <c r="AN7" s="92"/>
      <c r="AO7" s="92"/>
      <c r="AP7" s="92"/>
      <c r="AQ7" s="92"/>
      <c r="AR7" s="92"/>
      <c r="AS7" s="92"/>
      <c r="AT7" s="92"/>
      <c r="AU7" s="92"/>
      <c r="AV7" s="92"/>
      <c r="AW7" s="92"/>
      <c r="AX7" s="92"/>
      <c r="AY7" s="92"/>
    </row>
    <row r="8" spans="1:51" ht="22.5" customHeight="1">
      <c r="A8" s="258"/>
      <c r="B8" s="558"/>
      <c r="C8" s="559"/>
      <c r="D8" s="560"/>
      <c r="E8" s="560"/>
      <c r="F8" s="560"/>
      <c r="G8" s="560"/>
      <c r="H8" s="560"/>
      <c r="I8" s="560"/>
      <c r="J8" s="560"/>
      <c r="K8" s="560"/>
      <c r="L8" s="560"/>
      <c r="M8" s="560"/>
      <c r="N8" s="560"/>
      <c r="O8" s="560"/>
      <c r="P8" s="601"/>
      <c r="Q8" s="495"/>
      <c r="R8" s="557"/>
      <c r="S8" s="531" t="s">
        <v>2117</v>
      </c>
      <c r="T8" s="526" t="s">
        <v>2101</v>
      </c>
      <c r="U8" s="527" t="e">
        <f>U7-#REF!</f>
        <v>#REF!</v>
      </c>
      <c r="V8" s="532" t="s">
        <v>2101</v>
      </c>
      <c r="W8" s="529" t="e">
        <f>W7-#REF!</f>
        <v>#REF!</v>
      </c>
      <c r="X8" s="261"/>
      <c r="Y8" s="80" t="s">
        <v>2101</v>
      </c>
      <c r="Z8" s="20" t="e">
        <f>Z7-#REF!</f>
        <v>#REF!</v>
      </c>
      <c r="AA8" s="82" t="s">
        <v>2109</v>
      </c>
      <c r="AB8" s="83" t="e">
        <f>#REF!-#REF!</f>
        <v>#REF!</v>
      </c>
    </row>
    <row r="9" spans="1:51" ht="22.5" customHeight="1">
      <c r="A9" s="257" t="s">
        <v>2118</v>
      </c>
      <c r="B9" s="554">
        <v>0.9</v>
      </c>
      <c r="C9" s="555">
        <f>B9+D9+E9+F9+G9+H9+I9+J9+K9+L9+M9+N9+O9</f>
        <v>0.93</v>
      </c>
      <c r="D9" s="525">
        <v>0.01</v>
      </c>
      <c r="E9" s="525">
        <v>0.01</v>
      </c>
      <c r="F9" s="525">
        <v>0.01</v>
      </c>
      <c r="G9" s="525"/>
      <c r="H9" s="525"/>
      <c r="I9" s="525"/>
      <c r="J9" s="525"/>
      <c r="K9" s="525"/>
      <c r="L9" s="525"/>
      <c r="M9" s="525"/>
      <c r="N9" s="525"/>
      <c r="O9" s="525"/>
      <c r="P9" s="566" t="s">
        <v>2121</v>
      </c>
      <c r="Q9" s="490" t="s">
        <v>2122</v>
      </c>
      <c r="R9" s="553" t="s">
        <v>2119</v>
      </c>
      <c r="S9" s="537" t="s">
        <v>2120</v>
      </c>
      <c r="T9" s="521" t="s">
        <v>2105</v>
      </c>
      <c r="U9" s="522">
        <f>BH9/1100000</f>
        <v>0</v>
      </c>
      <c r="V9" s="523" t="s">
        <v>2106</v>
      </c>
      <c r="W9" s="524" t="e">
        <f>#REF!/1100000</f>
        <v>#REF!</v>
      </c>
      <c r="X9" s="260"/>
      <c r="Y9" s="80" t="s">
        <v>2105</v>
      </c>
      <c r="Z9" s="20">
        <v>133199000</v>
      </c>
      <c r="AA9" s="82"/>
      <c r="AB9" s="83">
        <f>SUM(AC9:AY9)</f>
        <v>0</v>
      </c>
      <c r="AC9" s="91"/>
      <c r="AD9" s="92"/>
      <c r="AE9" s="92"/>
      <c r="AF9" s="92"/>
      <c r="AG9" s="92"/>
      <c r="AH9" s="92"/>
      <c r="AI9" s="92"/>
      <c r="AJ9" s="92"/>
      <c r="AK9" s="92"/>
      <c r="AL9" s="92"/>
      <c r="AM9" s="92"/>
      <c r="AN9" s="92"/>
      <c r="AO9" s="92"/>
      <c r="AP9" s="92"/>
      <c r="AQ9" s="92"/>
      <c r="AR9" s="92"/>
      <c r="AS9" s="92"/>
      <c r="AT9" s="92"/>
      <c r="AU9" s="92"/>
      <c r="AV9" s="92"/>
      <c r="AW9" s="92"/>
      <c r="AX9" s="92"/>
      <c r="AY9" s="92"/>
    </row>
    <row r="10" spans="1:51" ht="22.5" customHeight="1">
      <c r="A10" s="258"/>
      <c r="B10" s="558"/>
      <c r="C10" s="559"/>
      <c r="D10" s="560"/>
      <c r="E10" s="560"/>
      <c r="F10" s="560"/>
      <c r="G10" s="560"/>
      <c r="H10" s="560"/>
      <c r="I10" s="560"/>
      <c r="J10" s="560"/>
      <c r="K10" s="560"/>
      <c r="L10" s="560"/>
      <c r="M10" s="560"/>
      <c r="N10" s="560"/>
      <c r="O10" s="560"/>
      <c r="P10" s="601"/>
      <c r="Q10" s="495"/>
      <c r="R10" s="557"/>
      <c r="S10" s="531" t="s">
        <v>2123</v>
      </c>
      <c r="T10" s="526" t="s">
        <v>2101</v>
      </c>
      <c r="U10" s="527" t="e">
        <f>U9-#REF!</f>
        <v>#REF!</v>
      </c>
      <c r="V10" s="532" t="s">
        <v>2101</v>
      </c>
      <c r="W10" s="529" t="e">
        <f>W9-#REF!</f>
        <v>#REF!</v>
      </c>
      <c r="X10" s="261"/>
      <c r="Y10" s="80" t="s">
        <v>2101</v>
      </c>
      <c r="Z10" s="20" t="e">
        <f>Z9-#REF!</f>
        <v>#REF!</v>
      </c>
      <c r="AA10" s="82" t="s">
        <v>2109</v>
      </c>
      <c r="AB10" s="83" t="e">
        <f>#REF!-#REF!</f>
        <v>#REF!</v>
      </c>
      <c r="AD10" s="77">
        <v>0</v>
      </c>
    </row>
    <row r="11" spans="1:51" ht="22.5" customHeight="1">
      <c r="A11" s="257" t="s">
        <v>2124</v>
      </c>
      <c r="B11" s="554">
        <v>0.9</v>
      </c>
      <c r="C11" s="555">
        <f>B11+D11+E11+F11+G11+H11+I11+J11+K11+L11+M11+N11+O11</f>
        <v>1</v>
      </c>
      <c r="D11" s="525">
        <v>0.01</v>
      </c>
      <c r="E11" s="525">
        <v>0.01</v>
      </c>
      <c r="F11" s="525">
        <v>0.01</v>
      </c>
      <c r="G11" s="525"/>
      <c r="H11" s="525"/>
      <c r="I11" s="525"/>
      <c r="J11" s="525"/>
      <c r="K11" s="525">
        <v>7.0000000000000007E-2</v>
      </c>
      <c r="L11" s="525"/>
      <c r="M11" s="525"/>
      <c r="N11" s="525"/>
      <c r="O11" s="525"/>
      <c r="P11" s="566" t="s">
        <v>1193</v>
      </c>
      <c r="Q11" s="490" t="s">
        <v>2127</v>
      </c>
      <c r="R11" s="553" t="s">
        <v>2125</v>
      </c>
      <c r="S11" s="520" t="s">
        <v>2126</v>
      </c>
      <c r="T11" s="521" t="s">
        <v>814</v>
      </c>
      <c r="U11" s="522">
        <f>BH11/1100000</f>
        <v>0</v>
      </c>
      <c r="V11" s="523" t="s">
        <v>1043</v>
      </c>
      <c r="W11" s="524" t="e">
        <f>#REF!/1100000</f>
        <v>#REF!</v>
      </c>
      <c r="X11" s="260"/>
      <c r="Y11" s="80" t="s">
        <v>814</v>
      </c>
      <c r="Z11" s="20">
        <v>102256000</v>
      </c>
      <c r="AA11" s="82"/>
      <c r="AB11" s="83">
        <f>SUM(AC11:AY11)</f>
        <v>0</v>
      </c>
      <c r="AC11" s="91"/>
      <c r="AD11" s="92"/>
      <c r="AE11" s="92"/>
      <c r="AF11" s="92"/>
      <c r="AG11" s="92"/>
      <c r="AH11" s="92"/>
      <c r="AI11" s="92"/>
      <c r="AJ11" s="92"/>
      <c r="AK11" s="92"/>
      <c r="AL11" s="92"/>
      <c r="AM11" s="92"/>
      <c r="AN11" s="92"/>
      <c r="AO11" s="92"/>
      <c r="AP11" s="92"/>
      <c r="AQ11" s="92"/>
      <c r="AR11" s="92"/>
      <c r="AS11" s="92"/>
      <c r="AT11" s="92"/>
      <c r="AU11" s="92"/>
      <c r="AV11" s="92"/>
      <c r="AW11" s="92"/>
      <c r="AX11" s="92"/>
      <c r="AY11" s="92"/>
    </row>
    <row r="12" spans="1:51" ht="22.5" customHeight="1">
      <c r="A12" s="258"/>
      <c r="B12" s="558"/>
      <c r="C12" s="559"/>
      <c r="D12" s="560"/>
      <c r="E12" s="560"/>
      <c r="F12" s="560"/>
      <c r="G12" s="560"/>
      <c r="H12" s="560"/>
      <c r="I12" s="560"/>
      <c r="J12" s="560"/>
      <c r="K12" s="560"/>
      <c r="L12" s="560"/>
      <c r="M12" s="560"/>
      <c r="N12" s="560"/>
      <c r="O12" s="560"/>
      <c r="P12" s="601"/>
      <c r="Q12" s="495"/>
      <c r="R12" s="557"/>
      <c r="S12" s="531"/>
      <c r="T12" s="526" t="s">
        <v>2101</v>
      </c>
      <c r="U12" s="527" t="e">
        <f>U11-#REF!</f>
        <v>#REF!</v>
      </c>
      <c r="V12" s="532" t="s">
        <v>2101</v>
      </c>
      <c r="W12" s="529" t="e">
        <f>W11-#REF!</f>
        <v>#REF!</v>
      </c>
      <c r="X12" s="261"/>
      <c r="Y12" s="80" t="s">
        <v>2101</v>
      </c>
      <c r="Z12" s="20" t="e">
        <f>Z11-#REF!</f>
        <v>#REF!</v>
      </c>
      <c r="AA12" s="82" t="s">
        <v>2109</v>
      </c>
      <c r="AB12" s="83" t="e">
        <f>#REF!-#REF!</f>
        <v>#REF!</v>
      </c>
    </row>
    <row r="13" spans="1:51" ht="22.5" customHeight="1">
      <c r="A13" s="257" t="s">
        <v>2128</v>
      </c>
      <c r="B13" s="554">
        <v>0.82</v>
      </c>
      <c r="C13" s="555">
        <f>B13+D13+E13+F13+G13+H13+I13+J13+K13+L13+M13+N13+O13</f>
        <v>0.95000000000000007</v>
      </c>
      <c r="D13" s="525">
        <v>0.05</v>
      </c>
      <c r="E13" s="525">
        <v>0.05</v>
      </c>
      <c r="F13" s="525">
        <v>0.03</v>
      </c>
      <c r="G13" s="525"/>
      <c r="H13" s="525"/>
      <c r="I13" s="525"/>
      <c r="J13" s="525"/>
      <c r="K13" s="525"/>
      <c r="L13" s="525"/>
      <c r="M13" s="525"/>
      <c r="N13" s="525"/>
      <c r="O13" s="525"/>
      <c r="P13" s="490" t="s">
        <v>2131</v>
      </c>
      <c r="Q13" s="490" t="s">
        <v>2132</v>
      </c>
      <c r="R13" s="553" t="s">
        <v>2129</v>
      </c>
      <c r="S13" s="520" t="s">
        <v>2130</v>
      </c>
      <c r="T13" s="521" t="s">
        <v>814</v>
      </c>
      <c r="U13" s="522">
        <f>BH13/1100000</f>
        <v>0</v>
      </c>
      <c r="V13" s="523" t="s">
        <v>1043</v>
      </c>
      <c r="W13" s="524" t="e">
        <f>#REF!/1100000</f>
        <v>#REF!</v>
      </c>
      <c r="X13" s="260" t="s">
        <v>1421</v>
      </c>
      <c r="Y13" s="80" t="s">
        <v>814</v>
      </c>
      <c r="Z13" s="20">
        <v>66555000</v>
      </c>
      <c r="AA13" s="82"/>
      <c r="AB13" s="83">
        <f>SUM(AC13:AY13)</f>
        <v>0</v>
      </c>
      <c r="AC13" s="91" t="s">
        <v>1078</v>
      </c>
      <c r="AD13" s="92"/>
      <c r="AE13" s="92" t="s">
        <v>1079</v>
      </c>
      <c r="AF13" s="92"/>
      <c r="AG13" s="92" t="s">
        <v>1080</v>
      </c>
      <c r="AH13" s="92"/>
      <c r="AI13" s="92" t="s">
        <v>1080</v>
      </c>
      <c r="AJ13" s="92"/>
      <c r="AK13" s="92" t="s">
        <v>1080</v>
      </c>
      <c r="AL13" s="92"/>
      <c r="AM13" s="92"/>
      <c r="AN13" s="92"/>
      <c r="AO13" s="92"/>
      <c r="AP13" s="92"/>
      <c r="AQ13" s="92"/>
      <c r="AR13" s="92"/>
      <c r="AS13" s="92"/>
      <c r="AT13" s="92"/>
      <c r="AU13" s="92"/>
      <c r="AV13" s="92"/>
      <c r="AW13" s="92"/>
      <c r="AX13" s="92"/>
      <c r="AY13" s="92"/>
    </row>
    <row r="14" spans="1:51" ht="22.5" customHeight="1">
      <c r="A14" s="258"/>
      <c r="B14" s="558"/>
      <c r="C14" s="559"/>
      <c r="D14" s="560"/>
      <c r="E14" s="560"/>
      <c r="F14" s="560"/>
      <c r="G14" s="560"/>
      <c r="H14" s="560"/>
      <c r="I14" s="560"/>
      <c r="J14" s="560"/>
      <c r="K14" s="560"/>
      <c r="L14" s="560"/>
      <c r="M14" s="560"/>
      <c r="N14" s="560"/>
      <c r="O14" s="560"/>
      <c r="P14" s="495"/>
      <c r="Q14" s="495"/>
      <c r="R14" s="557"/>
      <c r="S14" s="531" t="s">
        <v>2133</v>
      </c>
      <c r="T14" s="526" t="s">
        <v>817</v>
      </c>
      <c r="U14" s="527" t="e">
        <f>U13-#REF!</f>
        <v>#REF!</v>
      </c>
      <c r="V14" s="532" t="s">
        <v>817</v>
      </c>
      <c r="W14" s="529" t="e">
        <f>W13-#REF!</f>
        <v>#REF!</v>
      </c>
      <c r="X14" s="261"/>
      <c r="Y14" s="80" t="s">
        <v>817</v>
      </c>
      <c r="Z14" s="20" t="e">
        <f>Z13-#REF!</f>
        <v>#REF!</v>
      </c>
      <c r="AA14" s="82" t="s">
        <v>1045</v>
      </c>
      <c r="AB14" s="83" t="e">
        <f>#REF!-#REF!</f>
        <v>#REF!</v>
      </c>
    </row>
    <row r="15" spans="1:51" ht="22.5" customHeight="1">
      <c r="A15" s="257" t="s">
        <v>2135</v>
      </c>
      <c r="B15" s="554">
        <v>0.99</v>
      </c>
      <c r="C15" s="555">
        <f>B15+D15+E15+F15+G15+H15+I15+J15+K15+L15+M15+N15+O15</f>
        <v>1</v>
      </c>
      <c r="D15" s="525"/>
      <c r="E15" s="525">
        <v>0.01</v>
      </c>
      <c r="F15" s="525"/>
      <c r="G15" s="525"/>
      <c r="H15" s="525"/>
      <c r="I15" s="525"/>
      <c r="J15" s="525"/>
      <c r="K15" s="525"/>
      <c r="L15" s="525"/>
      <c r="M15" s="525"/>
      <c r="N15" s="525"/>
      <c r="O15" s="525"/>
      <c r="P15" s="490" t="s">
        <v>1193</v>
      </c>
      <c r="Q15" s="490" t="s">
        <v>2138</v>
      </c>
      <c r="R15" s="553" t="s">
        <v>2136</v>
      </c>
      <c r="S15" s="520" t="s">
        <v>2137</v>
      </c>
      <c r="T15" s="521" t="s">
        <v>814</v>
      </c>
      <c r="U15" s="522">
        <f>BH15/1100000</f>
        <v>0</v>
      </c>
      <c r="V15" s="523" t="s">
        <v>1043</v>
      </c>
      <c r="W15" s="524" t="e">
        <f>#REF!/1100000</f>
        <v>#REF!</v>
      </c>
      <c r="X15" s="260" t="s">
        <v>2139</v>
      </c>
      <c r="Y15" s="80" t="s">
        <v>814</v>
      </c>
      <c r="Z15" s="20">
        <v>186123800</v>
      </c>
      <c r="AA15" s="82"/>
      <c r="AB15" s="83">
        <f>SUM(AC15:AY15)</f>
        <v>0</v>
      </c>
      <c r="AC15" s="91" t="s">
        <v>1078</v>
      </c>
      <c r="AD15" s="92"/>
      <c r="AE15" s="92" t="s">
        <v>1079</v>
      </c>
      <c r="AF15" s="92"/>
      <c r="AG15" s="92" t="s">
        <v>1080</v>
      </c>
      <c r="AH15" s="92"/>
      <c r="AI15" s="92" t="s">
        <v>1080</v>
      </c>
      <c r="AJ15" s="92"/>
      <c r="AK15" s="92" t="s">
        <v>1080</v>
      </c>
      <c r="AL15" s="92"/>
      <c r="AM15" s="92"/>
      <c r="AN15" s="92"/>
      <c r="AO15" s="92"/>
      <c r="AP15" s="92"/>
      <c r="AQ15" s="92"/>
      <c r="AR15" s="92"/>
      <c r="AS15" s="92"/>
      <c r="AT15" s="92"/>
      <c r="AU15" s="92"/>
      <c r="AV15" s="92"/>
      <c r="AW15" s="92"/>
      <c r="AX15" s="92"/>
      <c r="AY15" s="92"/>
    </row>
    <row r="16" spans="1:51" ht="22.5" customHeight="1">
      <c r="A16" s="258"/>
      <c r="B16" s="558"/>
      <c r="C16" s="559"/>
      <c r="D16" s="560"/>
      <c r="E16" s="560"/>
      <c r="F16" s="560"/>
      <c r="G16" s="560"/>
      <c r="H16" s="560"/>
      <c r="I16" s="560"/>
      <c r="J16" s="560"/>
      <c r="K16" s="560"/>
      <c r="L16" s="560"/>
      <c r="M16" s="560"/>
      <c r="N16" s="560"/>
      <c r="O16" s="560"/>
      <c r="P16" s="502"/>
      <c r="Q16" s="495"/>
      <c r="R16" s="557"/>
      <c r="S16" s="531"/>
      <c r="T16" s="526" t="s">
        <v>817</v>
      </c>
      <c r="U16" s="527" t="e">
        <f>U15-#REF!</f>
        <v>#REF!</v>
      </c>
      <c r="V16" s="532" t="s">
        <v>817</v>
      </c>
      <c r="W16" s="529" t="e">
        <f>W15-#REF!</f>
        <v>#REF!</v>
      </c>
      <c r="X16" s="261"/>
      <c r="Y16" s="80" t="s">
        <v>817</v>
      </c>
      <c r="Z16" s="20" t="e">
        <f>Z15-#REF!</f>
        <v>#REF!</v>
      </c>
      <c r="AA16" s="82" t="s">
        <v>1045</v>
      </c>
      <c r="AB16" s="83" t="e">
        <f>#REF!-#REF!</f>
        <v>#REF!</v>
      </c>
    </row>
    <row r="17" spans="1:51" ht="22.5" customHeight="1">
      <c r="A17" s="257" t="s">
        <v>2140</v>
      </c>
      <c r="B17" s="554">
        <v>0.9</v>
      </c>
      <c r="C17" s="555">
        <f>B17+D17+E17+F17+G17+H17+I17+J17+K17+L17+M17+N17+O17</f>
        <v>0.95000000000000007</v>
      </c>
      <c r="D17" s="525">
        <v>0.02</v>
      </c>
      <c r="E17" s="525">
        <v>0.02</v>
      </c>
      <c r="F17" s="525">
        <v>0.01</v>
      </c>
      <c r="G17" s="525"/>
      <c r="H17" s="525"/>
      <c r="I17" s="525"/>
      <c r="J17" s="525"/>
      <c r="K17" s="525"/>
      <c r="L17" s="525"/>
      <c r="M17" s="525"/>
      <c r="N17" s="525"/>
      <c r="O17" s="525"/>
      <c r="P17" s="490" t="s">
        <v>2143</v>
      </c>
      <c r="Q17" s="490" t="s">
        <v>2144</v>
      </c>
      <c r="R17" s="553" t="s">
        <v>2141</v>
      </c>
      <c r="S17" s="520" t="s">
        <v>2142</v>
      </c>
      <c r="T17" s="521" t="s">
        <v>814</v>
      </c>
      <c r="U17" s="522">
        <f>BH17/1100000</f>
        <v>0</v>
      </c>
      <c r="V17" s="523" t="s">
        <v>1043</v>
      </c>
      <c r="W17" s="524" t="e">
        <f>#REF!/1100000</f>
        <v>#REF!</v>
      </c>
      <c r="X17" s="260" t="s">
        <v>2145</v>
      </c>
      <c r="Y17" s="80" t="s">
        <v>814</v>
      </c>
      <c r="Z17" s="20">
        <v>115439940</v>
      </c>
      <c r="AA17" s="82"/>
      <c r="AB17" s="83">
        <f>SUM(AC17:AY17)</f>
        <v>0</v>
      </c>
      <c r="AC17" s="91" t="s">
        <v>1078</v>
      </c>
      <c r="AD17" s="92"/>
      <c r="AE17" s="92" t="s">
        <v>1079</v>
      </c>
      <c r="AF17" s="92"/>
      <c r="AG17" s="92" t="s">
        <v>1080</v>
      </c>
      <c r="AH17" s="92"/>
      <c r="AI17" s="92" t="s">
        <v>1080</v>
      </c>
      <c r="AJ17" s="92"/>
      <c r="AK17" s="92" t="s">
        <v>1080</v>
      </c>
      <c r="AL17" s="92"/>
      <c r="AM17" s="92"/>
      <c r="AN17" s="92"/>
      <c r="AO17" s="92"/>
      <c r="AP17" s="92"/>
      <c r="AQ17" s="92"/>
      <c r="AR17" s="92"/>
      <c r="AS17" s="92"/>
      <c r="AT17" s="92"/>
      <c r="AU17" s="92"/>
      <c r="AV17" s="92"/>
      <c r="AW17" s="92"/>
      <c r="AX17" s="92"/>
      <c r="AY17" s="92"/>
    </row>
    <row r="18" spans="1:51" ht="22.5" customHeight="1">
      <c r="A18" s="258"/>
      <c r="B18" s="558"/>
      <c r="C18" s="559"/>
      <c r="D18" s="560"/>
      <c r="E18" s="560"/>
      <c r="F18" s="560"/>
      <c r="G18" s="560"/>
      <c r="H18" s="560"/>
      <c r="I18" s="560"/>
      <c r="J18" s="560"/>
      <c r="K18" s="560"/>
      <c r="L18" s="560"/>
      <c r="M18" s="560"/>
      <c r="N18" s="560"/>
      <c r="O18" s="560"/>
      <c r="P18" s="502"/>
      <c r="Q18" s="495"/>
      <c r="R18" s="557"/>
      <c r="S18" s="531" t="s">
        <v>2146</v>
      </c>
      <c r="T18" s="526" t="s">
        <v>817</v>
      </c>
      <c r="U18" s="527" t="e">
        <f>U17-#REF!</f>
        <v>#REF!</v>
      </c>
      <c r="V18" s="532" t="s">
        <v>817</v>
      </c>
      <c r="W18" s="529" t="e">
        <f>W17-#REF!</f>
        <v>#REF!</v>
      </c>
      <c r="X18" s="261"/>
      <c r="Y18" s="80" t="s">
        <v>817</v>
      </c>
      <c r="Z18" s="20" t="e">
        <f>Z17-#REF!</f>
        <v>#REF!</v>
      </c>
      <c r="AA18" s="82" t="s">
        <v>1045</v>
      </c>
      <c r="AB18" s="83" t="e">
        <f>#REF!-#REF!</f>
        <v>#REF!</v>
      </c>
    </row>
    <row r="19" spans="1:51" ht="22.5" customHeight="1">
      <c r="A19" s="257" t="s">
        <v>2147</v>
      </c>
      <c r="B19" s="554">
        <v>0.7</v>
      </c>
      <c r="C19" s="555">
        <f>B19+D19+E19+F19+G19+H19+I19+J19+K19+L19+M19+N19+O19</f>
        <v>0.72</v>
      </c>
      <c r="D19" s="525">
        <v>0.01</v>
      </c>
      <c r="E19" s="525">
        <v>0.01</v>
      </c>
      <c r="F19" s="525"/>
      <c r="G19" s="525"/>
      <c r="H19" s="525"/>
      <c r="I19" s="525"/>
      <c r="J19" s="525"/>
      <c r="K19" s="525"/>
      <c r="L19" s="525"/>
      <c r="M19" s="525"/>
      <c r="N19" s="525"/>
      <c r="O19" s="525"/>
      <c r="P19" s="566" t="s">
        <v>2150</v>
      </c>
      <c r="Q19" s="490" t="s">
        <v>2151</v>
      </c>
      <c r="R19" s="553" t="s">
        <v>2148</v>
      </c>
      <c r="S19" s="520" t="s">
        <v>2149</v>
      </c>
      <c r="T19" s="521" t="s">
        <v>814</v>
      </c>
      <c r="U19" s="522">
        <f>BH19/1100000</f>
        <v>0</v>
      </c>
      <c r="V19" s="523" t="s">
        <v>1043</v>
      </c>
      <c r="W19" s="524" t="e">
        <f>#REF!/1100000</f>
        <v>#REF!</v>
      </c>
      <c r="X19" s="260" t="s">
        <v>2152</v>
      </c>
      <c r="Y19" s="80" t="s">
        <v>814</v>
      </c>
      <c r="Z19" s="20">
        <v>178279000</v>
      </c>
      <c r="AA19" s="82"/>
      <c r="AB19" s="83">
        <f>SUM(AC19:AY19)</f>
        <v>0</v>
      </c>
      <c r="AC19" s="91" t="s">
        <v>1078</v>
      </c>
      <c r="AD19" s="92"/>
      <c r="AE19" s="92" t="s">
        <v>1079</v>
      </c>
      <c r="AF19" s="92"/>
      <c r="AG19" s="92" t="s">
        <v>1080</v>
      </c>
      <c r="AH19" s="92"/>
      <c r="AI19" s="92" t="s">
        <v>1080</v>
      </c>
      <c r="AJ19" s="92"/>
      <c r="AK19" s="92" t="s">
        <v>1080</v>
      </c>
      <c r="AL19" s="92"/>
      <c r="AM19" s="92"/>
      <c r="AN19" s="92"/>
      <c r="AO19" s="92"/>
      <c r="AP19" s="92"/>
      <c r="AQ19" s="92"/>
      <c r="AR19" s="92"/>
      <c r="AS19" s="92"/>
      <c r="AT19" s="92"/>
      <c r="AU19" s="92"/>
      <c r="AV19" s="92"/>
      <c r="AW19" s="92"/>
      <c r="AX19" s="92"/>
      <c r="AY19" s="92"/>
    </row>
    <row r="20" spans="1:51" ht="22.5" customHeight="1">
      <c r="A20" s="258"/>
      <c r="B20" s="558"/>
      <c r="C20" s="559"/>
      <c r="D20" s="560"/>
      <c r="E20" s="560"/>
      <c r="F20" s="560"/>
      <c r="G20" s="560"/>
      <c r="H20" s="560"/>
      <c r="I20" s="560"/>
      <c r="J20" s="560"/>
      <c r="K20" s="560"/>
      <c r="L20" s="560"/>
      <c r="M20" s="560"/>
      <c r="N20" s="560"/>
      <c r="O20" s="560"/>
      <c r="P20" s="602"/>
      <c r="Q20" s="495"/>
      <c r="R20" s="557"/>
      <c r="S20" s="531" t="s">
        <v>2153</v>
      </c>
      <c r="T20" s="526" t="s">
        <v>817</v>
      </c>
      <c r="U20" s="527" t="e">
        <f>U19-#REF!</f>
        <v>#REF!</v>
      </c>
      <c r="V20" s="532" t="s">
        <v>817</v>
      </c>
      <c r="W20" s="529" t="e">
        <f>W19-#REF!</f>
        <v>#REF!</v>
      </c>
      <c r="X20" s="261"/>
      <c r="Y20" s="80" t="s">
        <v>817</v>
      </c>
      <c r="Z20" s="20" t="e">
        <f>Z19-#REF!</f>
        <v>#REF!</v>
      </c>
      <c r="AA20" s="82" t="s">
        <v>1045</v>
      </c>
      <c r="AB20" s="83" t="e">
        <f>#REF!-#REF!</f>
        <v>#REF!</v>
      </c>
    </row>
    <row r="21" spans="1:51" ht="22.5" customHeight="1">
      <c r="A21" s="257" t="s">
        <v>2154</v>
      </c>
      <c r="B21" s="554">
        <v>0.7</v>
      </c>
      <c r="C21" s="555">
        <f>B21+D21+E21+F21+G21+H21+I21+J21+K21+L21+M21+N21+O21</f>
        <v>0.82000000000000006</v>
      </c>
      <c r="D21" s="525">
        <v>0.05</v>
      </c>
      <c r="E21" s="525">
        <v>0.05</v>
      </c>
      <c r="F21" s="525">
        <v>0.02</v>
      </c>
      <c r="G21" s="525"/>
      <c r="H21" s="525"/>
      <c r="I21" s="525"/>
      <c r="J21" s="525"/>
      <c r="K21" s="525"/>
      <c r="L21" s="525"/>
      <c r="M21" s="525"/>
      <c r="N21" s="525"/>
      <c r="O21" s="525"/>
      <c r="P21" s="490" t="s">
        <v>2157</v>
      </c>
      <c r="Q21" s="490" t="s">
        <v>2158</v>
      </c>
      <c r="R21" s="553" t="s">
        <v>2155</v>
      </c>
      <c r="S21" s="520" t="s">
        <v>2156</v>
      </c>
      <c r="T21" s="521" t="s">
        <v>814</v>
      </c>
      <c r="U21" s="522">
        <f>BH21/1100000</f>
        <v>0</v>
      </c>
      <c r="V21" s="523" t="s">
        <v>1043</v>
      </c>
      <c r="W21" s="524" t="e">
        <f>#REF!/1100000</f>
        <v>#REF!</v>
      </c>
      <c r="X21" s="260" t="s">
        <v>2159</v>
      </c>
      <c r="Y21" s="80" t="s">
        <v>814</v>
      </c>
      <c r="Z21" s="20">
        <v>505021000</v>
      </c>
      <c r="AA21" s="82"/>
      <c r="AB21" s="83">
        <f>SUM(AC21:AY21)</f>
        <v>0</v>
      </c>
      <c r="AC21" s="91" t="s">
        <v>1078</v>
      </c>
      <c r="AD21" s="92"/>
      <c r="AE21" s="92" t="s">
        <v>1079</v>
      </c>
      <c r="AF21" s="92"/>
      <c r="AG21" s="92" t="s">
        <v>1080</v>
      </c>
      <c r="AH21" s="92"/>
      <c r="AI21" s="92" t="s">
        <v>1080</v>
      </c>
      <c r="AJ21" s="92"/>
      <c r="AK21" s="92" t="s">
        <v>1080</v>
      </c>
      <c r="AL21" s="92"/>
      <c r="AM21" s="92"/>
      <c r="AN21" s="92"/>
      <c r="AO21" s="92"/>
      <c r="AP21" s="92"/>
      <c r="AQ21" s="92"/>
      <c r="AR21" s="92"/>
      <c r="AS21" s="92"/>
      <c r="AT21" s="92"/>
      <c r="AU21" s="92"/>
      <c r="AV21" s="92"/>
      <c r="AW21" s="92"/>
      <c r="AX21" s="92"/>
      <c r="AY21" s="92"/>
    </row>
    <row r="22" spans="1:51" ht="22.5" customHeight="1">
      <c r="A22" s="258"/>
      <c r="B22" s="558"/>
      <c r="C22" s="559"/>
      <c r="D22" s="560"/>
      <c r="E22" s="560"/>
      <c r="F22" s="560"/>
      <c r="G22" s="560"/>
      <c r="H22" s="560"/>
      <c r="I22" s="560"/>
      <c r="J22" s="560"/>
      <c r="K22" s="560"/>
      <c r="L22" s="560"/>
      <c r="M22" s="560"/>
      <c r="N22" s="560"/>
      <c r="O22" s="560"/>
      <c r="P22" s="502"/>
      <c r="Q22" s="495"/>
      <c r="R22" s="557"/>
      <c r="S22" s="531" t="s">
        <v>1842</v>
      </c>
      <c r="T22" s="526" t="s">
        <v>817</v>
      </c>
      <c r="U22" s="527" t="e">
        <f>U21-#REF!</f>
        <v>#REF!</v>
      </c>
      <c r="V22" s="532" t="s">
        <v>817</v>
      </c>
      <c r="W22" s="529" t="e">
        <f>W21-#REF!</f>
        <v>#REF!</v>
      </c>
      <c r="X22" s="261"/>
      <c r="Y22" s="80" t="s">
        <v>817</v>
      </c>
      <c r="Z22" s="20" t="e">
        <f>Z21-#REF!</f>
        <v>#REF!</v>
      </c>
      <c r="AA22" s="82" t="s">
        <v>1045</v>
      </c>
      <c r="AB22" s="83"/>
    </row>
    <row r="23" spans="1:51" ht="22.5" customHeight="1">
      <c r="A23" s="257" t="s">
        <v>2160</v>
      </c>
      <c r="B23" s="554">
        <v>1</v>
      </c>
      <c r="C23" s="555">
        <f>B23+D23+E23+F23+G23+H23+I23+J23+K23+L23+M23+N23+O23</f>
        <v>1</v>
      </c>
      <c r="D23" s="525"/>
      <c r="E23" s="525"/>
      <c r="F23" s="525"/>
      <c r="G23" s="525"/>
      <c r="H23" s="525"/>
      <c r="I23" s="525"/>
      <c r="J23" s="525"/>
      <c r="K23" s="525"/>
      <c r="L23" s="525"/>
      <c r="M23" s="525"/>
      <c r="N23" s="525"/>
      <c r="O23" s="525"/>
      <c r="P23" s="490" t="s">
        <v>1193</v>
      </c>
      <c r="Q23" s="490" t="s">
        <v>2163</v>
      </c>
      <c r="R23" s="553" t="s">
        <v>2161</v>
      </c>
      <c r="S23" s="520" t="s">
        <v>2162</v>
      </c>
      <c r="T23" s="521" t="s">
        <v>814</v>
      </c>
      <c r="U23" s="522">
        <f>BH23/1100000</f>
        <v>0</v>
      </c>
      <c r="V23" s="523" t="s">
        <v>1043</v>
      </c>
      <c r="W23" s="524" t="e">
        <f>#REF!/1100000</f>
        <v>#REF!</v>
      </c>
      <c r="X23" s="260" t="s">
        <v>2164</v>
      </c>
      <c r="Y23" s="80" t="s">
        <v>814</v>
      </c>
      <c r="Z23" s="20">
        <v>456795000</v>
      </c>
      <c r="AA23" s="82"/>
      <c r="AB23" s="83">
        <f>SUM(AC23:AY23)</f>
        <v>0</v>
      </c>
      <c r="AC23" s="91" t="s">
        <v>1078</v>
      </c>
      <c r="AD23" s="92"/>
      <c r="AE23" s="92" t="s">
        <v>1079</v>
      </c>
      <c r="AF23" s="92"/>
      <c r="AG23" s="92" t="s">
        <v>1080</v>
      </c>
      <c r="AH23" s="92"/>
      <c r="AI23" s="92" t="s">
        <v>1080</v>
      </c>
      <c r="AJ23" s="92"/>
      <c r="AK23" s="92" t="s">
        <v>1080</v>
      </c>
      <c r="AL23" s="92"/>
      <c r="AM23" s="92"/>
      <c r="AN23" s="92"/>
      <c r="AO23" s="92"/>
      <c r="AP23" s="92"/>
      <c r="AQ23" s="92"/>
      <c r="AR23" s="92"/>
      <c r="AS23" s="92"/>
      <c r="AT23" s="92"/>
      <c r="AU23" s="92"/>
      <c r="AV23" s="92"/>
      <c r="AW23" s="92"/>
      <c r="AX23" s="92"/>
      <c r="AY23" s="92"/>
    </row>
    <row r="24" spans="1:51" ht="22.5" customHeight="1">
      <c r="A24" s="258"/>
      <c r="B24" s="558"/>
      <c r="C24" s="559"/>
      <c r="D24" s="560"/>
      <c r="E24" s="560"/>
      <c r="F24" s="560"/>
      <c r="G24" s="560"/>
      <c r="H24" s="560"/>
      <c r="I24" s="560"/>
      <c r="J24" s="560"/>
      <c r="K24" s="560"/>
      <c r="L24" s="560"/>
      <c r="M24" s="560"/>
      <c r="N24" s="560"/>
      <c r="O24" s="560"/>
      <c r="P24" s="502"/>
      <c r="Q24" s="495"/>
      <c r="R24" s="557"/>
      <c r="S24" s="531"/>
      <c r="T24" s="526" t="s">
        <v>196</v>
      </c>
      <c r="U24" s="527" t="e">
        <f>U23-#REF!</f>
        <v>#REF!</v>
      </c>
      <c r="V24" s="532" t="s">
        <v>196</v>
      </c>
      <c r="W24" s="529" t="e">
        <f>W23-#REF!</f>
        <v>#REF!</v>
      </c>
      <c r="X24" s="261"/>
      <c r="Y24" s="80" t="s">
        <v>196</v>
      </c>
      <c r="Z24" s="20" t="e">
        <f>Z23-#REF!</f>
        <v>#REF!</v>
      </c>
      <c r="AA24" s="82" t="s">
        <v>1051</v>
      </c>
      <c r="AB24" s="83"/>
    </row>
    <row r="25" spans="1:51" ht="22.5" customHeight="1">
      <c r="A25" s="257" t="s">
        <v>2165</v>
      </c>
      <c r="B25" s="554">
        <v>0.77</v>
      </c>
      <c r="C25" s="555">
        <f>B25+D25+E25+F25+G25+H25+I25+J25+K25+L25+M25+N25+O25</f>
        <v>0.79</v>
      </c>
      <c r="D25" s="525">
        <v>0.01</v>
      </c>
      <c r="E25" s="525">
        <v>0.01</v>
      </c>
      <c r="F25" s="525"/>
      <c r="G25" s="525"/>
      <c r="H25" s="525"/>
      <c r="I25" s="525"/>
      <c r="J25" s="525"/>
      <c r="K25" s="525"/>
      <c r="L25" s="525"/>
      <c r="M25" s="525"/>
      <c r="N25" s="525"/>
      <c r="O25" s="525"/>
      <c r="P25" s="490" t="s">
        <v>2167</v>
      </c>
      <c r="Q25" s="490" t="s">
        <v>2168</v>
      </c>
      <c r="R25" s="553" t="s">
        <v>2166</v>
      </c>
      <c r="S25" s="520" t="s">
        <v>424</v>
      </c>
      <c r="T25" s="521" t="s">
        <v>89</v>
      </c>
      <c r="U25" s="522">
        <f>BH25/1100000</f>
        <v>0</v>
      </c>
      <c r="V25" s="523" t="s">
        <v>41</v>
      </c>
      <c r="W25" s="524" t="e">
        <f>#REF!/1100000</f>
        <v>#REF!</v>
      </c>
      <c r="X25" s="260" t="s">
        <v>2169</v>
      </c>
      <c r="Y25" s="80" t="s">
        <v>89</v>
      </c>
      <c r="Z25" s="20">
        <v>304971940</v>
      </c>
      <c r="AA25" s="82"/>
      <c r="AB25" s="83">
        <f>SUM(AC25:AY25)</f>
        <v>0</v>
      </c>
      <c r="AC25" s="91" t="s">
        <v>1104</v>
      </c>
      <c r="AD25" s="92"/>
      <c r="AE25" s="92" t="s">
        <v>1105</v>
      </c>
      <c r="AF25" s="92"/>
      <c r="AG25" s="92" t="s">
        <v>207</v>
      </c>
      <c r="AH25" s="92"/>
      <c r="AI25" s="92" t="s">
        <v>207</v>
      </c>
      <c r="AJ25" s="92"/>
      <c r="AK25" s="92" t="s">
        <v>207</v>
      </c>
      <c r="AL25" s="92"/>
      <c r="AM25" s="92"/>
      <c r="AN25" s="92"/>
      <c r="AO25" s="92"/>
      <c r="AP25" s="92"/>
      <c r="AQ25" s="92"/>
      <c r="AR25" s="92"/>
      <c r="AS25" s="92"/>
      <c r="AT25" s="92"/>
      <c r="AU25" s="92"/>
      <c r="AV25" s="92"/>
      <c r="AW25" s="92"/>
      <c r="AX25" s="92"/>
      <c r="AY25" s="92"/>
    </row>
    <row r="26" spans="1:51" ht="22.5" customHeight="1">
      <c r="A26" s="258"/>
      <c r="B26" s="558"/>
      <c r="C26" s="559"/>
      <c r="D26" s="560"/>
      <c r="E26" s="560"/>
      <c r="F26" s="560"/>
      <c r="G26" s="560"/>
      <c r="H26" s="560"/>
      <c r="I26" s="560"/>
      <c r="J26" s="560"/>
      <c r="K26" s="560"/>
      <c r="L26" s="560"/>
      <c r="M26" s="560"/>
      <c r="N26" s="560"/>
      <c r="O26" s="560"/>
      <c r="P26" s="502"/>
      <c r="Q26" s="495"/>
      <c r="R26" s="557"/>
      <c r="S26" s="531" t="s">
        <v>2170</v>
      </c>
      <c r="T26" s="526" t="s">
        <v>196</v>
      </c>
      <c r="U26" s="527" t="e">
        <f>U25-#REF!</f>
        <v>#REF!</v>
      </c>
      <c r="V26" s="532" t="s">
        <v>196</v>
      </c>
      <c r="W26" s="529" t="e">
        <f>W25-#REF!</f>
        <v>#REF!</v>
      </c>
      <c r="X26" s="261"/>
      <c r="Y26" s="80" t="s">
        <v>196</v>
      </c>
      <c r="Z26" s="20" t="e">
        <f>Z25-#REF!</f>
        <v>#REF!</v>
      </c>
      <c r="AA26" s="82" t="s">
        <v>1051</v>
      </c>
      <c r="AB26" s="83"/>
    </row>
    <row r="27" spans="1:51" ht="22.5" customHeight="1">
      <c r="A27" s="257" t="s">
        <v>2171</v>
      </c>
      <c r="B27" s="554">
        <v>0.98</v>
      </c>
      <c r="C27" s="555">
        <f>B27+D27+E27+F27+G27+H27+I27+J27+K27+L27+M27+N27+O27</f>
        <v>1</v>
      </c>
      <c r="D27" s="525">
        <v>0.01</v>
      </c>
      <c r="E27" s="525">
        <v>0.01</v>
      </c>
      <c r="F27" s="525"/>
      <c r="G27" s="525"/>
      <c r="H27" s="525"/>
      <c r="I27" s="525"/>
      <c r="J27" s="525"/>
      <c r="K27" s="525"/>
      <c r="L27" s="525"/>
      <c r="M27" s="525"/>
      <c r="N27" s="525"/>
      <c r="O27" s="525"/>
      <c r="P27" s="490" t="s">
        <v>1121</v>
      </c>
      <c r="Q27" s="490" t="s">
        <v>2174</v>
      </c>
      <c r="R27" s="553" t="s">
        <v>2172</v>
      </c>
      <c r="S27" s="520" t="s">
        <v>2173</v>
      </c>
      <c r="T27" s="521" t="s">
        <v>89</v>
      </c>
      <c r="U27" s="522">
        <f>BH27/1100000</f>
        <v>0</v>
      </c>
      <c r="V27" s="523" t="s">
        <v>41</v>
      </c>
      <c r="W27" s="524" t="e">
        <f>#REF!/1100000</f>
        <v>#REF!</v>
      </c>
      <c r="X27" s="260" t="s">
        <v>62</v>
      </c>
      <c r="Y27" s="80" t="s">
        <v>89</v>
      </c>
      <c r="Z27" s="20">
        <v>236407500</v>
      </c>
      <c r="AA27" s="82"/>
      <c r="AB27" s="83">
        <f>SUM(AC27:AY27)</f>
        <v>0</v>
      </c>
      <c r="AC27" s="91" t="s">
        <v>1104</v>
      </c>
      <c r="AD27" s="92"/>
      <c r="AE27" s="92" t="s">
        <v>1105</v>
      </c>
      <c r="AF27" s="92"/>
      <c r="AG27" s="92" t="s">
        <v>207</v>
      </c>
      <c r="AH27" s="92"/>
      <c r="AI27" s="92" t="s">
        <v>207</v>
      </c>
      <c r="AJ27" s="92"/>
      <c r="AK27" s="92" t="s">
        <v>207</v>
      </c>
      <c r="AL27" s="92"/>
      <c r="AM27" s="92"/>
      <c r="AN27" s="92"/>
      <c r="AO27" s="92"/>
      <c r="AP27" s="92"/>
      <c r="AQ27" s="92"/>
      <c r="AR27" s="92"/>
      <c r="AS27" s="92"/>
      <c r="AT27" s="92"/>
      <c r="AU27" s="92"/>
      <c r="AV27" s="92"/>
      <c r="AW27" s="92"/>
      <c r="AX27" s="92"/>
      <c r="AY27" s="92"/>
    </row>
    <row r="28" spans="1:51" ht="22.5" customHeight="1">
      <c r="A28" s="258"/>
      <c r="B28" s="558"/>
      <c r="C28" s="559"/>
      <c r="D28" s="560"/>
      <c r="E28" s="560"/>
      <c r="F28" s="560"/>
      <c r="G28" s="560"/>
      <c r="H28" s="560"/>
      <c r="I28" s="560"/>
      <c r="J28" s="560"/>
      <c r="K28" s="560"/>
      <c r="L28" s="560"/>
      <c r="M28" s="560"/>
      <c r="N28" s="560"/>
      <c r="O28" s="560"/>
      <c r="P28" s="502"/>
      <c r="Q28" s="495"/>
      <c r="R28" s="557"/>
      <c r="S28" s="531" t="s">
        <v>1841</v>
      </c>
      <c r="T28" s="526" t="s">
        <v>196</v>
      </c>
      <c r="U28" s="527" t="e">
        <f>U27-#REF!</f>
        <v>#REF!</v>
      </c>
      <c r="V28" s="532" t="s">
        <v>196</v>
      </c>
      <c r="W28" s="529" t="e">
        <f>W27-#REF!</f>
        <v>#REF!</v>
      </c>
      <c r="X28" s="261"/>
      <c r="Y28" s="80" t="s">
        <v>196</v>
      </c>
      <c r="Z28" s="20" t="e">
        <f>Z27-#REF!</f>
        <v>#REF!</v>
      </c>
      <c r="AA28" s="82" t="s">
        <v>1051</v>
      </c>
      <c r="AB28" s="83"/>
    </row>
    <row r="29" spans="1:51" ht="22.5" customHeight="1">
      <c r="A29" s="257" t="s">
        <v>2175</v>
      </c>
      <c r="B29" s="554">
        <v>0.99</v>
      </c>
      <c r="C29" s="555">
        <f>B29+D29+E29+F29+G29+H29+I29+J29+K29+L29+M29+N29+O29</f>
        <v>1</v>
      </c>
      <c r="D29" s="525">
        <v>0.01</v>
      </c>
      <c r="E29" s="525"/>
      <c r="F29" s="525"/>
      <c r="G29" s="525"/>
      <c r="H29" s="525"/>
      <c r="I29" s="525"/>
      <c r="J29" s="525"/>
      <c r="K29" s="525"/>
      <c r="L29" s="525"/>
      <c r="M29" s="525"/>
      <c r="N29" s="525"/>
      <c r="O29" s="525"/>
      <c r="P29" s="490" t="s">
        <v>2178</v>
      </c>
      <c r="Q29" s="490" t="s">
        <v>2179</v>
      </c>
      <c r="R29" s="553" t="s">
        <v>2176</v>
      </c>
      <c r="S29" s="520" t="s">
        <v>2177</v>
      </c>
      <c r="T29" s="521" t="s">
        <v>89</v>
      </c>
      <c r="U29" s="522">
        <f>BH29/1100000</f>
        <v>0</v>
      </c>
      <c r="V29" s="523" t="s">
        <v>41</v>
      </c>
      <c r="W29" s="524" t="e">
        <f>#REF!/1100000</f>
        <v>#REF!</v>
      </c>
      <c r="X29" s="260" t="s">
        <v>2180</v>
      </c>
      <c r="Y29" s="80" t="s">
        <v>89</v>
      </c>
      <c r="Z29" s="20">
        <v>213185300</v>
      </c>
      <c r="AA29" s="82"/>
      <c r="AB29" s="83">
        <f>SUM(AC29:AY29)</f>
        <v>0</v>
      </c>
      <c r="AC29" s="91" t="s">
        <v>1104</v>
      </c>
      <c r="AD29" s="92"/>
      <c r="AE29" s="92" t="s">
        <v>1105</v>
      </c>
      <c r="AF29" s="92"/>
      <c r="AG29" s="92" t="s">
        <v>207</v>
      </c>
      <c r="AH29" s="92"/>
      <c r="AI29" s="92" t="s">
        <v>207</v>
      </c>
      <c r="AJ29" s="92"/>
      <c r="AK29" s="92" t="s">
        <v>207</v>
      </c>
      <c r="AL29" s="92"/>
      <c r="AM29" s="92"/>
      <c r="AN29" s="92"/>
      <c r="AO29" s="92"/>
      <c r="AP29" s="92"/>
      <c r="AQ29" s="92"/>
      <c r="AR29" s="92"/>
      <c r="AS29" s="92"/>
      <c r="AT29" s="92"/>
      <c r="AU29" s="92"/>
      <c r="AV29" s="92"/>
      <c r="AW29" s="92"/>
      <c r="AX29" s="92"/>
      <c r="AY29" s="92"/>
    </row>
    <row r="30" spans="1:51" ht="22.5" customHeight="1">
      <c r="A30" s="258"/>
      <c r="B30" s="558"/>
      <c r="C30" s="559"/>
      <c r="D30" s="560"/>
      <c r="E30" s="560"/>
      <c r="F30" s="560"/>
      <c r="G30" s="560"/>
      <c r="H30" s="560"/>
      <c r="I30" s="560"/>
      <c r="J30" s="560"/>
      <c r="K30" s="560"/>
      <c r="L30" s="560"/>
      <c r="M30" s="560"/>
      <c r="N30" s="560"/>
      <c r="O30" s="560"/>
      <c r="P30" s="502"/>
      <c r="Q30" s="495"/>
      <c r="R30" s="557"/>
      <c r="S30" s="531"/>
      <c r="T30" s="526" t="s">
        <v>196</v>
      </c>
      <c r="U30" s="527" t="e">
        <f>U29-#REF!</f>
        <v>#REF!</v>
      </c>
      <c r="V30" s="532" t="s">
        <v>196</v>
      </c>
      <c r="W30" s="529" t="e">
        <f>W29-#REF!</f>
        <v>#REF!</v>
      </c>
      <c r="X30" s="261"/>
      <c r="Y30" s="80" t="s">
        <v>196</v>
      </c>
      <c r="Z30" s="20" t="e">
        <f>Z29-#REF!</f>
        <v>#REF!</v>
      </c>
      <c r="AA30" s="82" t="s">
        <v>1051</v>
      </c>
      <c r="AB30" s="83"/>
    </row>
    <row r="31" spans="1:51" ht="22.5" customHeight="1">
      <c r="A31" s="257" t="s">
        <v>2181</v>
      </c>
      <c r="B31" s="554">
        <v>0.83</v>
      </c>
      <c r="C31" s="555">
        <f>B31+D31+E31+F31+G31+H31+I31+J31+K31+L31+M31+N31+O31</f>
        <v>0.88</v>
      </c>
      <c r="D31" s="525">
        <v>0.02</v>
      </c>
      <c r="E31" s="525">
        <v>0.02</v>
      </c>
      <c r="F31" s="525">
        <v>0.01</v>
      </c>
      <c r="G31" s="525"/>
      <c r="H31" s="525"/>
      <c r="I31" s="525"/>
      <c r="J31" s="525"/>
      <c r="K31" s="525"/>
      <c r="L31" s="525"/>
      <c r="M31" s="525"/>
      <c r="N31" s="525"/>
      <c r="O31" s="525"/>
      <c r="P31" s="490" t="s">
        <v>2184</v>
      </c>
      <c r="Q31" s="490" t="s">
        <v>2185</v>
      </c>
      <c r="R31" s="553" t="s">
        <v>2182</v>
      </c>
      <c r="S31" s="520" t="s">
        <v>2183</v>
      </c>
      <c r="T31" s="521" t="s">
        <v>89</v>
      </c>
      <c r="U31" s="522">
        <f>BH31/1100000</f>
        <v>0</v>
      </c>
      <c r="V31" s="523" t="s">
        <v>41</v>
      </c>
      <c r="W31" s="524" t="e">
        <f>#REF!/1100000</f>
        <v>#REF!</v>
      </c>
      <c r="X31" s="260" t="s">
        <v>64</v>
      </c>
      <c r="Y31" s="80" t="s">
        <v>89</v>
      </c>
      <c r="Z31" s="20">
        <v>60509000</v>
      </c>
      <c r="AA31" s="82"/>
      <c r="AB31" s="83">
        <f>SUM(AC31:AY31)</f>
        <v>0</v>
      </c>
      <c r="AC31" s="91" t="s">
        <v>1104</v>
      </c>
      <c r="AD31" s="92"/>
      <c r="AE31" s="92" t="s">
        <v>1105</v>
      </c>
      <c r="AF31" s="92"/>
      <c r="AG31" s="92" t="s">
        <v>207</v>
      </c>
      <c r="AH31" s="92"/>
      <c r="AI31" s="92" t="s">
        <v>207</v>
      </c>
      <c r="AJ31" s="92"/>
      <c r="AK31" s="92" t="s">
        <v>207</v>
      </c>
      <c r="AL31" s="92"/>
      <c r="AM31" s="92"/>
      <c r="AN31" s="92"/>
      <c r="AO31" s="92"/>
      <c r="AP31" s="92"/>
      <c r="AQ31" s="92"/>
      <c r="AR31" s="92"/>
      <c r="AS31" s="92"/>
      <c r="AT31" s="92"/>
      <c r="AU31" s="92"/>
      <c r="AV31" s="92"/>
      <c r="AW31" s="92"/>
      <c r="AX31" s="92"/>
      <c r="AY31" s="92"/>
    </row>
    <row r="32" spans="1:51" ht="22.5" customHeight="1">
      <c r="A32" s="258"/>
      <c r="B32" s="558"/>
      <c r="C32" s="559"/>
      <c r="D32" s="560"/>
      <c r="E32" s="560"/>
      <c r="F32" s="560"/>
      <c r="G32" s="560"/>
      <c r="H32" s="560"/>
      <c r="I32" s="560"/>
      <c r="J32" s="560"/>
      <c r="K32" s="560"/>
      <c r="L32" s="560"/>
      <c r="M32" s="560"/>
      <c r="N32" s="560"/>
      <c r="O32" s="560"/>
      <c r="P32" s="502"/>
      <c r="Q32" s="495"/>
      <c r="R32" s="557"/>
      <c r="S32" s="531" t="s">
        <v>2116</v>
      </c>
      <c r="T32" s="526" t="s">
        <v>196</v>
      </c>
      <c r="U32" s="527" t="e">
        <f>U31-#REF!</f>
        <v>#REF!</v>
      </c>
      <c r="V32" s="532" t="s">
        <v>196</v>
      </c>
      <c r="W32" s="529" t="e">
        <f>W31-#REF!</f>
        <v>#REF!</v>
      </c>
      <c r="X32" s="261"/>
      <c r="Y32" s="80" t="s">
        <v>196</v>
      </c>
      <c r="Z32" s="20" t="e">
        <f>Z31-#REF!</f>
        <v>#REF!</v>
      </c>
      <c r="AA32" s="82" t="s">
        <v>1051</v>
      </c>
      <c r="AB32" s="83"/>
    </row>
    <row r="33" spans="1:51" ht="22.5" customHeight="1">
      <c r="A33" s="257" t="s">
        <v>2186</v>
      </c>
      <c r="B33" s="554">
        <v>0.99</v>
      </c>
      <c r="C33" s="555">
        <f>B33+D33+E33+F33+G33+H33+I33+J33+K33+L33+M33+N33+O33</f>
        <v>1</v>
      </c>
      <c r="D33" s="525">
        <v>0.01</v>
      </c>
      <c r="E33" s="525"/>
      <c r="F33" s="525"/>
      <c r="G33" s="525"/>
      <c r="H33" s="525"/>
      <c r="I33" s="525"/>
      <c r="J33" s="525"/>
      <c r="K33" s="525"/>
      <c r="L33" s="525"/>
      <c r="M33" s="525"/>
      <c r="N33" s="525"/>
      <c r="O33" s="525"/>
      <c r="P33" s="490" t="s">
        <v>1121</v>
      </c>
      <c r="Q33" s="490" t="s">
        <v>2189</v>
      </c>
      <c r="R33" s="553" t="s">
        <v>2187</v>
      </c>
      <c r="S33" s="520" t="s">
        <v>2188</v>
      </c>
      <c r="T33" s="521" t="s">
        <v>89</v>
      </c>
      <c r="U33" s="522">
        <f>BH33/1100000</f>
        <v>0</v>
      </c>
      <c r="V33" s="523" t="s">
        <v>41</v>
      </c>
      <c r="W33" s="524" t="e">
        <f>#REF!/1100000</f>
        <v>#REF!</v>
      </c>
      <c r="X33" s="260" t="s">
        <v>1457</v>
      </c>
      <c r="Y33" s="80" t="s">
        <v>89</v>
      </c>
      <c r="Z33" s="20">
        <v>117481650</v>
      </c>
      <c r="AA33" s="82"/>
      <c r="AB33" s="83">
        <f>SUM(AC33:AY33)</f>
        <v>0</v>
      </c>
      <c r="AC33" s="91" t="s">
        <v>1104</v>
      </c>
      <c r="AD33" s="92"/>
      <c r="AE33" s="92" t="s">
        <v>1105</v>
      </c>
      <c r="AF33" s="92"/>
      <c r="AG33" s="92" t="s">
        <v>207</v>
      </c>
      <c r="AH33" s="92"/>
      <c r="AI33" s="92" t="s">
        <v>207</v>
      </c>
      <c r="AJ33" s="92"/>
      <c r="AK33" s="92" t="s">
        <v>207</v>
      </c>
      <c r="AL33" s="92"/>
      <c r="AM33" s="92"/>
      <c r="AN33" s="92"/>
      <c r="AO33" s="92"/>
      <c r="AP33" s="92"/>
      <c r="AQ33" s="92"/>
      <c r="AR33" s="92"/>
      <c r="AS33" s="92"/>
      <c r="AT33" s="92"/>
      <c r="AU33" s="92"/>
      <c r="AV33" s="92"/>
      <c r="AW33" s="92"/>
      <c r="AX33" s="92"/>
      <c r="AY33" s="92"/>
    </row>
    <row r="34" spans="1:51" ht="22.5" customHeight="1">
      <c r="A34" s="258"/>
      <c r="B34" s="558"/>
      <c r="C34" s="559"/>
      <c r="D34" s="560"/>
      <c r="E34" s="560"/>
      <c r="F34" s="560"/>
      <c r="G34" s="560"/>
      <c r="H34" s="560"/>
      <c r="I34" s="560"/>
      <c r="J34" s="560"/>
      <c r="K34" s="560"/>
      <c r="L34" s="560"/>
      <c r="M34" s="560"/>
      <c r="N34" s="560"/>
      <c r="O34" s="560"/>
      <c r="P34" s="502"/>
      <c r="Q34" s="495"/>
      <c r="R34" s="557"/>
      <c r="S34" s="531" t="s">
        <v>1841</v>
      </c>
      <c r="T34" s="526" t="s">
        <v>196</v>
      </c>
      <c r="U34" s="527" t="e">
        <f>U33-#REF!</f>
        <v>#REF!</v>
      </c>
      <c r="V34" s="532" t="s">
        <v>196</v>
      </c>
      <c r="W34" s="529" t="e">
        <f>W33-#REF!</f>
        <v>#REF!</v>
      </c>
      <c r="X34" s="261"/>
      <c r="Y34" s="80" t="s">
        <v>196</v>
      </c>
      <c r="Z34" s="20" t="e">
        <f>Z33-#REF!</f>
        <v>#REF!</v>
      </c>
      <c r="AA34" s="82" t="s">
        <v>1051</v>
      </c>
      <c r="AB34" s="83"/>
    </row>
    <row r="35" spans="1:51" ht="22.5" customHeight="1">
      <c r="A35" s="257" t="s">
        <v>2190</v>
      </c>
      <c r="B35" s="554">
        <v>0.75</v>
      </c>
      <c r="C35" s="555">
        <f>B35+D35+E35+F35+G35+H35+I35+J35+K35+L35+M35+N35+O35</f>
        <v>0.92000000000000015</v>
      </c>
      <c r="D35" s="525">
        <v>0.05</v>
      </c>
      <c r="E35" s="525">
        <v>0.05</v>
      </c>
      <c r="F35" s="525">
        <v>0.05</v>
      </c>
      <c r="G35" s="525">
        <v>0.01</v>
      </c>
      <c r="H35" s="525">
        <v>0.01</v>
      </c>
      <c r="I35" s="525"/>
      <c r="J35" s="525"/>
      <c r="K35" s="525"/>
      <c r="L35" s="525"/>
      <c r="M35" s="525"/>
      <c r="N35" s="525"/>
      <c r="O35" s="525"/>
      <c r="P35" s="799" t="s">
        <v>2193</v>
      </c>
      <c r="Q35" s="490" t="s">
        <v>2194</v>
      </c>
      <c r="R35" s="553" t="s">
        <v>2191</v>
      </c>
      <c r="S35" s="520" t="s">
        <v>2192</v>
      </c>
      <c r="T35" s="521" t="s">
        <v>89</v>
      </c>
      <c r="U35" s="522">
        <f>BH35/1100000</f>
        <v>0</v>
      </c>
      <c r="V35" s="523" t="s">
        <v>41</v>
      </c>
      <c r="W35" s="524" t="e">
        <f>#REF!/1100000</f>
        <v>#REF!</v>
      </c>
      <c r="X35" s="260" t="s">
        <v>63</v>
      </c>
      <c r="Y35" s="80" t="s">
        <v>89</v>
      </c>
      <c r="Z35" s="20">
        <v>180252000</v>
      </c>
      <c r="AA35" s="82" t="s">
        <v>98</v>
      </c>
      <c r="AB35" s="83">
        <f>SUM(AC35:AY35)</f>
        <v>0</v>
      </c>
      <c r="AC35" s="91" t="s">
        <v>1104</v>
      </c>
      <c r="AD35" s="92"/>
      <c r="AE35" s="92" t="s">
        <v>1105</v>
      </c>
      <c r="AF35" s="92"/>
      <c r="AG35" s="92" t="s">
        <v>207</v>
      </c>
      <c r="AH35" s="92"/>
      <c r="AI35" s="92" t="s">
        <v>207</v>
      </c>
      <c r="AJ35" s="92"/>
      <c r="AK35" s="92" t="s">
        <v>207</v>
      </c>
      <c r="AL35" s="92"/>
      <c r="AM35" s="92"/>
      <c r="AN35" s="92"/>
      <c r="AO35" s="92"/>
      <c r="AP35" s="92"/>
      <c r="AQ35" s="92"/>
      <c r="AR35" s="92"/>
      <c r="AS35" s="92"/>
      <c r="AT35" s="92"/>
      <c r="AU35" s="92"/>
      <c r="AV35" s="92"/>
      <c r="AW35" s="92"/>
      <c r="AX35" s="92"/>
      <c r="AY35" s="92"/>
    </row>
    <row r="36" spans="1:51" ht="22.5" customHeight="1">
      <c r="A36" s="258"/>
      <c r="B36" s="558"/>
      <c r="C36" s="559"/>
      <c r="D36" s="560"/>
      <c r="E36" s="560"/>
      <c r="F36" s="560"/>
      <c r="G36" s="560"/>
      <c r="H36" s="560"/>
      <c r="I36" s="560"/>
      <c r="J36" s="560"/>
      <c r="K36" s="560"/>
      <c r="L36" s="560"/>
      <c r="M36" s="560"/>
      <c r="N36" s="560"/>
      <c r="O36" s="560"/>
      <c r="P36" s="800"/>
      <c r="Q36" s="495"/>
      <c r="R36" s="557"/>
      <c r="S36" s="531" t="s">
        <v>1841</v>
      </c>
      <c r="T36" s="526" t="s">
        <v>196</v>
      </c>
      <c r="U36" s="527" t="e">
        <f>U35-#REF!</f>
        <v>#REF!</v>
      </c>
      <c r="V36" s="532" t="s">
        <v>196</v>
      </c>
      <c r="W36" s="529" t="e">
        <f>W35-#REF!</f>
        <v>#REF!</v>
      </c>
      <c r="X36" s="261"/>
      <c r="Y36" s="80" t="s">
        <v>196</v>
      </c>
      <c r="Z36" s="20" t="e">
        <f>Z35-#REF!</f>
        <v>#REF!</v>
      </c>
      <c r="AA36" s="82" t="s">
        <v>100</v>
      </c>
      <c r="AB36" s="83"/>
    </row>
    <row r="37" spans="1:51" ht="22.5" customHeight="1">
      <c r="A37" s="563" t="s">
        <v>2195</v>
      </c>
      <c r="B37" s="554">
        <v>0.8</v>
      </c>
      <c r="C37" s="555">
        <f>B37+D37+E37+F37+G37+H37+I37+J37+K37+L37+M37+N37+O37</f>
        <v>0.8</v>
      </c>
      <c r="D37" s="525"/>
      <c r="E37" s="525"/>
      <c r="F37" s="525"/>
      <c r="G37" s="525"/>
      <c r="H37" s="525"/>
      <c r="I37" s="525"/>
      <c r="J37" s="525"/>
      <c r="K37" s="525"/>
      <c r="L37" s="525"/>
      <c r="M37" s="525"/>
      <c r="N37" s="525"/>
      <c r="O37" s="525"/>
      <c r="P37" s="799" t="s">
        <v>2198</v>
      </c>
      <c r="Q37" s="490" t="s">
        <v>2199</v>
      </c>
      <c r="R37" s="553" t="s">
        <v>2196</v>
      </c>
      <c r="S37" s="537" t="s">
        <v>2197</v>
      </c>
      <c r="T37" s="521" t="s">
        <v>89</v>
      </c>
      <c r="U37" s="522">
        <f>BH37/1100000</f>
        <v>0</v>
      </c>
      <c r="V37" s="523" t="s">
        <v>41</v>
      </c>
      <c r="W37" s="524" t="e">
        <f>#REF!/1100000</f>
        <v>#REF!</v>
      </c>
      <c r="X37" s="260" t="s">
        <v>1742</v>
      </c>
      <c r="Y37" s="80" t="s">
        <v>89</v>
      </c>
      <c r="Z37" s="20">
        <v>126700000</v>
      </c>
      <c r="AA37" s="82" t="s">
        <v>98</v>
      </c>
      <c r="AB37" s="83">
        <f>SUM(AC37:AY37)</f>
        <v>0</v>
      </c>
      <c r="AC37" s="91" t="s">
        <v>1104</v>
      </c>
      <c r="AD37" s="92"/>
      <c r="AE37" s="92" t="s">
        <v>1105</v>
      </c>
      <c r="AF37" s="92"/>
      <c r="AG37" s="92" t="s">
        <v>207</v>
      </c>
      <c r="AH37" s="92"/>
      <c r="AI37" s="92" t="s">
        <v>207</v>
      </c>
      <c r="AJ37" s="92"/>
      <c r="AK37" s="92" t="s">
        <v>207</v>
      </c>
      <c r="AL37" s="92"/>
      <c r="AM37" s="92"/>
      <c r="AN37" s="92"/>
      <c r="AO37" s="92"/>
      <c r="AP37" s="92"/>
      <c r="AQ37" s="92"/>
      <c r="AR37" s="92"/>
      <c r="AS37" s="92"/>
      <c r="AT37" s="92"/>
      <c r="AU37" s="92"/>
      <c r="AV37" s="92"/>
      <c r="AW37" s="92"/>
      <c r="AX37" s="92"/>
      <c r="AY37" s="92"/>
    </row>
    <row r="38" spans="1:51" ht="22.5" customHeight="1">
      <c r="A38" s="564"/>
      <c r="B38" s="558"/>
      <c r="C38" s="559"/>
      <c r="D38" s="560"/>
      <c r="E38" s="560"/>
      <c r="F38" s="560"/>
      <c r="G38" s="560"/>
      <c r="H38" s="560"/>
      <c r="I38" s="560"/>
      <c r="J38" s="560"/>
      <c r="K38" s="560"/>
      <c r="L38" s="560"/>
      <c r="M38" s="560"/>
      <c r="N38" s="560"/>
      <c r="O38" s="560"/>
      <c r="P38" s="800"/>
      <c r="Q38" s="495"/>
      <c r="R38" s="557"/>
      <c r="S38" s="531"/>
      <c r="T38" s="526" t="s">
        <v>196</v>
      </c>
      <c r="U38" s="527" t="e">
        <f>U37-#REF!</f>
        <v>#REF!</v>
      </c>
      <c r="V38" s="532" t="s">
        <v>196</v>
      </c>
      <c r="W38" s="529" t="e">
        <f>W37-#REF!</f>
        <v>#REF!</v>
      </c>
      <c r="X38" s="261"/>
      <c r="Y38" s="80" t="s">
        <v>196</v>
      </c>
      <c r="Z38" s="20" t="e">
        <f>Z37-#REF!</f>
        <v>#REF!</v>
      </c>
      <c r="AA38" s="82" t="s">
        <v>100</v>
      </c>
      <c r="AB38" s="83"/>
    </row>
    <row r="39" spans="1:51" ht="22.5" customHeight="1">
      <c r="A39" s="257" t="s">
        <v>2200</v>
      </c>
      <c r="B39" s="554">
        <v>0</v>
      </c>
      <c r="C39" s="555">
        <f>B39+D39+E39+F39+G39+H39+I39+J39+K39+L39+M39+N39+O39</f>
        <v>1</v>
      </c>
      <c r="D39" s="525"/>
      <c r="E39" s="525"/>
      <c r="F39" s="525">
        <v>0.05</v>
      </c>
      <c r="G39" s="525">
        <v>0.5</v>
      </c>
      <c r="H39" s="525">
        <v>0.45</v>
      </c>
      <c r="I39" s="525"/>
      <c r="J39" s="525"/>
      <c r="K39" s="525"/>
      <c r="L39" s="525"/>
      <c r="M39" s="525"/>
      <c r="N39" s="525"/>
      <c r="O39" s="525"/>
      <c r="P39" s="799" t="s">
        <v>1121</v>
      </c>
      <c r="Q39" s="490" t="s">
        <v>2203</v>
      </c>
      <c r="R39" s="553" t="s">
        <v>2201</v>
      </c>
      <c r="S39" s="537" t="s">
        <v>2202</v>
      </c>
      <c r="T39" s="521" t="s">
        <v>89</v>
      </c>
      <c r="U39" s="522">
        <f>BH39/1100000</f>
        <v>0</v>
      </c>
      <c r="V39" s="523" t="s">
        <v>41</v>
      </c>
      <c r="W39" s="524" t="e">
        <f>#REF!/1100000</f>
        <v>#REF!</v>
      </c>
      <c r="X39" s="260" t="s">
        <v>1742</v>
      </c>
      <c r="Y39" s="80" t="s">
        <v>89</v>
      </c>
      <c r="Z39" s="20">
        <v>29500000</v>
      </c>
      <c r="AA39" s="82" t="s">
        <v>98</v>
      </c>
      <c r="AB39" s="83">
        <f>SUM(AC39:AY39)</f>
        <v>0</v>
      </c>
      <c r="AC39" s="91" t="s">
        <v>1104</v>
      </c>
      <c r="AD39" s="92"/>
      <c r="AE39" s="92" t="s">
        <v>1105</v>
      </c>
      <c r="AF39" s="92"/>
      <c r="AG39" s="92" t="s">
        <v>207</v>
      </c>
      <c r="AH39" s="92"/>
      <c r="AI39" s="92" t="s">
        <v>207</v>
      </c>
      <c r="AJ39" s="92"/>
      <c r="AK39" s="92" t="s">
        <v>207</v>
      </c>
      <c r="AL39" s="92"/>
      <c r="AM39" s="92"/>
      <c r="AN39" s="92"/>
      <c r="AO39" s="92"/>
      <c r="AP39" s="92"/>
      <c r="AQ39" s="92"/>
      <c r="AR39" s="92"/>
      <c r="AS39" s="92"/>
      <c r="AT39" s="92"/>
      <c r="AU39" s="92"/>
      <c r="AV39" s="92"/>
      <c r="AW39" s="92"/>
      <c r="AX39" s="92"/>
      <c r="AY39" s="92"/>
    </row>
    <row r="40" spans="1:51" ht="22.5" customHeight="1">
      <c r="A40" s="258"/>
      <c r="B40" s="558"/>
      <c r="C40" s="559"/>
      <c r="D40" s="560"/>
      <c r="E40" s="560"/>
      <c r="F40" s="560"/>
      <c r="G40" s="560"/>
      <c r="H40" s="560"/>
      <c r="I40" s="560"/>
      <c r="J40" s="560"/>
      <c r="K40" s="560"/>
      <c r="L40" s="560"/>
      <c r="M40" s="560"/>
      <c r="N40" s="560"/>
      <c r="O40" s="560"/>
      <c r="P40" s="800"/>
      <c r="Q40" s="495"/>
      <c r="R40" s="557"/>
      <c r="S40" s="531"/>
      <c r="T40" s="526" t="s">
        <v>196</v>
      </c>
      <c r="U40" s="527" t="e">
        <f>U39-#REF!</f>
        <v>#REF!</v>
      </c>
      <c r="V40" s="532" t="s">
        <v>196</v>
      </c>
      <c r="W40" s="529" t="e">
        <f>W39-#REF!</f>
        <v>#REF!</v>
      </c>
      <c r="X40" s="261"/>
      <c r="Y40" s="80" t="s">
        <v>196</v>
      </c>
      <c r="Z40" s="20" t="e">
        <f>Z39-#REF!</f>
        <v>#REF!</v>
      </c>
      <c r="AA40" s="82" t="s">
        <v>100</v>
      </c>
      <c r="AB40" s="83"/>
    </row>
    <row r="62" spans="1:51" s="275" customFormat="1" ht="30.75" customHeight="1">
      <c r="A62" s="76"/>
      <c r="B62" s="282"/>
      <c r="C62" s="282"/>
      <c r="R62" s="78"/>
      <c r="U62" s="275">
        <f>BH62/1000000</f>
        <v>0</v>
      </c>
      <c r="Z62" s="2"/>
      <c r="AA62" s="2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row>
  </sheetData>
  <phoneticPr fontId="2" type="noConversion"/>
  <printOptions horizontalCentered="1"/>
  <pageMargins left="0.15748031496062992" right="0.15748031496062992" top="0.59055118110236227" bottom="0.39370078740157483" header="0.31496062992125984" footer="0.31496062992125984"/>
  <pageSetup paperSize="9" scale="97" orientation="landscape" r:id="rId1"/>
  <rowBreaks count="3" manualBreakCount="3">
    <brk id="12" max="34" man="1"/>
    <brk id="22" max="34" man="1"/>
    <brk id="32" max="34"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I30"/>
  <sheetViews>
    <sheetView zoomScale="85" zoomScaleNormal="85" workbookViewId="0">
      <pane xSplit="1" ySplit="3" topLeftCell="B19" activePane="bottomRight" state="frozen"/>
      <selection activeCell="A4" sqref="A4:XFD29"/>
      <selection pane="topRight" activeCell="A4" sqref="A4:XFD29"/>
      <selection pane="bottomLeft" activeCell="A4" sqref="A4:XFD29"/>
      <selection pane="bottomRight" activeCell="A30" sqref="A30:XFD30"/>
    </sheetView>
  </sheetViews>
  <sheetFormatPr defaultColWidth="10.25" defaultRowHeight="30.75" customHeight="1"/>
  <cols>
    <col min="1" max="1" width="12.625" style="275" customWidth="1"/>
    <col min="2" max="2" width="4.875" style="282" customWidth="1"/>
    <col min="3" max="3" width="5.25" style="282" customWidth="1"/>
    <col min="4" max="15" width="8.875" style="275" customWidth="1"/>
    <col min="16" max="16" width="18.875" style="275" customWidth="1"/>
    <col min="17" max="17" width="11" style="275" customWidth="1"/>
    <col min="18" max="18" width="19.375" style="78" customWidth="1"/>
    <col min="19" max="19" width="9.875" style="275" customWidth="1"/>
    <col min="20" max="20" width="5.125" style="275" customWidth="1"/>
    <col min="21" max="21" width="8.75" style="275" customWidth="1"/>
    <col min="22" max="22" width="5.125" style="275" customWidth="1"/>
    <col min="23" max="23" width="8.625" style="275" customWidth="1"/>
    <col min="24" max="25" width="10.25" style="275"/>
    <col min="26" max="27" width="4.5" style="275" customWidth="1"/>
    <col min="28" max="28" width="6.125" style="275" customWidth="1"/>
    <col min="29" max="29" width="17.125" style="275" customWidth="1"/>
    <col min="30" max="30" width="10.25" style="277"/>
    <col min="31" max="31" width="15.75" style="77" customWidth="1"/>
    <col min="32" max="54" width="16.5" style="77" customWidth="1"/>
    <col min="55" max="16384" width="10.25" style="78"/>
  </cols>
  <sheetData>
    <row r="1" spans="1:61" ht="24.75" customHeight="1">
      <c r="A1" s="441" t="s">
        <v>2207</v>
      </c>
      <c r="B1" s="441"/>
      <c r="C1" s="441"/>
      <c r="D1" s="441"/>
      <c r="E1" s="441"/>
      <c r="F1" s="441"/>
      <c r="G1" s="441"/>
      <c r="H1" s="441"/>
      <c r="I1" s="441"/>
      <c r="J1" s="441"/>
      <c r="K1" s="441"/>
      <c r="L1" s="441"/>
      <c r="M1" s="441"/>
      <c r="N1" s="441"/>
      <c r="O1" s="441"/>
      <c r="P1" s="441"/>
      <c r="Q1" s="441"/>
      <c r="R1" s="441"/>
      <c r="S1" s="441"/>
      <c r="T1" s="441"/>
      <c r="U1" s="441"/>
      <c r="V1" s="441"/>
      <c r="W1" s="441"/>
      <c r="Z1" s="276"/>
      <c r="AA1" s="276"/>
    </row>
    <row r="2" spans="1:61" ht="21.75" customHeight="1">
      <c r="A2" s="279" t="s">
        <v>2208</v>
      </c>
      <c r="Q2" s="393" t="s">
        <v>2209</v>
      </c>
    </row>
    <row r="3" spans="1:61" ht="22.5" customHeight="1" thickBot="1">
      <c r="A3" s="513" t="s">
        <v>2210</v>
      </c>
      <c r="B3" s="514" t="s">
        <v>2215</v>
      </c>
      <c r="C3" s="515" t="s">
        <v>2216</v>
      </c>
      <c r="D3" s="552" t="s">
        <v>768</v>
      </c>
      <c r="E3" s="552" t="s">
        <v>1052</v>
      </c>
      <c r="F3" s="552" t="s">
        <v>758</v>
      </c>
      <c r="G3" s="552" t="s">
        <v>759</v>
      </c>
      <c r="H3" s="552" t="s">
        <v>760</v>
      </c>
      <c r="I3" s="552" t="s">
        <v>761</v>
      </c>
      <c r="J3" s="552" t="s">
        <v>762</v>
      </c>
      <c r="K3" s="552" t="s">
        <v>763</v>
      </c>
      <c r="L3" s="552" t="s">
        <v>764</v>
      </c>
      <c r="M3" s="552" t="s">
        <v>765</v>
      </c>
      <c r="N3" s="552" t="s">
        <v>766</v>
      </c>
      <c r="O3" s="552" t="s">
        <v>767</v>
      </c>
      <c r="P3" s="516" t="s">
        <v>2217</v>
      </c>
      <c r="Q3" s="516" t="s">
        <v>2218</v>
      </c>
      <c r="R3" s="513" t="s">
        <v>2211</v>
      </c>
      <c r="S3" s="513" t="s">
        <v>2212</v>
      </c>
      <c r="T3" s="513" t="s">
        <v>2213</v>
      </c>
      <c r="U3" s="513"/>
      <c r="V3" s="551" t="s">
        <v>2214</v>
      </c>
      <c r="W3" s="552"/>
      <c r="X3" s="290"/>
      <c r="Y3" s="290"/>
      <c r="Z3" s="291" t="s">
        <v>2219</v>
      </c>
      <c r="AA3" s="587"/>
    </row>
    <row r="4" spans="1:61" ht="22.5" customHeight="1" thickBot="1">
      <c r="A4" s="490" t="s">
        <v>2220</v>
      </c>
      <c r="B4" s="554">
        <v>0.83</v>
      </c>
      <c r="C4" s="555">
        <f>B4+D4+E4+F4+G4+H4+I4+J4+K4+L4+M4+N4+O4</f>
        <v>0.98000000000000009</v>
      </c>
      <c r="D4" s="525"/>
      <c r="E4" s="525"/>
      <c r="F4" s="525"/>
      <c r="G4" s="525"/>
      <c r="H4" s="525">
        <v>0.02</v>
      </c>
      <c r="I4" s="525">
        <v>0.01</v>
      </c>
      <c r="J4" s="525">
        <v>0.04</v>
      </c>
      <c r="K4" s="525">
        <v>0.02</v>
      </c>
      <c r="L4" s="525">
        <v>0.02</v>
      </c>
      <c r="M4" s="525">
        <v>0.02</v>
      </c>
      <c r="N4" s="525">
        <v>0.02</v>
      </c>
      <c r="O4" s="525"/>
      <c r="P4" s="490"/>
      <c r="Q4" s="490" t="s">
        <v>2225</v>
      </c>
      <c r="R4" s="553" t="s">
        <v>2221</v>
      </c>
      <c r="S4" s="556" t="s">
        <v>2222</v>
      </c>
      <c r="T4" s="521" t="s">
        <v>2223</v>
      </c>
      <c r="U4" s="522">
        <f>BK4/1100000</f>
        <v>0</v>
      </c>
      <c r="V4" s="523" t="s">
        <v>2224</v>
      </c>
      <c r="W4" s="524" t="e">
        <f>U4*0.75-(#REF!+W5)</f>
        <v>#REF!</v>
      </c>
      <c r="X4" s="299" t="s">
        <v>2226</v>
      </c>
      <c r="Y4" s="79" t="s">
        <v>2227</v>
      </c>
      <c r="Z4" s="260" t="s">
        <v>2228</v>
      </c>
      <c r="AA4" s="260"/>
      <c r="AB4" s="80" t="s">
        <v>2223</v>
      </c>
      <c r="AC4" s="81">
        <v>66000000</v>
      </c>
      <c r="AD4" s="82" t="s">
        <v>2229</v>
      </c>
      <c r="AE4" s="83">
        <f>SUM(AF4:BB4)</f>
        <v>0</v>
      </c>
      <c r="AF4" s="91" t="s">
        <v>1078</v>
      </c>
      <c r="AG4" s="92">
        <v>0</v>
      </c>
      <c r="AH4" s="92" t="s">
        <v>1079</v>
      </c>
      <c r="AI4" s="92">
        <v>0</v>
      </c>
      <c r="AJ4" s="92" t="s">
        <v>1080</v>
      </c>
      <c r="AK4" s="92"/>
      <c r="AL4" s="92" t="s">
        <v>1080</v>
      </c>
      <c r="AM4" s="92"/>
      <c r="AN4" s="92" t="s">
        <v>1080</v>
      </c>
      <c r="AO4" s="92"/>
      <c r="AP4" s="92"/>
      <c r="AQ4" s="92"/>
      <c r="AR4" s="92"/>
      <c r="AS4" s="92"/>
      <c r="AT4" s="92"/>
      <c r="AU4" s="92"/>
      <c r="AV4" s="92"/>
      <c r="AW4" s="92"/>
      <c r="AX4" s="92"/>
      <c r="AY4" s="92"/>
      <c r="AZ4" s="92"/>
      <c r="BA4" s="92"/>
      <c r="BB4" s="92"/>
    </row>
    <row r="5" spans="1:61" ht="22.5" customHeight="1" thickBot="1">
      <c r="A5" s="495"/>
      <c r="B5" s="558"/>
      <c r="C5" s="559"/>
      <c r="D5" s="813" t="s">
        <v>2231</v>
      </c>
      <c r="E5" s="560" t="s">
        <v>2232</v>
      </c>
      <c r="F5" s="560" t="s">
        <v>2232</v>
      </c>
      <c r="G5" s="813" t="s">
        <v>2233</v>
      </c>
      <c r="H5" s="813" t="s">
        <v>2234</v>
      </c>
      <c r="I5" s="813" t="s">
        <v>2234</v>
      </c>
      <c r="J5" s="813" t="s">
        <v>2231</v>
      </c>
      <c r="K5" s="813" t="s">
        <v>2231</v>
      </c>
      <c r="L5" s="813" t="s">
        <v>2231</v>
      </c>
      <c r="M5" s="813" t="s">
        <v>2231</v>
      </c>
      <c r="N5" s="813" t="s">
        <v>2231</v>
      </c>
      <c r="O5" s="813" t="s">
        <v>2231</v>
      </c>
      <c r="P5" s="502"/>
      <c r="Q5" s="495"/>
      <c r="R5" s="557"/>
      <c r="S5" s="531" t="s">
        <v>2230</v>
      </c>
      <c r="T5" s="526" t="s">
        <v>817</v>
      </c>
      <c r="U5" s="527" t="e">
        <f>U4-#REF!</f>
        <v>#REF!</v>
      </c>
      <c r="V5" s="532" t="s">
        <v>818</v>
      </c>
      <c r="W5" s="529" t="e">
        <f>(#REF!+BM5)/1100000</f>
        <v>#REF!</v>
      </c>
      <c r="X5" s="85"/>
      <c r="Y5" s="69"/>
      <c r="Z5" s="261"/>
      <c r="AA5" s="261"/>
      <c r="AB5" s="80" t="s">
        <v>817</v>
      </c>
      <c r="AC5" s="81" t="e">
        <f>AC4-#REF!</f>
        <v>#REF!</v>
      </c>
      <c r="AD5" s="82" t="s">
        <v>824</v>
      </c>
      <c r="AE5" s="83"/>
      <c r="BC5" s="68"/>
      <c r="BD5" s="68"/>
      <c r="BE5" s="68"/>
      <c r="BF5" s="68"/>
      <c r="BG5" s="68"/>
      <c r="BH5" s="68"/>
      <c r="BI5" s="68"/>
    </row>
    <row r="6" spans="1:61" ht="22.5" customHeight="1" thickBot="1">
      <c r="A6" s="490" t="s">
        <v>2235</v>
      </c>
      <c r="B6" s="554">
        <v>0.4</v>
      </c>
      <c r="C6" s="555">
        <f>B6+D6+E6+F6+G6+H6+I6+J6+K6+L6+M6+N6+O6</f>
        <v>0.4</v>
      </c>
      <c r="D6" s="525"/>
      <c r="E6" s="525"/>
      <c r="F6" s="525"/>
      <c r="G6" s="525"/>
      <c r="H6" s="525"/>
      <c r="I6" s="525"/>
      <c r="J6" s="525"/>
      <c r="K6" s="525"/>
      <c r="L6" s="525"/>
      <c r="M6" s="525"/>
      <c r="N6" s="525"/>
      <c r="O6" s="525"/>
      <c r="P6" s="490"/>
      <c r="Q6" s="490" t="s">
        <v>2225</v>
      </c>
      <c r="R6" s="553" t="s">
        <v>2236</v>
      </c>
      <c r="S6" s="556" t="s">
        <v>2237</v>
      </c>
      <c r="T6" s="521" t="s">
        <v>814</v>
      </c>
      <c r="U6" s="522">
        <f>BK6/1100000</f>
        <v>0</v>
      </c>
      <c r="V6" s="523" t="s">
        <v>832</v>
      </c>
      <c r="W6" s="524" t="e">
        <f>U6*0.75-(#REF!+W7)</f>
        <v>#REF!</v>
      </c>
      <c r="X6" s="299" t="s">
        <v>812</v>
      </c>
      <c r="Y6" s="79" t="s">
        <v>813</v>
      </c>
      <c r="Z6" s="260"/>
      <c r="AA6" s="260"/>
      <c r="AB6" s="80" t="s">
        <v>814</v>
      </c>
      <c r="AC6" s="81">
        <v>82500000</v>
      </c>
      <c r="AD6" s="82" t="s">
        <v>35</v>
      </c>
      <c r="AE6" s="83">
        <f>SUM(AF6:BB6)</f>
        <v>0</v>
      </c>
      <c r="AF6" s="91" t="s">
        <v>1078</v>
      </c>
      <c r="AG6" s="92"/>
      <c r="AH6" s="92" t="s">
        <v>1079</v>
      </c>
      <c r="AI6" s="92"/>
      <c r="AJ6" s="92" t="s">
        <v>1080</v>
      </c>
      <c r="AK6" s="92"/>
      <c r="AL6" s="92" t="s">
        <v>1080</v>
      </c>
      <c r="AM6" s="92"/>
      <c r="AN6" s="92" t="s">
        <v>1080</v>
      </c>
      <c r="AO6" s="92"/>
      <c r="AP6" s="92"/>
      <c r="AQ6" s="92"/>
      <c r="AR6" s="92"/>
      <c r="AS6" s="92"/>
      <c r="AT6" s="92"/>
      <c r="AU6" s="92"/>
      <c r="AV6" s="92"/>
      <c r="AW6" s="92"/>
      <c r="AX6" s="92"/>
      <c r="AY6" s="92"/>
      <c r="AZ6" s="92"/>
      <c r="BA6" s="92"/>
      <c r="BB6" s="92"/>
    </row>
    <row r="7" spans="1:61" ht="22.5" customHeight="1" thickBot="1">
      <c r="A7" s="495"/>
      <c r="B7" s="558"/>
      <c r="C7" s="559"/>
      <c r="D7" s="560" t="s">
        <v>2241</v>
      </c>
      <c r="E7" s="560" t="s">
        <v>2241</v>
      </c>
      <c r="F7" s="560" t="s">
        <v>2241</v>
      </c>
      <c r="G7" s="560" t="s">
        <v>2241</v>
      </c>
      <c r="H7" s="560" t="s">
        <v>2241</v>
      </c>
      <c r="I7" s="560" t="s">
        <v>2241</v>
      </c>
      <c r="J7" s="560" t="s">
        <v>2241</v>
      </c>
      <c r="K7" s="560" t="s">
        <v>2241</v>
      </c>
      <c r="L7" s="560" t="s">
        <v>2241</v>
      </c>
      <c r="M7" s="560" t="s">
        <v>2241</v>
      </c>
      <c r="N7" s="560" t="s">
        <v>2241</v>
      </c>
      <c r="O7" s="560" t="s">
        <v>2241</v>
      </c>
      <c r="P7" s="502"/>
      <c r="Q7" s="495"/>
      <c r="R7" s="557"/>
      <c r="S7" s="531" t="s">
        <v>2238</v>
      </c>
      <c r="T7" s="526" t="s">
        <v>2239</v>
      </c>
      <c r="U7" s="527" t="e">
        <f>U6-#REF!</f>
        <v>#REF!</v>
      </c>
      <c r="V7" s="532" t="s">
        <v>2240</v>
      </c>
      <c r="W7" s="529" t="e">
        <f>(#REF!+BM7)/1100000</f>
        <v>#REF!</v>
      </c>
      <c r="X7" s="85"/>
      <c r="Y7" s="69"/>
      <c r="Z7" s="261"/>
      <c r="AA7" s="261"/>
      <c r="AB7" s="80" t="s">
        <v>2239</v>
      </c>
      <c r="AC7" s="81" t="e">
        <f>AC6-#REF!</f>
        <v>#REF!</v>
      </c>
      <c r="AD7" s="82" t="s">
        <v>2243</v>
      </c>
      <c r="AE7" s="83"/>
      <c r="BC7" s="68"/>
      <c r="BD7" s="68"/>
      <c r="BE7" s="68"/>
      <c r="BF7" s="68"/>
      <c r="BG7" s="68"/>
      <c r="BH7" s="68"/>
      <c r="BI7" s="68"/>
    </row>
    <row r="8" spans="1:61" ht="22.5" customHeight="1" thickBot="1">
      <c r="A8" s="490" t="s">
        <v>2244</v>
      </c>
      <c r="B8" s="554">
        <v>0.51</v>
      </c>
      <c r="C8" s="555">
        <f>B8+D8+E8+F8+G8+H8+I8+J8+K8+L8+M8+N8+O8</f>
        <v>0.7200000000000002</v>
      </c>
      <c r="D8" s="525">
        <v>0.01</v>
      </c>
      <c r="E8" s="525">
        <v>0.02</v>
      </c>
      <c r="F8" s="525">
        <v>0.02</v>
      </c>
      <c r="G8" s="525">
        <v>0.02</v>
      </c>
      <c r="H8" s="525">
        <v>0.02</v>
      </c>
      <c r="I8" s="525">
        <v>0.02</v>
      </c>
      <c r="J8" s="525">
        <v>0.02</v>
      </c>
      <c r="K8" s="525">
        <v>0.02</v>
      </c>
      <c r="L8" s="525">
        <v>0.02</v>
      </c>
      <c r="M8" s="525">
        <v>0.02</v>
      </c>
      <c r="N8" s="525">
        <v>0.02</v>
      </c>
      <c r="O8" s="525"/>
      <c r="P8" s="814"/>
      <c r="Q8" s="490" t="s">
        <v>2249</v>
      </c>
      <c r="R8" s="553" t="s">
        <v>2245</v>
      </c>
      <c r="S8" s="556" t="s">
        <v>2246</v>
      </c>
      <c r="T8" s="521" t="s">
        <v>2247</v>
      </c>
      <c r="U8" s="522">
        <f>BK8/1100000</f>
        <v>0</v>
      </c>
      <c r="V8" s="523" t="s">
        <v>2248</v>
      </c>
      <c r="W8" s="524" t="e">
        <f>U8*0.75-(#REF!+W9)</f>
        <v>#REF!</v>
      </c>
      <c r="X8" s="299" t="s">
        <v>2250</v>
      </c>
      <c r="Y8" s="79" t="s">
        <v>2251</v>
      </c>
      <c r="Z8" s="260"/>
      <c r="AA8" s="260"/>
      <c r="AB8" s="80" t="s">
        <v>2247</v>
      </c>
      <c r="AC8" s="81">
        <v>798856500</v>
      </c>
      <c r="AD8" s="82" t="s">
        <v>2252</v>
      </c>
      <c r="AE8" s="83">
        <f>SUM(AF8:BB8)</f>
        <v>0</v>
      </c>
      <c r="AF8" s="91" t="s">
        <v>2253</v>
      </c>
      <c r="AG8" s="92"/>
      <c r="AH8" s="92" t="s">
        <v>2254</v>
      </c>
      <c r="AI8" s="92"/>
      <c r="AJ8" s="92" t="s">
        <v>2255</v>
      </c>
      <c r="AK8" s="92"/>
      <c r="AL8" s="92" t="s">
        <v>2255</v>
      </c>
      <c r="AM8" s="92"/>
      <c r="AN8" s="92" t="s">
        <v>2255</v>
      </c>
      <c r="AO8" s="92"/>
      <c r="AP8" s="92"/>
      <c r="AQ8" s="92"/>
      <c r="AR8" s="92"/>
      <c r="AS8" s="92"/>
      <c r="AT8" s="92"/>
      <c r="AU8" s="92"/>
      <c r="AV8" s="92"/>
      <c r="AW8" s="92"/>
      <c r="AX8" s="92"/>
      <c r="AY8" s="92"/>
      <c r="AZ8" s="92"/>
      <c r="BA8" s="92"/>
      <c r="BB8" s="92"/>
    </row>
    <row r="9" spans="1:61" ht="22.5" customHeight="1" thickBot="1">
      <c r="A9" s="495"/>
      <c r="B9" s="558"/>
      <c r="C9" s="559"/>
      <c r="D9" s="813" t="s">
        <v>2257</v>
      </c>
      <c r="E9" s="813" t="s">
        <v>2257</v>
      </c>
      <c r="F9" s="813" t="s">
        <v>2257</v>
      </c>
      <c r="G9" s="815" t="s">
        <v>2258</v>
      </c>
      <c r="H9" s="815" t="s">
        <v>2258</v>
      </c>
      <c r="I9" s="815" t="s">
        <v>2259</v>
      </c>
      <c r="J9" s="813" t="s">
        <v>2260</v>
      </c>
      <c r="K9" s="813" t="s">
        <v>2261</v>
      </c>
      <c r="L9" s="813" t="s">
        <v>2261</v>
      </c>
      <c r="M9" s="813" t="s">
        <v>2261</v>
      </c>
      <c r="N9" s="813" t="s">
        <v>2261</v>
      </c>
      <c r="O9" s="813" t="s">
        <v>2262</v>
      </c>
      <c r="P9" s="816"/>
      <c r="Q9" s="495"/>
      <c r="R9" s="557"/>
      <c r="S9" s="531" t="s">
        <v>2256</v>
      </c>
      <c r="T9" s="526" t="s">
        <v>2239</v>
      </c>
      <c r="U9" s="527" t="e">
        <f>U8-#REF!</f>
        <v>#REF!</v>
      </c>
      <c r="V9" s="532" t="s">
        <v>2240</v>
      </c>
      <c r="W9" s="529" t="e">
        <f>(#REF!+BM9)/1100000</f>
        <v>#REF!</v>
      </c>
      <c r="X9" s="85"/>
      <c r="Y9" s="69"/>
      <c r="Z9" s="261"/>
      <c r="AA9" s="261"/>
      <c r="AB9" s="80" t="s">
        <v>2239</v>
      </c>
      <c r="AC9" s="81" t="e">
        <f>AC8-#REF!</f>
        <v>#REF!</v>
      </c>
      <c r="AD9" s="82" t="s">
        <v>2243</v>
      </c>
      <c r="AE9" s="83"/>
      <c r="BC9" s="68"/>
      <c r="BD9" s="68"/>
      <c r="BE9" s="68"/>
      <c r="BF9" s="68"/>
      <c r="BG9" s="68"/>
      <c r="BH9" s="68"/>
      <c r="BI9" s="68"/>
    </row>
    <row r="10" spans="1:61" ht="22.5" customHeight="1" thickBot="1">
      <c r="A10" s="490" t="s">
        <v>2263</v>
      </c>
      <c r="B10" s="554">
        <v>0.5</v>
      </c>
      <c r="C10" s="555">
        <f>B10+D10+E10+F10+G10+H10+I10+J10+K10+L10+M10+N10+O10</f>
        <v>0.5</v>
      </c>
      <c r="D10" s="525"/>
      <c r="E10" s="525"/>
      <c r="F10" s="525"/>
      <c r="G10" s="525"/>
      <c r="H10" s="525"/>
      <c r="I10" s="525"/>
      <c r="J10" s="525"/>
      <c r="K10" s="525"/>
      <c r="L10" s="525"/>
      <c r="M10" s="525"/>
      <c r="N10" s="525"/>
      <c r="O10" s="525"/>
      <c r="P10" s="566"/>
      <c r="Q10" s="490" t="s">
        <v>2225</v>
      </c>
      <c r="R10" s="700" t="s">
        <v>2264</v>
      </c>
      <c r="S10" s="556" t="s">
        <v>2265</v>
      </c>
      <c r="T10" s="521" t="s">
        <v>2247</v>
      </c>
      <c r="U10" s="522">
        <f>BK10/1100000</f>
        <v>0</v>
      </c>
      <c r="V10" s="523" t="s">
        <v>2248</v>
      </c>
      <c r="W10" s="524" t="e">
        <f>U10*0.75-(#REF!+W11)</f>
        <v>#REF!</v>
      </c>
      <c r="X10" s="299" t="s">
        <v>2250</v>
      </c>
      <c r="Y10" s="79" t="s">
        <v>2251</v>
      </c>
      <c r="Z10" s="260"/>
      <c r="AA10" s="260"/>
      <c r="AB10" s="80" t="s">
        <v>2247</v>
      </c>
      <c r="AC10" s="81">
        <v>187000000</v>
      </c>
      <c r="AD10" s="82" t="s">
        <v>2252</v>
      </c>
      <c r="AE10" s="83">
        <f>SUM(AF10:BB10)</f>
        <v>0</v>
      </c>
      <c r="AF10" s="91" t="s">
        <v>2253</v>
      </c>
      <c r="AG10" s="92"/>
      <c r="AH10" s="92" t="s">
        <v>2254</v>
      </c>
      <c r="AI10" s="92"/>
      <c r="AJ10" s="92" t="s">
        <v>2255</v>
      </c>
      <c r="AK10" s="92"/>
      <c r="AL10" s="92" t="s">
        <v>2255</v>
      </c>
      <c r="AM10" s="92"/>
      <c r="AN10" s="92" t="s">
        <v>2255</v>
      </c>
      <c r="AO10" s="92"/>
      <c r="AP10" s="92"/>
      <c r="AQ10" s="92"/>
      <c r="AR10" s="92"/>
      <c r="AS10" s="92"/>
      <c r="AT10" s="92"/>
      <c r="AU10" s="92"/>
      <c r="AV10" s="92"/>
      <c r="AW10" s="92"/>
      <c r="AX10" s="92"/>
      <c r="AY10" s="92"/>
      <c r="AZ10" s="92"/>
      <c r="BA10" s="92"/>
      <c r="BB10" s="92"/>
    </row>
    <row r="11" spans="1:61" ht="22.5" customHeight="1" thickBot="1">
      <c r="A11" s="495"/>
      <c r="B11" s="558"/>
      <c r="C11" s="559"/>
      <c r="D11" s="560" t="s">
        <v>2266</v>
      </c>
      <c r="E11" s="560" t="s">
        <v>2266</v>
      </c>
      <c r="F11" s="560" t="s">
        <v>2266</v>
      </c>
      <c r="G11" s="560" t="s">
        <v>2266</v>
      </c>
      <c r="H11" s="560" t="s">
        <v>2266</v>
      </c>
      <c r="I11" s="560" t="s">
        <v>2266</v>
      </c>
      <c r="J11" s="560" t="s">
        <v>2266</v>
      </c>
      <c r="K11" s="560" t="s">
        <v>2266</v>
      </c>
      <c r="L11" s="817" t="s">
        <v>2267</v>
      </c>
      <c r="M11" s="817" t="s">
        <v>2267</v>
      </c>
      <c r="N11" s="560" t="s">
        <v>2266</v>
      </c>
      <c r="O11" s="560" t="s">
        <v>2266</v>
      </c>
      <c r="P11" s="602"/>
      <c r="Q11" s="495"/>
      <c r="R11" s="784"/>
      <c r="S11" s="531" t="s">
        <v>1422</v>
      </c>
      <c r="T11" s="526" t="s">
        <v>1423</v>
      </c>
      <c r="U11" s="527" t="e">
        <f>U10-#REF!</f>
        <v>#REF!</v>
      </c>
      <c r="V11" s="532" t="s">
        <v>1424</v>
      </c>
      <c r="W11" s="529" t="e">
        <f>(#REF!+BM11)/1100000</f>
        <v>#REF!</v>
      </c>
      <c r="X11" s="85"/>
      <c r="Y11" s="69"/>
      <c r="Z11" s="261"/>
      <c r="AA11" s="261"/>
      <c r="AB11" s="80" t="s">
        <v>1423</v>
      </c>
      <c r="AC11" s="81" t="e">
        <f>AC10-#REF!</f>
        <v>#REF!</v>
      </c>
      <c r="AD11" s="82" t="s">
        <v>1434</v>
      </c>
      <c r="AE11" s="83"/>
      <c r="BC11" s="68"/>
      <c r="BD11" s="68"/>
      <c r="BE11" s="68"/>
      <c r="BF11" s="68"/>
      <c r="BG11" s="68"/>
      <c r="BH11" s="68"/>
      <c r="BI11" s="68"/>
    </row>
    <row r="12" spans="1:61" ht="22.5" customHeight="1" thickBot="1">
      <c r="A12" s="490" t="s">
        <v>2268</v>
      </c>
      <c r="B12" s="554">
        <v>0.99</v>
      </c>
      <c r="C12" s="555">
        <f>B12+D12+E12+F12+G12+H12+I12+J12+K12+L12+M12+N12+O12</f>
        <v>0.99</v>
      </c>
      <c r="D12" s="525"/>
      <c r="E12" s="525"/>
      <c r="F12" s="525"/>
      <c r="G12" s="525"/>
      <c r="H12" s="525"/>
      <c r="I12" s="525"/>
      <c r="J12" s="525"/>
      <c r="K12" s="525"/>
      <c r="L12" s="525"/>
      <c r="M12" s="525"/>
      <c r="N12" s="525"/>
      <c r="O12" s="525"/>
      <c r="P12" s="566" t="s">
        <v>2271</v>
      </c>
      <c r="Q12" s="490" t="s">
        <v>2272</v>
      </c>
      <c r="R12" s="700" t="s">
        <v>2269</v>
      </c>
      <c r="S12" s="556" t="s">
        <v>2270</v>
      </c>
      <c r="T12" s="521" t="s">
        <v>1439</v>
      </c>
      <c r="U12" s="522">
        <f>BK12/1100000</f>
        <v>0</v>
      </c>
      <c r="V12" s="523" t="s">
        <v>1440</v>
      </c>
      <c r="W12" s="524" t="e">
        <f>U12*0.75-(#REF!+W13)</f>
        <v>#REF!</v>
      </c>
      <c r="X12" s="299" t="s">
        <v>1443</v>
      </c>
      <c r="Y12" s="79" t="s">
        <v>1444</v>
      </c>
      <c r="Z12" s="260"/>
      <c r="AA12" s="260"/>
      <c r="AB12" s="80" t="s">
        <v>1439</v>
      </c>
      <c r="AC12" s="81">
        <v>44000000</v>
      </c>
      <c r="AD12" s="82" t="s">
        <v>1446</v>
      </c>
      <c r="AE12" s="83">
        <f>SUM(AF12:BB12)</f>
        <v>0</v>
      </c>
      <c r="AF12" s="91" t="s">
        <v>2253</v>
      </c>
      <c r="AG12" s="92"/>
      <c r="AH12" s="92" t="s">
        <v>2254</v>
      </c>
      <c r="AI12" s="92"/>
      <c r="AJ12" s="92" t="s">
        <v>2255</v>
      </c>
      <c r="AK12" s="92"/>
      <c r="AL12" s="92" t="s">
        <v>2255</v>
      </c>
      <c r="AM12" s="92"/>
      <c r="AN12" s="92" t="s">
        <v>2255</v>
      </c>
      <c r="AO12" s="92"/>
      <c r="AP12" s="92"/>
      <c r="AQ12" s="92"/>
      <c r="AR12" s="92"/>
      <c r="AS12" s="92"/>
      <c r="AT12" s="92"/>
      <c r="AU12" s="92"/>
      <c r="AV12" s="92"/>
      <c r="AW12" s="92"/>
      <c r="AX12" s="92"/>
      <c r="AY12" s="92"/>
      <c r="AZ12" s="92"/>
      <c r="BA12" s="92"/>
      <c r="BB12" s="92"/>
    </row>
    <row r="13" spans="1:61" ht="22.5" customHeight="1" thickBot="1">
      <c r="A13" s="495"/>
      <c r="B13" s="558"/>
      <c r="C13" s="559"/>
      <c r="D13" s="813" t="s">
        <v>2273</v>
      </c>
      <c r="E13" s="813" t="s">
        <v>2274</v>
      </c>
      <c r="F13" s="813" t="s">
        <v>2274</v>
      </c>
      <c r="G13" s="818" t="s">
        <v>2266</v>
      </c>
      <c r="H13" s="818" t="s">
        <v>2275</v>
      </c>
      <c r="I13" s="560" t="s">
        <v>2266</v>
      </c>
      <c r="J13" s="560" t="s">
        <v>2266</v>
      </c>
      <c r="K13" s="780" t="s">
        <v>2266</v>
      </c>
      <c r="L13" s="780" t="s">
        <v>2276</v>
      </c>
      <c r="M13" s="780" t="s">
        <v>2276</v>
      </c>
      <c r="N13" s="780" t="s">
        <v>2276</v>
      </c>
      <c r="O13" s="813" t="s">
        <v>2273</v>
      </c>
      <c r="P13" s="602"/>
      <c r="Q13" s="495"/>
      <c r="R13" s="784"/>
      <c r="S13" s="531" t="s">
        <v>1422</v>
      </c>
      <c r="T13" s="526" t="s">
        <v>1423</v>
      </c>
      <c r="U13" s="527" t="e">
        <f>U12-#REF!</f>
        <v>#REF!</v>
      </c>
      <c r="V13" s="532" t="s">
        <v>1424</v>
      </c>
      <c r="W13" s="529" t="e">
        <f>(#REF!+BM13)/1100000</f>
        <v>#REF!</v>
      </c>
      <c r="X13" s="85"/>
      <c r="Y13" s="69"/>
      <c r="Z13" s="261"/>
      <c r="AA13" s="261"/>
      <c r="AB13" s="80" t="s">
        <v>1423</v>
      </c>
      <c r="AC13" s="81" t="e">
        <f>AC12-#REF!</f>
        <v>#REF!</v>
      </c>
      <c r="AD13" s="82" t="s">
        <v>1434</v>
      </c>
      <c r="AE13" s="83"/>
      <c r="BC13" s="68"/>
      <c r="BD13" s="68"/>
      <c r="BE13" s="68"/>
      <c r="BF13" s="68"/>
      <c r="BG13" s="68"/>
      <c r="BH13" s="68"/>
      <c r="BI13" s="68"/>
    </row>
    <row r="14" spans="1:61" ht="22.5" customHeight="1" thickBot="1">
      <c r="A14" s="490" t="s">
        <v>2277</v>
      </c>
      <c r="B14" s="554">
        <v>0.93</v>
      </c>
      <c r="C14" s="555">
        <f>B14+D14+E14+F14+G14+H14+I14+J14+K14+L14+M14+N14+O14</f>
        <v>1</v>
      </c>
      <c r="D14" s="525"/>
      <c r="E14" s="525"/>
      <c r="F14" s="525"/>
      <c r="G14" s="525"/>
      <c r="H14" s="525"/>
      <c r="I14" s="525">
        <v>7.0000000000000007E-2</v>
      </c>
      <c r="J14" s="525"/>
      <c r="K14" s="525"/>
      <c r="L14" s="525"/>
      <c r="M14" s="525"/>
      <c r="N14" s="525"/>
      <c r="O14" s="525"/>
      <c r="P14" s="566"/>
      <c r="Q14" s="490" t="s">
        <v>2280</v>
      </c>
      <c r="R14" s="700" t="s">
        <v>2278</v>
      </c>
      <c r="S14" s="556" t="s">
        <v>2279</v>
      </c>
      <c r="T14" s="521" t="s">
        <v>1439</v>
      </c>
      <c r="U14" s="522">
        <f>BK14/1100000</f>
        <v>0</v>
      </c>
      <c r="V14" s="523" t="s">
        <v>1440</v>
      </c>
      <c r="W14" s="524" t="e">
        <f>U14*0.75-(#REF!+W15)</f>
        <v>#REF!</v>
      </c>
      <c r="X14" s="299" t="s">
        <v>1443</v>
      </c>
      <c r="Y14" s="79" t="s">
        <v>1444</v>
      </c>
      <c r="Z14" s="260"/>
      <c r="AA14" s="260"/>
      <c r="AB14" s="80" t="s">
        <v>1439</v>
      </c>
      <c r="AC14" s="81">
        <v>126500000</v>
      </c>
      <c r="AD14" s="82" t="s">
        <v>1446</v>
      </c>
      <c r="AE14" s="83">
        <f>SUM(AF14:BB14)</f>
        <v>0</v>
      </c>
      <c r="AF14" s="91" t="s">
        <v>2281</v>
      </c>
      <c r="AG14" s="92"/>
      <c r="AH14" s="92" t="s">
        <v>2254</v>
      </c>
      <c r="AI14" s="92"/>
      <c r="AJ14" s="92" t="s">
        <v>2255</v>
      </c>
      <c r="AK14" s="92"/>
      <c r="AL14" s="92" t="s">
        <v>2255</v>
      </c>
      <c r="AM14" s="92"/>
      <c r="AN14" s="92" t="s">
        <v>2255</v>
      </c>
      <c r="AO14" s="92"/>
      <c r="AP14" s="92"/>
      <c r="AQ14" s="92"/>
      <c r="AR14" s="92"/>
      <c r="AS14" s="92"/>
      <c r="AT14" s="92"/>
      <c r="AU14" s="92"/>
      <c r="AV14" s="92"/>
      <c r="AW14" s="92"/>
      <c r="AX14" s="92"/>
      <c r="AY14" s="92"/>
      <c r="AZ14" s="92"/>
      <c r="BA14" s="92"/>
      <c r="BB14" s="92"/>
    </row>
    <row r="15" spans="1:61" ht="22.5" customHeight="1" thickBot="1">
      <c r="A15" s="495"/>
      <c r="B15" s="558"/>
      <c r="C15" s="559"/>
      <c r="D15" s="780" t="s">
        <v>2282</v>
      </c>
      <c r="E15" s="818" t="s">
        <v>2283</v>
      </c>
      <c r="F15" s="818" t="s">
        <v>2284</v>
      </c>
      <c r="G15" s="818" t="s">
        <v>2285</v>
      </c>
      <c r="H15" s="780" t="s">
        <v>2286</v>
      </c>
      <c r="I15" s="780" t="s">
        <v>2287</v>
      </c>
      <c r="J15" s="780"/>
      <c r="K15" s="780"/>
      <c r="L15" s="780"/>
      <c r="M15" s="780"/>
      <c r="N15" s="780"/>
      <c r="O15" s="780" t="s">
        <v>2282</v>
      </c>
      <c r="P15" s="602"/>
      <c r="Q15" s="495"/>
      <c r="R15" s="784"/>
      <c r="S15" s="531" t="s">
        <v>1422</v>
      </c>
      <c r="T15" s="526" t="s">
        <v>1423</v>
      </c>
      <c r="U15" s="527" t="e">
        <f>U14-#REF!</f>
        <v>#REF!</v>
      </c>
      <c r="V15" s="532" t="s">
        <v>1424</v>
      </c>
      <c r="W15" s="529" t="e">
        <f>(#REF!+BM15)/1100000</f>
        <v>#REF!</v>
      </c>
      <c r="X15" s="85"/>
      <c r="Y15" s="69"/>
      <c r="Z15" s="261"/>
      <c r="AA15" s="261"/>
      <c r="AB15" s="80" t="s">
        <v>1423</v>
      </c>
      <c r="AC15" s="81" t="e">
        <f>AC14-#REF!</f>
        <v>#REF!</v>
      </c>
      <c r="AD15" s="82" t="s">
        <v>1434</v>
      </c>
      <c r="AE15" s="83"/>
      <c r="BC15" s="68"/>
      <c r="BD15" s="68"/>
      <c r="BE15" s="68"/>
      <c r="BF15" s="68"/>
      <c r="BG15" s="68"/>
      <c r="BH15" s="68"/>
      <c r="BI15" s="68"/>
    </row>
    <row r="16" spans="1:61" ht="22.5" customHeight="1" thickBot="1">
      <c r="A16" s="490" t="s">
        <v>2288</v>
      </c>
      <c r="B16" s="554">
        <v>0.17</v>
      </c>
      <c r="C16" s="555">
        <f>B16+D16+E16+F16+G16+H16+I16+J16+K16+L16+M16+N16+O16</f>
        <v>0.17</v>
      </c>
      <c r="D16" s="525"/>
      <c r="E16" s="525"/>
      <c r="F16" s="525"/>
      <c r="G16" s="525"/>
      <c r="H16" s="525"/>
      <c r="I16" s="525"/>
      <c r="J16" s="525"/>
      <c r="K16" s="525"/>
      <c r="L16" s="525"/>
      <c r="M16" s="525"/>
      <c r="N16" s="525"/>
      <c r="O16" s="525"/>
      <c r="P16" s="566" t="s">
        <v>2291</v>
      </c>
      <c r="Q16" s="490" t="s">
        <v>2292</v>
      </c>
      <c r="R16" s="700" t="s">
        <v>2289</v>
      </c>
      <c r="S16" s="556" t="s">
        <v>2290</v>
      </c>
      <c r="T16" s="521" t="s">
        <v>1439</v>
      </c>
      <c r="U16" s="522">
        <f>BK16/1100000</f>
        <v>0</v>
      </c>
      <c r="V16" s="523" t="s">
        <v>1440</v>
      </c>
      <c r="W16" s="524" t="e">
        <f>U16*0.75-(#REF!+W17)</f>
        <v>#REF!</v>
      </c>
      <c r="X16" s="299" t="s">
        <v>1443</v>
      </c>
      <c r="Y16" s="79" t="s">
        <v>1444</v>
      </c>
      <c r="Z16" s="260"/>
      <c r="AA16" s="260"/>
      <c r="AB16" s="80" t="s">
        <v>1439</v>
      </c>
      <c r="AC16" s="81">
        <v>165000000</v>
      </c>
      <c r="AD16" s="82" t="s">
        <v>1446</v>
      </c>
      <c r="AE16" s="83">
        <f>SUM(AF16:BB16)</f>
        <v>0</v>
      </c>
      <c r="AF16" s="91" t="s">
        <v>2281</v>
      </c>
      <c r="AG16" s="92"/>
      <c r="AH16" s="92" t="s">
        <v>2254</v>
      </c>
      <c r="AI16" s="92"/>
      <c r="AJ16" s="92" t="s">
        <v>2255</v>
      </c>
      <c r="AK16" s="92"/>
      <c r="AL16" s="92" t="s">
        <v>2255</v>
      </c>
      <c r="AM16" s="92"/>
      <c r="AN16" s="92" t="s">
        <v>2255</v>
      </c>
      <c r="AO16" s="92"/>
      <c r="AP16" s="92"/>
      <c r="AQ16" s="92"/>
      <c r="AR16" s="92"/>
      <c r="AS16" s="92"/>
      <c r="AT16" s="92"/>
      <c r="AU16" s="92"/>
      <c r="AV16" s="92"/>
      <c r="AW16" s="92"/>
      <c r="AX16" s="92"/>
      <c r="AY16" s="92"/>
      <c r="AZ16" s="92"/>
      <c r="BA16" s="92"/>
      <c r="BB16" s="92"/>
    </row>
    <row r="17" spans="1:61" ht="22.5" customHeight="1" thickBot="1">
      <c r="A17" s="495"/>
      <c r="B17" s="558"/>
      <c r="C17" s="559"/>
      <c r="D17" s="560" t="s">
        <v>2266</v>
      </c>
      <c r="E17" s="560" t="s">
        <v>2266</v>
      </c>
      <c r="F17" s="560" t="s">
        <v>2266</v>
      </c>
      <c r="G17" s="560" t="s">
        <v>2266</v>
      </c>
      <c r="H17" s="560" t="s">
        <v>2266</v>
      </c>
      <c r="I17" s="560" t="s">
        <v>2266</v>
      </c>
      <c r="J17" s="560" t="s">
        <v>2266</v>
      </c>
      <c r="K17" s="560" t="s">
        <v>2266</v>
      </c>
      <c r="L17" s="560" t="s">
        <v>2266</v>
      </c>
      <c r="M17" s="560" t="s">
        <v>2266</v>
      </c>
      <c r="N17" s="560" t="s">
        <v>2266</v>
      </c>
      <c r="O17" s="560" t="s">
        <v>2266</v>
      </c>
      <c r="P17" s="602"/>
      <c r="Q17" s="495"/>
      <c r="R17" s="784"/>
      <c r="S17" s="531" t="s">
        <v>1422</v>
      </c>
      <c r="T17" s="526" t="s">
        <v>1423</v>
      </c>
      <c r="U17" s="527" t="e">
        <f>U16-#REF!</f>
        <v>#REF!</v>
      </c>
      <c r="V17" s="532" t="s">
        <v>1424</v>
      </c>
      <c r="W17" s="529" t="e">
        <f>(#REF!+BM17)/1100000</f>
        <v>#REF!</v>
      </c>
      <c r="X17" s="85"/>
      <c r="Y17" s="69"/>
      <c r="Z17" s="261"/>
      <c r="AA17" s="261"/>
      <c r="AB17" s="80" t="s">
        <v>1423</v>
      </c>
      <c r="AC17" s="81" t="e">
        <f>AC16-#REF!</f>
        <v>#REF!</v>
      </c>
      <c r="AD17" s="82" t="s">
        <v>1434</v>
      </c>
      <c r="AE17" s="83"/>
      <c r="BC17" s="68"/>
      <c r="BD17" s="68"/>
      <c r="BE17" s="68"/>
      <c r="BF17" s="68"/>
      <c r="BG17" s="68"/>
      <c r="BH17" s="68"/>
      <c r="BI17" s="68"/>
    </row>
    <row r="18" spans="1:61" ht="22.5" customHeight="1" thickBot="1">
      <c r="A18" s="490" t="s">
        <v>2293</v>
      </c>
      <c r="B18" s="554">
        <v>0.8</v>
      </c>
      <c r="C18" s="555">
        <f>B18+D18+E18+F18+G18+H18+I18+J18+K18+L18+M18+N18+O18</f>
        <v>0.84000000000000008</v>
      </c>
      <c r="D18" s="525"/>
      <c r="E18" s="525"/>
      <c r="F18" s="525"/>
      <c r="G18" s="525"/>
      <c r="H18" s="525"/>
      <c r="I18" s="525">
        <v>0.01</v>
      </c>
      <c r="J18" s="525">
        <v>0.01</v>
      </c>
      <c r="K18" s="525">
        <v>0.01</v>
      </c>
      <c r="L18" s="525">
        <v>0.01</v>
      </c>
      <c r="M18" s="525"/>
      <c r="N18" s="525"/>
      <c r="O18" s="525"/>
      <c r="P18" s="566"/>
      <c r="Q18" s="490" t="s">
        <v>2296</v>
      </c>
      <c r="R18" s="700" t="s">
        <v>2294</v>
      </c>
      <c r="S18" s="556" t="s">
        <v>2295</v>
      </c>
      <c r="T18" s="521" t="s">
        <v>1439</v>
      </c>
      <c r="U18" s="522">
        <f>BK18/1100000</f>
        <v>0</v>
      </c>
      <c r="V18" s="523" t="s">
        <v>1440</v>
      </c>
      <c r="W18" s="524" t="e">
        <f>U18*0.75-(#REF!+W19)</f>
        <v>#REF!</v>
      </c>
      <c r="X18" s="299" t="s">
        <v>1443</v>
      </c>
      <c r="Y18" s="79" t="s">
        <v>1444</v>
      </c>
      <c r="Z18" s="260"/>
      <c r="AA18" s="260"/>
      <c r="AB18" s="80" t="s">
        <v>1439</v>
      </c>
      <c r="AC18" s="81">
        <v>237600000</v>
      </c>
      <c r="AD18" s="82" t="s">
        <v>1446</v>
      </c>
      <c r="AE18" s="83">
        <f>SUM(AF18:BB18)</f>
        <v>33750000</v>
      </c>
      <c r="AF18" s="91" t="s">
        <v>2297</v>
      </c>
      <c r="AG18" s="92">
        <v>26250000</v>
      </c>
      <c r="AH18" s="92" t="s">
        <v>2298</v>
      </c>
      <c r="AI18" s="92">
        <v>3750000</v>
      </c>
      <c r="AJ18" s="92" t="s">
        <v>2299</v>
      </c>
      <c r="AK18" s="92">
        <v>3750000</v>
      </c>
      <c r="AL18" s="92" t="s">
        <v>2255</v>
      </c>
      <c r="AM18" s="92"/>
      <c r="AN18" s="92" t="s">
        <v>2255</v>
      </c>
      <c r="AO18" s="92"/>
      <c r="AP18" s="92"/>
      <c r="AQ18" s="92"/>
      <c r="AR18" s="92"/>
      <c r="AS18" s="92"/>
      <c r="AT18" s="92"/>
      <c r="AU18" s="92"/>
      <c r="AV18" s="92"/>
      <c r="AW18" s="92"/>
      <c r="AX18" s="92"/>
      <c r="AY18" s="92"/>
      <c r="AZ18" s="92"/>
      <c r="BA18" s="92"/>
      <c r="BB18" s="92"/>
    </row>
    <row r="19" spans="1:61" ht="22.5" customHeight="1" thickBot="1">
      <c r="A19" s="495"/>
      <c r="B19" s="558"/>
      <c r="C19" s="559"/>
      <c r="D19" s="560" t="s">
        <v>2266</v>
      </c>
      <c r="E19" s="560" t="s">
        <v>2266</v>
      </c>
      <c r="F19" s="560" t="s">
        <v>2266</v>
      </c>
      <c r="G19" s="560" t="s">
        <v>2266</v>
      </c>
      <c r="H19" s="560" t="s">
        <v>2266</v>
      </c>
      <c r="I19" s="560" t="s">
        <v>2300</v>
      </c>
      <c r="J19" s="560" t="s">
        <v>2266</v>
      </c>
      <c r="K19" s="560" t="s">
        <v>2266</v>
      </c>
      <c r="L19" s="560" t="s">
        <v>2301</v>
      </c>
      <c r="M19" s="560" t="s">
        <v>2266</v>
      </c>
      <c r="N19" s="560" t="s">
        <v>2266</v>
      </c>
      <c r="O19" s="560" t="s">
        <v>2266</v>
      </c>
      <c r="P19" s="602"/>
      <c r="Q19" s="495"/>
      <c r="R19" s="784"/>
      <c r="S19" s="531" t="s">
        <v>1422</v>
      </c>
      <c r="T19" s="526" t="s">
        <v>1423</v>
      </c>
      <c r="U19" s="527" t="e">
        <f>U18-#REF!</f>
        <v>#REF!</v>
      </c>
      <c r="V19" s="532" t="s">
        <v>1424</v>
      </c>
      <c r="W19" s="529" t="e">
        <f>(#REF!+BM19)/1100000</f>
        <v>#REF!</v>
      </c>
      <c r="X19" s="85"/>
      <c r="Y19" s="69"/>
      <c r="Z19" s="261"/>
      <c r="AA19" s="261"/>
      <c r="AB19" s="80" t="s">
        <v>1423</v>
      </c>
      <c r="AC19" s="81" t="e">
        <f>AC18-#REF!</f>
        <v>#REF!</v>
      </c>
      <c r="AD19" s="82" t="s">
        <v>1434</v>
      </c>
      <c r="AE19" s="83"/>
      <c r="BC19" s="68"/>
      <c r="BD19" s="68"/>
      <c r="BE19" s="68"/>
      <c r="BF19" s="68"/>
      <c r="BG19" s="68"/>
      <c r="BH19" s="68"/>
      <c r="BI19" s="68"/>
    </row>
    <row r="20" spans="1:61" ht="22.5" customHeight="1" thickBot="1">
      <c r="A20" s="490" t="s">
        <v>2302</v>
      </c>
      <c r="B20" s="554">
        <v>0.55000000000000004</v>
      </c>
      <c r="C20" s="555">
        <f>B20+D20+E20+F20+G20+H20+I20+J20+K20+L20+M20+N20+O20</f>
        <v>0.65000000000000013</v>
      </c>
      <c r="D20" s="525"/>
      <c r="E20" s="525"/>
      <c r="F20" s="525"/>
      <c r="G20" s="525"/>
      <c r="H20" s="525"/>
      <c r="I20" s="525"/>
      <c r="J20" s="525">
        <v>0.02</v>
      </c>
      <c r="K20" s="525">
        <v>0.02</v>
      </c>
      <c r="L20" s="525">
        <v>0.01</v>
      </c>
      <c r="M20" s="525">
        <v>0.03</v>
      </c>
      <c r="N20" s="525">
        <v>0.02</v>
      </c>
      <c r="O20" s="525"/>
      <c r="P20" s="566" t="s">
        <v>2305</v>
      </c>
      <c r="Q20" s="490" t="s">
        <v>2306</v>
      </c>
      <c r="R20" s="700" t="s">
        <v>2303</v>
      </c>
      <c r="S20" s="556" t="s">
        <v>2304</v>
      </c>
      <c r="T20" s="521" t="s">
        <v>1439</v>
      </c>
      <c r="U20" s="522">
        <f>BK20/1100000</f>
        <v>0</v>
      </c>
      <c r="V20" s="523" t="s">
        <v>1440</v>
      </c>
      <c r="W20" s="524" t="e">
        <f>U20*0.75-(#REF!+W21)</f>
        <v>#REF!</v>
      </c>
      <c r="X20" s="299" t="s">
        <v>1443</v>
      </c>
      <c r="Y20" s="79" t="s">
        <v>1444</v>
      </c>
      <c r="Z20" s="260"/>
      <c r="AA20" s="260"/>
      <c r="AB20" s="80" t="s">
        <v>1439</v>
      </c>
      <c r="AC20" s="81">
        <v>418000000</v>
      </c>
      <c r="AD20" s="82" t="s">
        <v>1446</v>
      </c>
      <c r="AE20" s="83">
        <f>SUM(AF20:BB20)</f>
        <v>30000000</v>
      </c>
      <c r="AF20" s="91" t="s">
        <v>2307</v>
      </c>
      <c r="AG20" s="92">
        <v>30000000</v>
      </c>
      <c r="AH20" s="92" t="s">
        <v>2298</v>
      </c>
      <c r="AI20" s="92"/>
      <c r="AJ20" s="92" t="s">
        <v>2299</v>
      </c>
      <c r="AK20" s="92"/>
      <c r="AL20" s="92" t="s">
        <v>2255</v>
      </c>
      <c r="AM20" s="92"/>
      <c r="AN20" s="92"/>
      <c r="AO20" s="92"/>
      <c r="AP20" s="92"/>
      <c r="AQ20" s="92"/>
      <c r="AR20" s="92"/>
      <c r="AS20" s="92"/>
      <c r="AT20" s="92"/>
      <c r="AU20" s="92"/>
      <c r="AV20" s="92"/>
      <c r="AW20" s="92"/>
      <c r="AX20" s="92"/>
      <c r="AY20" s="92"/>
      <c r="AZ20" s="92"/>
      <c r="BA20" s="92"/>
      <c r="BB20" s="92"/>
    </row>
    <row r="21" spans="1:61" ht="22.5" customHeight="1" thickBot="1">
      <c r="A21" s="495"/>
      <c r="B21" s="558"/>
      <c r="C21" s="559"/>
      <c r="D21" s="560" t="s">
        <v>2266</v>
      </c>
      <c r="E21" s="818" t="s">
        <v>2308</v>
      </c>
      <c r="F21" s="818" t="s">
        <v>2308</v>
      </c>
      <c r="G21" s="818" t="s">
        <v>2309</v>
      </c>
      <c r="H21" s="818" t="s">
        <v>2309</v>
      </c>
      <c r="I21" s="818" t="s">
        <v>2309</v>
      </c>
      <c r="J21" s="818" t="s">
        <v>2309</v>
      </c>
      <c r="K21" s="818" t="s">
        <v>2309</v>
      </c>
      <c r="L21" s="818" t="s">
        <v>2309</v>
      </c>
      <c r="M21" s="780" t="s">
        <v>2310</v>
      </c>
      <c r="N21" s="780" t="s">
        <v>2310</v>
      </c>
      <c r="O21" s="560" t="s">
        <v>2266</v>
      </c>
      <c r="P21" s="602"/>
      <c r="Q21" s="495"/>
      <c r="R21" s="784"/>
      <c r="S21" s="531" t="s">
        <v>1422</v>
      </c>
      <c r="T21" s="526" t="s">
        <v>1423</v>
      </c>
      <c r="U21" s="527" t="e">
        <f>U20-#REF!</f>
        <v>#REF!</v>
      </c>
      <c r="V21" s="532" t="s">
        <v>1424</v>
      </c>
      <c r="W21" s="529" t="e">
        <f>(#REF!+BM21)/1100000</f>
        <v>#REF!</v>
      </c>
      <c r="X21" s="85"/>
      <c r="Y21" s="69"/>
      <c r="Z21" s="261"/>
      <c r="AA21" s="261"/>
      <c r="AB21" s="80" t="s">
        <v>1423</v>
      </c>
      <c r="AC21" s="81" t="e">
        <f>AC20-#REF!</f>
        <v>#REF!</v>
      </c>
      <c r="AD21" s="82" t="s">
        <v>1434</v>
      </c>
      <c r="AE21" s="83"/>
      <c r="BC21" s="68"/>
      <c r="BD21" s="68"/>
      <c r="BE21" s="68"/>
      <c r="BF21" s="68"/>
      <c r="BG21" s="68"/>
      <c r="BH21" s="68"/>
      <c r="BI21" s="68"/>
    </row>
    <row r="22" spans="1:61" ht="22.5" customHeight="1" thickBot="1">
      <c r="A22" s="490" t="s">
        <v>2311</v>
      </c>
      <c r="B22" s="554">
        <v>0.13</v>
      </c>
      <c r="C22" s="555">
        <f>B22+D22+E22+F22+G22+H22+I22+J22+K22+L22+M22+N22+O22</f>
        <v>0.74</v>
      </c>
      <c r="D22" s="525"/>
      <c r="E22" s="525">
        <v>0.03</v>
      </c>
      <c r="F22" s="525">
        <v>0.04</v>
      </c>
      <c r="G22" s="525">
        <v>0.06</v>
      </c>
      <c r="H22" s="525">
        <v>0.09</v>
      </c>
      <c r="I22" s="525">
        <v>0.09</v>
      </c>
      <c r="J22" s="525">
        <v>0.06</v>
      </c>
      <c r="K22" s="525">
        <v>0.08</v>
      </c>
      <c r="L22" s="525">
        <v>0.1</v>
      </c>
      <c r="M22" s="525">
        <v>0.02</v>
      </c>
      <c r="N22" s="525">
        <v>0.04</v>
      </c>
      <c r="O22" s="525"/>
      <c r="P22" s="566"/>
      <c r="Q22" s="490" t="s">
        <v>2314</v>
      </c>
      <c r="R22" s="700" t="s">
        <v>2312</v>
      </c>
      <c r="S22" s="556" t="s">
        <v>2313</v>
      </c>
      <c r="T22" s="521" t="s">
        <v>1439</v>
      </c>
      <c r="U22" s="522">
        <f>BK22/1100000</f>
        <v>0</v>
      </c>
      <c r="V22" s="523" t="s">
        <v>1440</v>
      </c>
      <c r="W22" s="524" t="e">
        <f>U22*0.75-(#REF!+W23)</f>
        <v>#REF!</v>
      </c>
      <c r="X22" s="299" t="s">
        <v>1443</v>
      </c>
      <c r="Y22" s="79" t="s">
        <v>1444</v>
      </c>
      <c r="Z22" s="260"/>
      <c r="AA22" s="260"/>
      <c r="AB22" s="80" t="s">
        <v>1439</v>
      </c>
      <c r="AC22" s="81">
        <v>185083418</v>
      </c>
      <c r="AD22" s="82" t="s">
        <v>1446</v>
      </c>
      <c r="AE22" s="83">
        <f>SUM(AF22:BB22)</f>
        <v>0</v>
      </c>
      <c r="AF22" s="91" t="s">
        <v>2307</v>
      </c>
      <c r="AG22" s="92"/>
      <c r="AH22" s="92" t="s">
        <v>2298</v>
      </c>
      <c r="AI22" s="92"/>
      <c r="AJ22" s="92" t="s">
        <v>2299</v>
      </c>
      <c r="AK22" s="92"/>
      <c r="AL22" s="92" t="s">
        <v>2255</v>
      </c>
      <c r="AM22" s="92"/>
      <c r="AN22" s="92"/>
      <c r="AO22" s="92"/>
      <c r="AP22" s="92"/>
      <c r="AQ22" s="92"/>
      <c r="AR22" s="92"/>
      <c r="AS22" s="92"/>
      <c r="AT22" s="92"/>
      <c r="AU22" s="92"/>
      <c r="AV22" s="92"/>
      <c r="AW22" s="92"/>
      <c r="AX22" s="92"/>
      <c r="AY22" s="92"/>
      <c r="AZ22" s="92"/>
      <c r="BA22" s="92"/>
      <c r="BB22" s="92"/>
    </row>
    <row r="23" spans="1:61" ht="22.5" customHeight="1" thickBot="1">
      <c r="A23" s="495"/>
      <c r="B23" s="558"/>
      <c r="C23" s="559"/>
      <c r="D23" s="560" t="s">
        <v>2315</v>
      </c>
      <c r="E23" s="560" t="s">
        <v>2315</v>
      </c>
      <c r="F23" s="818" t="s">
        <v>2316</v>
      </c>
      <c r="G23" s="818" t="s">
        <v>2317</v>
      </c>
      <c r="H23" s="818" t="s">
        <v>2318</v>
      </c>
      <c r="I23" s="818" t="s">
        <v>2318</v>
      </c>
      <c r="J23" s="818" t="s">
        <v>2318</v>
      </c>
      <c r="K23" s="818" t="s">
        <v>2319</v>
      </c>
      <c r="L23" s="780" t="s">
        <v>2320</v>
      </c>
      <c r="M23" s="780" t="s">
        <v>2310</v>
      </c>
      <c r="N23" s="780" t="s">
        <v>2310</v>
      </c>
      <c r="O23" s="560" t="s">
        <v>2321</v>
      </c>
      <c r="P23" s="602"/>
      <c r="Q23" s="495"/>
      <c r="R23" s="784"/>
      <c r="S23" s="531" t="s">
        <v>1422</v>
      </c>
      <c r="T23" s="526" t="s">
        <v>1423</v>
      </c>
      <c r="U23" s="527" t="e">
        <f>U22-#REF!</f>
        <v>#REF!</v>
      </c>
      <c r="V23" s="532" t="s">
        <v>1424</v>
      </c>
      <c r="W23" s="529" t="e">
        <f>(#REF!+BM23)/1100000</f>
        <v>#REF!</v>
      </c>
      <c r="X23" s="85"/>
      <c r="Y23" s="69"/>
      <c r="Z23" s="261"/>
      <c r="AA23" s="261"/>
      <c r="AB23" s="80" t="s">
        <v>1423</v>
      </c>
      <c r="AC23" s="81" t="e">
        <f>AC22-#REF!</f>
        <v>#REF!</v>
      </c>
      <c r="AD23" s="82" t="s">
        <v>1434</v>
      </c>
      <c r="AE23" s="83"/>
      <c r="BC23" s="68"/>
      <c r="BD23" s="68"/>
      <c r="BE23" s="68"/>
      <c r="BF23" s="68"/>
      <c r="BG23" s="68"/>
      <c r="BH23" s="68"/>
      <c r="BI23" s="68"/>
    </row>
    <row r="24" spans="1:61" ht="22.5" customHeight="1" thickBot="1">
      <c r="A24" s="490" t="s">
        <v>2322</v>
      </c>
      <c r="B24" s="819">
        <v>0.5</v>
      </c>
      <c r="C24" s="555">
        <f>B24+D24+E24+F24+G24+H24+I24+J24+K24+L24+M24+N24+O24</f>
        <v>1</v>
      </c>
      <c r="D24" s="525">
        <v>0.45</v>
      </c>
      <c r="E24" s="525">
        <v>0.05</v>
      </c>
      <c r="F24" s="525"/>
      <c r="G24" s="525"/>
      <c r="H24" s="525"/>
      <c r="I24" s="525"/>
      <c r="J24" s="525"/>
      <c r="K24" s="525"/>
      <c r="L24" s="525"/>
      <c r="M24" s="525"/>
      <c r="N24" s="525"/>
      <c r="O24" s="525"/>
      <c r="P24" s="566" t="s">
        <v>2325</v>
      </c>
      <c r="Q24" s="490" t="s">
        <v>2326</v>
      </c>
      <c r="R24" s="700" t="s">
        <v>2323</v>
      </c>
      <c r="S24" s="556" t="s">
        <v>2324</v>
      </c>
      <c r="T24" s="521" t="s">
        <v>1439</v>
      </c>
      <c r="U24" s="522">
        <f>BK24/1100000</f>
        <v>0</v>
      </c>
      <c r="V24" s="523" t="s">
        <v>1440</v>
      </c>
      <c r="W24" s="524" t="e">
        <f>U24*0.75-(#REF!+W25)</f>
        <v>#REF!</v>
      </c>
      <c r="X24" s="299" t="s">
        <v>1443</v>
      </c>
      <c r="Y24" s="79" t="s">
        <v>1444</v>
      </c>
      <c r="Z24" s="260"/>
      <c r="AA24" s="260"/>
      <c r="AB24" s="80" t="s">
        <v>1439</v>
      </c>
      <c r="AC24" s="81">
        <v>523600000</v>
      </c>
      <c r="AD24" s="82" t="s">
        <v>1446</v>
      </c>
      <c r="AE24" s="83">
        <f>SUM(AF24:BB24)</f>
        <v>0</v>
      </c>
      <c r="AF24" s="91" t="s">
        <v>2307</v>
      </c>
      <c r="AG24" s="92"/>
      <c r="AH24" s="92" t="s">
        <v>2298</v>
      </c>
      <c r="AI24" s="92"/>
      <c r="AJ24" s="92" t="s">
        <v>2299</v>
      </c>
      <c r="AK24" s="92"/>
      <c r="AL24" s="92" t="s">
        <v>2255</v>
      </c>
      <c r="AM24" s="92"/>
      <c r="AN24" s="92"/>
      <c r="AO24" s="92"/>
      <c r="AP24" s="92"/>
      <c r="AQ24" s="92"/>
      <c r="AR24" s="92"/>
      <c r="AS24" s="92"/>
      <c r="AT24" s="92"/>
      <c r="AU24" s="92"/>
      <c r="AV24" s="92"/>
      <c r="AW24" s="92"/>
      <c r="AX24" s="92"/>
      <c r="AY24" s="92"/>
      <c r="AZ24" s="92"/>
      <c r="BA24" s="92"/>
      <c r="BB24" s="92"/>
    </row>
    <row r="25" spans="1:61" ht="22.5" customHeight="1" thickBot="1">
      <c r="A25" s="495"/>
      <c r="B25" s="820"/>
      <c r="C25" s="559"/>
      <c r="D25" s="780" t="s">
        <v>2327</v>
      </c>
      <c r="E25" s="780" t="s">
        <v>2327</v>
      </c>
      <c r="F25" s="818"/>
      <c r="G25" s="818"/>
      <c r="H25" s="818"/>
      <c r="I25" s="818"/>
      <c r="J25" s="818"/>
      <c r="K25" s="818"/>
      <c r="L25" s="780"/>
      <c r="M25" s="780"/>
      <c r="N25" s="780"/>
      <c r="O25" s="780" t="s">
        <v>2328</v>
      </c>
      <c r="P25" s="602"/>
      <c r="Q25" s="495"/>
      <c r="R25" s="784"/>
      <c r="S25" s="531" t="s">
        <v>1422</v>
      </c>
      <c r="T25" s="526" t="s">
        <v>1423</v>
      </c>
      <c r="U25" s="527" t="e">
        <f>U24-#REF!</f>
        <v>#REF!</v>
      </c>
      <c r="V25" s="532" t="s">
        <v>1424</v>
      </c>
      <c r="W25" s="529" t="e">
        <f>(#REF!+BM25)/1100000</f>
        <v>#REF!</v>
      </c>
      <c r="X25" s="85"/>
      <c r="Y25" s="69"/>
      <c r="Z25" s="261"/>
      <c r="AA25" s="261"/>
      <c r="AB25" s="80" t="s">
        <v>1423</v>
      </c>
      <c r="AC25" s="81" t="e">
        <f>AC24-#REF!</f>
        <v>#REF!</v>
      </c>
      <c r="AD25" s="82" t="s">
        <v>1434</v>
      </c>
      <c r="AE25" s="83"/>
      <c r="BC25" s="68"/>
      <c r="BD25" s="68"/>
      <c r="BE25" s="68"/>
      <c r="BF25" s="68"/>
      <c r="BG25" s="68"/>
      <c r="BH25" s="68"/>
      <c r="BI25" s="68"/>
    </row>
    <row r="26" spans="1:61" ht="22.5" customHeight="1" thickBot="1">
      <c r="A26" s="490" t="s">
        <v>2329</v>
      </c>
      <c r="B26" s="554">
        <v>0</v>
      </c>
      <c r="C26" s="555">
        <f>B26+D26+E26+F26+G26+H26+I26+J26+K26+L26+M26+N26+O26</f>
        <v>0</v>
      </c>
      <c r="D26" s="525"/>
      <c r="E26" s="525"/>
      <c r="F26" s="525"/>
      <c r="G26" s="525"/>
      <c r="H26" s="525"/>
      <c r="I26" s="525"/>
      <c r="J26" s="525"/>
      <c r="K26" s="525"/>
      <c r="L26" s="525"/>
      <c r="M26" s="525"/>
      <c r="N26" s="525"/>
      <c r="O26" s="525"/>
      <c r="P26" s="566" t="s">
        <v>2332</v>
      </c>
      <c r="Q26" s="490" t="s">
        <v>2333</v>
      </c>
      <c r="R26" s="700" t="s">
        <v>2330</v>
      </c>
      <c r="S26" s="556" t="s">
        <v>2331</v>
      </c>
      <c r="T26" s="521" t="s">
        <v>1439</v>
      </c>
      <c r="U26" s="522">
        <f>BK26/1100000</f>
        <v>0</v>
      </c>
      <c r="V26" s="523" t="s">
        <v>1440</v>
      </c>
      <c r="W26" s="524" t="e">
        <f>U26*0.75-(#REF!+W27)</f>
        <v>#REF!</v>
      </c>
      <c r="X26" s="299" t="s">
        <v>1443</v>
      </c>
      <c r="Y26" s="79" t="s">
        <v>1444</v>
      </c>
      <c r="Z26" s="260"/>
      <c r="AA26" s="260"/>
      <c r="AB26" s="80" t="s">
        <v>1439</v>
      </c>
      <c r="AC26" s="81">
        <v>89009000</v>
      </c>
      <c r="AD26" s="82" t="s">
        <v>1446</v>
      </c>
      <c r="AE26" s="83">
        <f>SUM(AF26:BB26)</f>
        <v>0</v>
      </c>
      <c r="AF26" s="91" t="s">
        <v>2307</v>
      </c>
      <c r="AG26" s="92"/>
      <c r="AH26" s="92" t="s">
        <v>2298</v>
      </c>
      <c r="AI26" s="92"/>
      <c r="AJ26" s="92" t="s">
        <v>2299</v>
      </c>
      <c r="AK26" s="92"/>
      <c r="AL26" s="92" t="s">
        <v>2255</v>
      </c>
      <c r="AM26" s="92"/>
      <c r="AN26" s="92"/>
      <c r="AO26" s="92"/>
      <c r="AP26" s="92"/>
      <c r="AQ26" s="92"/>
      <c r="AR26" s="92"/>
      <c r="AS26" s="92"/>
      <c r="AT26" s="92"/>
      <c r="AU26" s="92"/>
      <c r="AV26" s="92"/>
      <c r="AW26" s="92"/>
      <c r="AX26" s="92"/>
      <c r="AY26" s="92"/>
      <c r="AZ26" s="92"/>
      <c r="BA26" s="92"/>
      <c r="BB26" s="92"/>
    </row>
    <row r="27" spans="1:61" ht="22.5" customHeight="1" thickBot="1">
      <c r="A27" s="495"/>
      <c r="B27" s="558"/>
      <c r="C27" s="559"/>
      <c r="D27" s="560" t="s">
        <v>2334</v>
      </c>
      <c r="E27" s="560" t="s">
        <v>2334</v>
      </c>
      <c r="F27" s="560" t="s">
        <v>2334</v>
      </c>
      <c r="G27" s="818" t="s">
        <v>2266</v>
      </c>
      <c r="H27" s="818" t="s">
        <v>2266</v>
      </c>
      <c r="I27" s="818" t="s">
        <v>2266</v>
      </c>
      <c r="J27" s="818" t="s">
        <v>2266</v>
      </c>
      <c r="K27" s="818" t="s">
        <v>2266</v>
      </c>
      <c r="L27" s="818" t="s">
        <v>2266</v>
      </c>
      <c r="M27" s="780"/>
      <c r="N27" s="780"/>
      <c r="O27" s="560" t="s">
        <v>2266</v>
      </c>
      <c r="P27" s="602"/>
      <c r="Q27" s="495"/>
      <c r="R27" s="784"/>
      <c r="S27" s="531" t="s">
        <v>1422</v>
      </c>
      <c r="T27" s="526" t="s">
        <v>1423</v>
      </c>
      <c r="U27" s="527" t="e">
        <f>U26-#REF!</f>
        <v>#REF!</v>
      </c>
      <c r="V27" s="532" t="s">
        <v>1424</v>
      </c>
      <c r="W27" s="529" t="e">
        <f>(#REF!+BM27)/1100000</f>
        <v>#REF!</v>
      </c>
      <c r="X27" s="85"/>
      <c r="Y27" s="69"/>
      <c r="Z27" s="261"/>
      <c r="AA27" s="261"/>
      <c r="AB27" s="80" t="s">
        <v>1423</v>
      </c>
      <c r="AC27" s="81" t="e">
        <f>AC26-#REF!</f>
        <v>#REF!</v>
      </c>
      <c r="AD27" s="82" t="s">
        <v>1434</v>
      </c>
      <c r="AE27" s="83"/>
      <c r="BC27" s="68"/>
      <c r="BD27" s="68"/>
      <c r="BE27" s="68"/>
      <c r="BF27" s="68"/>
      <c r="BG27" s="68"/>
      <c r="BH27" s="68"/>
      <c r="BI27" s="68"/>
    </row>
    <row r="28" spans="1:61" ht="22.5" customHeight="1" thickBot="1">
      <c r="A28" s="563" t="s">
        <v>2335</v>
      </c>
      <c r="B28" s="554">
        <v>0</v>
      </c>
      <c r="C28" s="555">
        <f>B28+D28+E28+F28+G28+H28+I28+J28+K28+L28+M28+N28+O28</f>
        <v>0</v>
      </c>
      <c r="D28" s="525"/>
      <c r="E28" s="525"/>
      <c r="F28" s="525"/>
      <c r="G28" s="525"/>
      <c r="H28" s="525"/>
      <c r="I28" s="525"/>
      <c r="J28" s="525"/>
      <c r="K28" s="525"/>
      <c r="L28" s="525"/>
      <c r="M28" s="525"/>
      <c r="N28" s="525"/>
      <c r="O28" s="525"/>
      <c r="P28" s="566"/>
      <c r="Q28" s="490" t="s">
        <v>2338</v>
      </c>
      <c r="R28" s="700" t="s">
        <v>2336</v>
      </c>
      <c r="S28" s="556" t="s">
        <v>2337</v>
      </c>
      <c r="T28" s="521" t="s">
        <v>1439</v>
      </c>
      <c r="U28" s="522">
        <f>BK28/1100000</f>
        <v>0</v>
      </c>
      <c r="V28" s="523" t="s">
        <v>1440</v>
      </c>
      <c r="W28" s="524" t="e">
        <f>U28*0.75-(#REF!+W29)</f>
        <v>#REF!</v>
      </c>
      <c r="X28" s="299" t="s">
        <v>1443</v>
      </c>
      <c r="Y28" s="79" t="s">
        <v>1444</v>
      </c>
      <c r="Z28" s="260"/>
      <c r="AA28" s="260"/>
      <c r="AB28" s="80" t="s">
        <v>1439</v>
      </c>
      <c r="AC28" s="81">
        <v>20190000</v>
      </c>
      <c r="AD28" s="82" t="s">
        <v>1446</v>
      </c>
      <c r="AE28" s="83">
        <f>SUM(AF28:BB28)</f>
        <v>0</v>
      </c>
      <c r="AF28" s="91" t="s">
        <v>2307</v>
      </c>
      <c r="AG28" s="92"/>
      <c r="AH28" s="92" t="s">
        <v>2298</v>
      </c>
      <c r="AI28" s="92"/>
      <c r="AJ28" s="92" t="s">
        <v>2299</v>
      </c>
      <c r="AK28" s="92"/>
      <c r="AL28" s="92" t="s">
        <v>2255</v>
      </c>
      <c r="AM28" s="92"/>
      <c r="AN28" s="92"/>
      <c r="AO28" s="92"/>
      <c r="AP28" s="92"/>
      <c r="AQ28" s="92"/>
      <c r="AR28" s="92"/>
      <c r="AS28" s="92"/>
      <c r="AT28" s="92"/>
      <c r="AU28" s="92"/>
      <c r="AV28" s="92"/>
      <c r="AW28" s="92"/>
      <c r="AX28" s="92"/>
      <c r="AY28" s="92"/>
      <c r="AZ28" s="92"/>
      <c r="BA28" s="92"/>
      <c r="BB28" s="92"/>
    </row>
    <row r="29" spans="1:61" ht="22.5" customHeight="1">
      <c r="A29" s="564"/>
      <c r="B29" s="558"/>
      <c r="C29" s="559"/>
      <c r="D29" s="560" t="s">
        <v>2334</v>
      </c>
      <c r="E29" s="560" t="s">
        <v>2334</v>
      </c>
      <c r="F29" s="560" t="s">
        <v>2334</v>
      </c>
      <c r="G29" s="818" t="s">
        <v>2266</v>
      </c>
      <c r="H29" s="818" t="s">
        <v>2266</v>
      </c>
      <c r="I29" s="818" t="s">
        <v>2266</v>
      </c>
      <c r="J29" s="818" t="s">
        <v>2266</v>
      </c>
      <c r="K29" s="818" t="s">
        <v>2266</v>
      </c>
      <c r="L29" s="818" t="s">
        <v>2266</v>
      </c>
      <c r="M29" s="780"/>
      <c r="N29" s="780"/>
      <c r="O29" s="560" t="s">
        <v>2266</v>
      </c>
      <c r="P29" s="602"/>
      <c r="Q29" s="495"/>
      <c r="R29" s="784"/>
      <c r="S29" s="531" t="s">
        <v>1422</v>
      </c>
      <c r="T29" s="526" t="s">
        <v>1423</v>
      </c>
      <c r="U29" s="527" t="e">
        <f>U28-#REF!</f>
        <v>#REF!</v>
      </c>
      <c r="V29" s="532" t="s">
        <v>1424</v>
      </c>
      <c r="W29" s="529" t="e">
        <f>(#REF!+BM29)/1100000</f>
        <v>#REF!</v>
      </c>
      <c r="X29" s="85"/>
      <c r="Y29" s="69"/>
      <c r="Z29" s="261"/>
      <c r="AA29" s="261"/>
      <c r="AB29" s="80" t="s">
        <v>1423</v>
      </c>
      <c r="AC29" s="81" t="e">
        <f>AC28-#REF!</f>
        <v>#REF!</v>
      </c>
      <c r="AD29" s="82" t="s">
        <v>1434</v>
      </c>
      <c r="AE29" s="83"/>
      <c r="BC29" s="68"/>
      <c r="BD29" s="68"/>
      <c r="BE29" s="68"/>
      <c r="BF29" s="68"/>
      <c r="BG29" s="68"/>
      <c r="BH29" s="68"/>
      <c r="BI29" s="68"/>
    </row>
    <row r="30" spans="1:61" ht="30.75" customHeight="1">
      <c r="R30" s="428"/>
      <c r="S30" s="388"/>
      <c r="U30" s="388"/>
    </row>
  </sheetData>
  <phoneticPr fontId="2" type="noConversion"/>
  <printOptions horizontalCentered="1"/>
  <pageMargins left="0.15748031496062992" right="0.15748031496062992" top="0.47244094488188981" bottom="0.39370078740157483" header="0.31496062992125984" footer="0.31496062992125984"/>
  <pageSetup paperSize="9" orientation="landscape" r:id="rId1"/>
  <rowBreaks count="2" manualBreakCount="2">
    <brk id="13" max="34" man="1"/>
    <brk id="23" max="34"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J31"/>
  <sheetViews>
    <sheetView zoomScale="85" zoomScaleNormal="85" workbookViewId="0">
      <pane xSplit="1" ySplit="2" topLeftCell="B21" activePane="bottomRight" state="frozen"/>
      <selection activeCell="A4" sqref="A4:XFD29"/>
      <selection pane="topRight" activeCell="A4" sqref="A4:XFD29"/>
      <selection pane="bottomLeft" activeCell="A4" sqref="A4:XFD29"/>
      <selection pane="bottomRight" activeCell="T25" sqref="T25"/>
    </sheetView>
  </sheetViews>
  <sheetFormatPr defaultColWidth="10.25" defaultRowHeight="30.75" customHeight="1"/>
  <cols>
    <col min="1" max="1" width="12.625" style="275" customWidth="1"/>
    <col min="2" max="2" width="4.875" style="282" customWidth="1"/>
    <col min="3" max="3" width="5.25" style="282" customWidth="1"/>
    <col min="4" max="15" width="8.875" style="275" customWidth="1"/>
    <col min="16" max="16" width="18.875" style="275" customWidth="1"/>
    <col min="17" max="19" width="11" style="275" customWidth="1"/>
    <col min="20" max="20" width="19.375" style="78" customWidth="1"/>
    <col min="21" max="21" width="9.875" style="275" customWidth="1"/>
    <col min="22" max="22" width="5.125" style="275" customWidth="1"/>
    <col min="23" max="23" width="8.75" style="275" customWidth="1"/>
    <col min="24" max="24" width="5.125" style="275" customWidth="1"/>
    <col min="25" max="25" width="8.625" style="275" customWidth="1"/>
    <col min="26" max="26" width="11.375" style="275" bestFit="1" customWidth="1"/>
    <col min="27" max="27" width="10.375" style="275" bestFit="1" customWidth="1"/>
    <col min="28" max="28" width="4.5" style="275" customWidth="1"/>
    <col min="29" max="29" width="6.125" style="275" customWidth="1"/>
    <col min="30" max="30" width="16" style="275" customWidth="1"/>
    <col min="31" max="31" width="14.625" style="277" customWidth="1"/>
    <col min="32" max="55" width="16" style="77" customWidth="1"/>
    <col min="56" max="16384" width="10.25" style="78"/>
  </cols>
  <sheetData>
    <row r="1" spans="1:62" ht="25.5" customHeight="1">
      <c r="A1" s="279" t="s">
        <v>2339</v>
      </c>
      <c r="Q1" s="393" t="s">
        <v>2340</v>
      </c>
      <c r="R1" s="393"/>
      <c r="S1" s="393"/>
    </row>
    <row r="2" spans="1:62" ht="22.5" customHeight="1" thickBot="1">
      <c r="A2" s="513" t="s">
        <v>2341</v>
      </c>
      <c r="B2" s="514" t="s">
        <v>2346</v>
      </c>
      <c r="C2" s="515" t="s">
        <v>2347</v>
      </c>
      <c r="D2" s="552" t="s">
        <v>768</v>
      </c>
      <c r="E2" s="552" t="s">
        <v>1052</v>
      </c>
      <c r="F2" s="552" t="s">
        <v>758</v>
      </c>
      <c r="G2" s="552" t="s">
        <v>759</v>
      </c>
      <c r="H2" s="552" t="s">
        <v>760</v>
      </c>
      <c r="I2" s="552" t="s">
        <v>761</v>
      </c>
      <c r="J2" s="552" t="s">
        <v>762</v>
      </c>
      <c r="K2" s="552" t="s">
        <v>763</v>
      </c>
      <c r="L2" s="552" t="s">
        <v>764</v>
      </c>
      <c r="M2" s="552" t="s">
        <v>765</v>
      </c>
      <c r="N2" s="552" t="s">
        <v>766</v>
      </c>
      <c r="O2" s="552" t="s">
        <v>767</v>
      </c>
      <c r="P2" s="513" t="s">
        <v>2348</v>
      </c>
      <c r="Q2" s="516" t="s">
        <v>2349</v>
      </c>
      <c r="R2" s="8" t="s">
        <v>770</v>
      </c>
      <c r="S2" s="8" t="s">
        <v>772</v>
      </c>
      <c r="T2" s="513" t="s">
        <v>2342</v>
      </c>
      <c r="U2" s="513" t="s">
        <v>2343</v>
      </c>
      <c r="V2" s="513" t="s">
        <v>2344</v>
      </c>
      <c r="W2" s="513"/>
      <c r="X2" s="551" t="s">
        <v>2345</v>
      </c>
      <c r="Y2" s="552"/>
      <c r="AB2" s="291" t="s">
        <v>2350</v>
      </c>
    </row>
    <row r="3" spans="1:62" ht="22.5" customHeight="1" thickBot="1">
      <c r="A3" s="490" t="s">
        <v>2351</v>
      </c>
      <c r="B3" s="554">
        <v>0.9</v>
      </c>
      <c r="C3" s="555">
        <f>B3+D3+E3+F3+G3+H3+I3+J3+K3+L3+M3+N3+O3</f>
        <v>0.91</v>
      </c>
      <c r="D3" s="525"/>
      <c r="E3" s="525"/>
      <c r="F3" s="525"/>
      <c r="G3" s="525"/>
      <c r="H3" s="525"/>
      <c r="I3" s="16"/>
      <c r="J3" s="811"/>
      <c r="K3" s="525"/>
      <c r="L3" s="525"/>
      <c r="M3" s="525">
        <v>0.01</v>
      </c>
      <c r="N3" s="525"/>
      <c r="O3" s="525"/>
      <c r="P3" s="610"/>
      <c r="Q3" s="490" t="s">
        <v>2356</v>
      </c>
      <c r="R3" s="533" t="s">
        <v>38</v>
      </c>
      <c r="S3" s="533">
        <v>156</v>
      </c>
      <c r="T3" s="553" t="s">
        <v>2352</v>
      </c>
      <c r="U3" s="556" t="s">
        <v>2353</v>
      </c>
      <c r="V3" s="521" t="s">
        <v>2354</v>
      </c>
      <c r="W3" s="522">
        <f>BN3/1000000</f>
        <v>0</v>
      </c>
      <c r="X3" s="523" t="s">
        <v>2355</v>
      </c>
      <c r="Y3" s="524" t="e">
        <f>W3-#REF!+Y4</f>
        <v>#REF!</v>
      </c>
      <c r="Z3" s="299" t="s">
        <v>2357</v>
      </c>
      <c r="AA3" s="79" t="s">
        <v>2358</v>
      </c>
      <c r="AB3" s="260" t="s">
        <v>2359</v>
      </c>
      <c r="AC3" s="80" t="s">
        <v>2354</v>
      </c>
      <c r="AD3" s="81">
        <v>649000000</v>
      </c>
      <c r="AE3" s="82"/>
      <c r="AF3" s="83">
        <f>SUM(AG3:BC3)</f>
        <v>0</v>
      </c>
      <c r="AG3" s="91"/>
      <c r="AH3" s="92"/>
      <c r="AI3" s="92"/>
      <c r="AJ3" s="92"/>
      <c r="AK3" s="92"/>
      <c r="AL3" s="92"/>
      <c r="AM3" s="92"/>
      <c r="AN3" s="92"/>
      <c r="AO3" s="92"/>
      <c r="AP3" s="92"/>
      <c r="AQ3" s="92"/>
      <c r="AR3" s="92"/>
      <c r="AS3" s="92"/>
      <c r="AT3" s="92"/>
      <c r="AU3" s="92"/>
      <c r="AV3" s="92"/>
      <c r="AW3" s="92"/>
      <c r="AX3" s="92"/>
      <c r="AY3" s="92"/>
      <c r="AZ3" s="92"/>
      <c r="BA3" s="92"/>
      <c r="BB3" s="92"/>
      <c r="BC3" s="92"/>
    </row>
    <row r="4" spans="1:62" ht="22.5" customHeight="1" thickBot="1">
      <c r="A4" s="495"/>
      <c r="B4" s="558"/>
      <c r="C4" s="559"/>
      <c r="D4" s="813" t="s">
        <v>2363</v>
      </c>
      <c r="E4" s="560"/>
      <c r="F4" s="560"/>
      <c r="G4" s="560"/>
      <c r="H4" s="560"/>
      <c r="I4" s="246"/>
      <c r="J4" s="821"/>
      <c r="K4" s="560"/>
      <c r="L4" s="560"/>
      <c r="M4" s="560" t="s">
        <v>2364</v>
      </c>
      <c r="N4" s="560" t="s">
        <v>2363</v>
      </c>
      <c r="O4" s="560"/>
      <c r="P4" s="611"/>
      <c r="Q4" s="495"/>
      <c r="R4" s="533"/>
      <c r="S4" s="533"/>
      <c r="T4" s="557"/>
      <c r="U4" s="531" t="s">
        <v>2361</v>
      </c>
      <c r="V4" s="578" t="s">
        <v>2362</v>
      </c>
      <c r="W4" s="579"/>
      <c r="X4" s="532" t="s">
        <v>2360</v>
      </c>
      <c r="Y4" s="529">
        <f>BP4/1000000</f>
        <v>0</v>
      </c>
      <c r="Z4" s="85"/>
      <c r="AA4" s="69"/>
      <c r="AB4" s="261"/>
      <c r="AC4" s="80"/>
      <c r="AD4" s="81"/>
      <c r="AE4" s="82" t="s">
        <v>2365</v>
      </c>
      <c r="AF4" s="83"/>
      <c r="BD4" s="68"/>
      <c r="BE4" s="68"/>
      <c r="BF4" s="68"/>
      <c r="BG4" s="68"/>
      <c r="BH4" s="68"/>
      <c r="BI4" s="68"/>
      <c r="BJ4" s="68"/>
    </row>
    <row r="5" spans="1:62" ht="22.5" customHeight="1" thickBot="1">
      <c r="A5" s="507" t="s">
        <v>2366</v>
      </c>
      <c r="B5" s="554">
        <v>0.99</v>
      </c>
      <c r="C5" s="555">
        <f>B5+D5+E5+F5+G5+H5+I5+J5+K5+L5+M5+N5+O5</f>
        <v>0.99</v>
      </c>
      <c r="D5" s="525"/>
      <c r="E5" s="525"/>
      <c r="F5" s="525"/>
      <c r="G5" s="525"/>
      <c r="H5" s="525"/>
      <c r="I5" s="525"/>
      <c r="J5" s="525"/>
      <c r="K5" s="525"/>
      <c r="L5" s="525"/>
      <c r="M5" s="525"/>
      <c r="N5" s="525"/>
      <c r="O5" s="525"/>
      <c r="P5" s="490"/>
      <c r="Q5" s="490" t="s">
        <v>2371</v>
      </c>
      <c r="R5" s="533" t="s">
        <v>2496</v>
      </c>
      <c r="S5" s="533">
        <v>236</v>
      </c>
      <c r="T5" s="553" t="s">
        <v>2367</v>
      </c>
      <c r="U5" s="520" t="s">
        <v>2368</v>
      </c>
      <c r="V5" s="521" t="s">
        <v>2369</v>
      </c>
      <c r="W5" s="522">
        <f>BN5/1000000</f>
        <v>0</v>
      </c>
      <c r="X5" s="523" t="s">
        <v>2370</v>
      </c>
      <c r="Y5" s="524" t="e">
        <f>W5-#REF!+Y6</f>
        <v>#REF!</v>
      </c>
      <c r="Z5" s="299" t="s">
        <v>2372</v>
      </c>
      <c r="AA5" s="79" t="s">
        <v>2373</v>
      </c>
      <c r="AB5" s="260"/>
      <c r="AC5" s="80" t="s">
        <v>2369</v>
      </c>
      <c r="AD5" s="81">
        <v>98550000</v>
      </c>
      <c r="AE5" s="82"/>
      <c r="AF5" s="83">
        <f>SUM(AG5:BC5)</f>
        <v>0</v>
      </c>
      <c r="AG5" s="91"/>
      <c r="AH5" s="92"/>
      <c r="AI5" s="92"/>
      <c r="AJ5" s="92"/>
      <c r="AK5" s="92"/>
      <c r="AL5" s="92"/>
      <c r="AM5" s="92"/>
      <c r="AN5" s="92"/>
      <c r="AO5" s="92"/>
      <c r="AP5" s="92"/>
      <c r="AQ5" s="92"/>
      <c r="AR5" s="92"/>
      <c r="AS5" s="92"/>
      <c r="AT5" s="92"/>
      <c r="AU5" s="92"/>
      <c r="AV5" s="92"/>
      <c r="AW5" s="92"/>
      <c r="AX5" s="92"/>
      <c r="AY5" s="92"/>
      <c r="AZ5" s="92"/>
      <c r="BA5" s="92"/>
      <c r="BB5" s="92"/>
      <c r="BC5" s="92"/>
    </row>
    <row r="6" spans="1:62" ht="22.5" customHeight="1" thickBot="1">
      <c r="A6" s="508" t="s">
        <v>2497</v>
      </c>
      <c r="B6" s="558"/>
      <c r="C6" s="559"/>
      <c r="D6" s="560" t="s">
        <v>2376</v>
      </c>
      <c r="E6" s="560" t="s">
        <v>2377</v>
      </c>
      <c r="F6" s="560" t="s">
        <v>2378</v>
      </c>
      <c r="G6" s="560" t="s">
        <v>2379</v>
      </c>
      <c r="H6" s="560" t="s">
        <v>2380</v>
      </c>
      <c r="I6" s="560" t="s">
        <v>2380</v>
      </c>
      <c r="J6" s="560" t="s">
        <v>2380</v>
      </c>
      <c r="K6" s="560" t="s">
        <v>2381</v>
      </c>
      <c r="L6" s="560" t="s">
        <v>2381</v>
      </c>
      <c r="M6" s="560" t="s">
        <v>2382</v>
      </c>
      <c r="N6" s="560" t="s">
        <v>2383</v>
      </c>
      <c r="O6" s="560" t="s">
        <v>2376</v>
      </c>
      <c r="P6" s="495"/>
      <c r="Q6" s="495"/>
      <c r="R6" s="533"/>
      <c r="S6" s="533"/>
      <c r="T6" s="557"/>
      <c r="U6" s="531" t="s">
        <v>2375</v>
      </c>
      <c r="V6" s="578" t="s">
        <v>620</v>
      </c>
      <c r="W6" s="579"/>
      <c r="X6" s="532" t="s">
        <v>2374</v>
      </c>
      <c r="Y6" s="529">
        <f>BP6/1000000</f>
        <v>0</v>
      </c>
      <c r="Z6" s="85"/>
      <c r="AA6" s="69"/>
      <c r="AB6" s="261"/>
      <c r="AC6" s="80"/>
      <c r="AD6" s="81"/>
      <c r="AE6" s="82" t="s">
        <v>2384</v>
      </c>
      <c r="AF6" s="83"/>
      <c r="BD6" s="68"/>
      <c r="BE6" s="68"/>
      <c r="BF6" s="68"/>
      <c r="BG6" s="68"/>
      <c r="BH6" s="68"/>
      <c r="BI6" s="68"/>
      <c r="BJ6" s="68"/>
    </row>
    <row r="7" spans="1:62" ht="22.5" customHeight="1" thickBot="1">
      <c r="A7" s="490" t="s">
        <v>2385</v>
      </c>
      <c r="B7" s="554">
        <v>0.25</v>
      </c>
      <c r="C7" s="555">
        <f>B7+D7+E7+F7+G7+H7+I7+J7+K7+L7+M7+N7+O7</f>
        <v>0.25</v>
      </c>
      <c r="D7" s="525"/>
      <c r="E7" s="525"/>
      <c r="F7" s="525"/>
      <c r="G7" s="525"/>
      <c r="H7" s="525"/>
      <c r="I7" s="525"/>
      <c r="J7" s="525"/>
      <c r="K7" s="525"/>
      <c r="L7" s="525"/>
      <c r="M7" s="525"/>
      <c r="N7" s="525"/>
      <c r="O7" s="525"/>
      <c r="P7" s="490"/>
      <c r="Q7" s="490" t="s">
        <v>2388</v>
      </c>
      <c r="R7" s="533" t="s">
        <v>2496</v>
      </c>
      <c r="S7" s="533">
        <v>270</v>
      </c>
      <c r="T7" s="553" t="s">
        <v>2386</v>
      </c>
      <c r="U7" s="520" t="s">
        <v>2387</v>
      </c>
      <c r="V7" s="521" t="s">
        <v>2354</v>
      </c>
      <c r="W7" s="522">
        <f>BN7/1000000</f>
        <v>0</v>
      </c>
      <c r="X7" s="523" t="s">
        <v>2355</v>
      </c>
      <c r="Y7" s="524" t="e">
        <f>W7-#REF!+Y8</f>
        <v>#REF!</v>
      </c>
      <c r="Z7" s="299" t="s">
        <v>2357</v>
      </c>
      <c r="AA7" s="79" t="s">
        <v>2358</v>
      </c>
      <c r="AB7" s="260"/>
      <c r="AC7" s="80" t="s">
        <v>2354</v>
      </c>
      <c r="AD7" s="81">
        <v>430000000</v>
      </c>
      <c r="AE7" s="82"/>
      <c r="AF7" s="83">
        <f>SUM(AG7:BC7)</f>
        <v>0</v>
      </c>
      <c r="AG7" s="91"/>
      <c r="AH7" s="92"/>
      <c r="AI7" s="92"/>
      <c r="AJ7" s="92"/>
      <c r="AK7" s="92"/>
      <c r="AL7" s="92"/>
      <c r="AM7" s="92"/>
      <c r="AN7" s="92"/>
      <c r="AO7" s="92"/>
      <c r="AP7" s="92"/>
      <c r="AQ7" s="92"/>
      <c r="AR7" s="92"/>
      <c r="AS7" s="92"/>
      <c r="AT7" s="92"/>
      <c r="AU7" s="92"/>
      <c r="AV7" s="92"/>
      <c r="AW7" s="92"/>
      <c r="AX7" s="92"/>
      <c r="AY7" s="92"/>
      <c r="AZ7" s="92"/>
      <c r="BA7" s="92"/>
      <c r="BB7" s="92"/>
      <c r="BC7" s="92"/>
    </row>
    <row r="8" spans="1:62" ht="22.5" customHeight="1" thickBot="1">
      <c r="A8" s="495"/>
      <c r="B8" s="558"/>
      <c r="C8" s="559"/>
      <c r="D8" s="813" t="s">
        <v>2383</v>
      </c>
      <c r="E8" s="560"/>
      <c r="F8" s="560"/>
      <c r="G8" s="560"/>
      <c r="H8" s="560"/>
      <c r="I8" s="813"/>
      <c r="J8" s="560"/>
      <c r="K8" s="560"/>
      <c r="L8" s="560"/>
      <c r="M8" s="560"/>
      <c r="N8" s="560"/>
      <c r="O8" s="560"/>
      <c r="P8" s="495"/>
      <c r="Q8" s="495"/>
      <c r="R8" s="533"/>
      <c r="S8" s="533"/>
      <c r="T8" s="557"/>
      <c r="U8" s="531" t="s">
        <v>2375</v>
      </c>
      <c r="V8" s="578" t="s">
        <v>620</v>
      </c>
      <c r="W8" s="579"/>
      <c r="X8" s="532" t="s">
        <v>2374</v>
      </c>
      <c r="Y8" s="529">
        <f>BP8/1000000</f>
        <v>0</v>
      </c>
      <c r="Z8" s="85"/>
      <c r="AA8" s="69"/>
      <c r="AB8" s="261"/>
      <c r="AC8" s="80"/>
      <c r="AD8" s="81"/>
      <c r="AE8" s="82" t="s">
        <v>2384</v>
      </c>
      <c r="AF8" s="83"/>
      <c r="BD8" s="68"/>
      <c r="BE8" s="68"/>
      <c r="BF8" s="68"/>
      <c r="BG8" s="68"/>
      <c r="BH8" s="68"/>
      <c r="BI8" s="68"/>
      <c r="BJ8" s="68"/>
    </row>
    <row r="9" spans="1:62" ht="22.5" customHeight="1" thickBot="1">
      <c r="A9" s="507" t="s">
        <v>2389</v>
      </c>
      <c r="B9" s="554">
        <v>0.93</v>
      </c>
      <c r="C9" s="555">
        <f>B9+D9+E9+F9+G9+H9+I9+J9+K9+L9+M9+N9+O9</f>
        <v>0.95000000000000007</v>
      </c>
      <c r="D9" s="525">
        <v>0.02</v>
      </c>
      <c r="E9" s="525"/>
      <c r="F9" s="525"/>
      <c r="G9" s="525"/>
      <c r="H9" s="525"/>
      <c r="I9" s="525"/>
      <c r="J9" s="525"/>
      <c r="K9" s="525"/>
      <c r="L9" s="525"/>
      <c r="M9" s="525"/>
      <c r="N9" s="525"/>
      <c r="O9" s="525"/>
      <c r="P9" s="490" t="s">
        <v>2392</v>
      </c>
      <c r="Q9" s="490" t="s">
        <v>2356</v>
      </c>
      <c r="R9" s="533" t="s">
        <v>2496</v>
      </c>
      <c r="S9" s="533">
        <v>1</v>
      </c>
      <c r="T9" s="553" t="s">
        <v>2390</v>
      </c>
      <c r="U9" s="520" t="s">
        <v>2391</v>
      </c>
      <c r="V9" s="521" t="s">
        <v>2354</v>
      </c>
      <c r="W9" s="522">
        <f>BN9/1000000</f>
        <v>0</v>
      </c>
      <c r="X9" s="523" t="s">
        <v>2355</v>
      </c>
      <c r="Y9" s="524" t="e">
        <f>W9-#REF!+Y10</f>
        <v>#REF!</v>
      </c>
      <c r="Z9" s="299" t="s">
        <v>2357</v>
      </c>
      <c r="AA9" s="79" t="s">
        <v>2358</v>
      </c>
      <c r="AB9" s="260"/>
      <c r="AC9" s="80" t="s">
        <v>2354</v>
      </c>
      <c r="AD9" s="81">
        <v>106896000</v>
      </c>
      <c r="AE9" s="82"/>
      <c r="AF9" s="83">
        <f>SUM(AG9:BC9)</f>
        <v>0</v>
      </c>
      <c r="AG9" s="91"/>
      <c r="AH9" s="92"/>
      <c r="AI9" s="92"/>
      <c r="AJ9" s="92"/>
      <c r="AK9" s="92"/>
      <c r="AL9" s="92"/>
      <c r="AM9" s="92"/>
      <c r="AN9" s="92"/>
      <c r="AO9" s="92"/>
      <c r="AP9" s="92"/>
      <c r="AQ9" s="92"/>
      <c r="AR9" s="92"/>
      <c r="AS9" s="92"/>
      <c r="AT9" s="92"/>
      <c r="AU9" s="92"/>
      <c r="AV9" s="92"/>
      <c r="AW9" s="92"/>
      <c r="AX9" s="92"/>
      <c r="AY9" s="92"/>
      <c r="AZ9" s="92"/>
      <c r="BA9" s="92"/>
      <c r="BB9" s="92"/>
      <c r="BC9" s="92"/>
    </row>
    <row r="10" spans="1:62" ht="22.5" customHeight="1" thickBot="1">
      <c r="A10" s="508" t="s">
        <v>2497</v>
      </c>
      <c r="B10" s="558"/>
      <c r="C10" s="559"/>
      <c r="D10" s="813" t="s">
        <v>2393</v>
      </c>
      <c r="E10" s="818" t="s">
        <v>2394</v>
      </c>
      <c r="F10" s="818" t="s">
        <v>2383</v>
      </c>
      <c r="G10" s="560" t="s">
        <v>2383</v>
      </c>
      <c r="H10" s="560" t="s">
        <v>2393</v>
      </c>
      <c r="I10" s="560" t="s">
        <v>2393</v>
      </c>
      <c r="J10" s="560" t="s">
        <v>2393</v>
      </c>
      <c r="K10" s="560" t="s">
        <v>2393</v>
      </c>
      <c r="L10" s="560" t="s">
        <v>2395</v>
      </c>
      <c r="M10" s="560" t="s">
        <v>2395</v>
      </c>
      <c r="N10" s="560" t="s">
        <v>2395</v>
      </c>
      <c r="O10" s="560" t="s">
        <v>2395</v>
      </c>
      <c r="P10" s="495"/>
      <c r="Q10" s="495"/>
      <c r="R10" s="533"/>
      <c r="S10" s="533"/>
      <c r="T10" s="557"/>
      <c r="U10" s="531" t="s">
        <v>2375</v>
      </c>
      <c r="V10" s="578" t="s">
        <v>620</v>
      </c>
      <c r="W10" s="579"/>
      <c r="X10" s="532" t="s">
        <v>2374</v>
      </c>
      <c r="Y10" s="529">
        <f>BP10/1000000</f>
        <v>0</v>
      </c>
      <c r="Z10" s="85"/>
      <c r="AA10" s="69"/>
      <c r="AB10" s="261"/>
      <c r="AC10" s="80"/>
      <c r="AD10" s="81"/>
      <c r="AE10" s="82" t="s">
        <v>2384</v>
      </c>
      <c r="AF10" s="83"/>
      <c r="BD10" s="68"/>
      <c r="BE10" s="68"/>
      <c r="BF10" s="68"/>
      <c r="BG10" s="68"/>
      <c r="BH10" s="68"/>
      <c r="BI10" s="68"/>
      <c r="BJ10" s="68"/>
    </row>
    <row r="11" spans="1:62" ht="22.5" customHeight="1" thickBot="1">
      <c r="A11" s="490" t="s">
        <v>2396</v>
      </c>
      <c r="B11" s="554">
        <v>0.4</v>
      </c>
      <c r="C11" s="555">
        <f>B11+D11+E11+F11+G11+H11+I11+J11+K11+L11+M11+N11+O11</f>
        <v>0.4</v>
      </c>
      <c r="D11" s="525"/>
      <c r="E11" s="525"/>
      <c r="F11" s="525"/>
      <c r="G11" s="525"/>
      <c r="H11" s="525"/>
      <c r="I11" s="525"/>
      <c r="J11" s="525"/>
      <c r="K11" s="525"/>
      <c r="L11" s="525"/>
      <c r="M11" s="525"/>
      <c r="N11" s="525"/>
      <c r="O11" s="525"/>
      <c r="P11" s="490" t="s">
        <v>2400</v>
      </c>
      <c r="Q11" s="490" t="s">
        <v>870</v>
      </c>
      <c r="R11" s="533" t="s">
        <v>2496</v>
      </c>
      <c r="S11" s="533">
        <v>276</v>
      </c>
      <c r="T11" s="553" t="s">
        <v>2397</v>
      </c>
      <c r="U11" s="520" t="s">
        <v>2398</v>
      </c>
      <c r="V11" s="521" t="s">
        <v>2399</v>
      </c>
      <c r="W11" s="522">
        <f>BN11/1000000</f>
        <v>0</v>
      </c>
      <c r="X11" s="523" t="s">
        <v>868</v>
      </c>
      <c r="Y11" s="524" t="e">
        <f>W11-#REF!+Y12</f>
        <v>#REF!</v>
      </c>
      <c r="Z11" s="299" t="s">
        <v>871</v>
      </c>
      <c r="AA11" s="79" t="s">
        <v>872</v>
      </c>
      <c r="AB11" s="260"/>
      <c r="AC11" s="80" t="s">
        <v>2399</v>
      </c>
      <c r="AD11" s="81">
        <v>4000000</v>
      </c>
      <c r="AE11" s="82"/>
      <c r="AF11" s="83">
        <f>SUM(AG11:BC11)</f>
        <v>0</v>
      </c>
      <c r="AG11" s="91"/>
      <c r="AH11" s="92"/>
      <c r="AI11" s="92"/>
      <c r="AJ11" s="92"/>
      <c r="AK11" s="92"/>
      <c r="AL11" s="92"/>
      <c r="AM11" s="92"/>
      <c r="AN11" s="92"/>
      <c r="AO11" s="92"/>
      <c r="AP11" s="92"/>
      <c r="AQ11" s="92"/>
      <c r="AR11" s="92"/>
      <c r="AS11" s="92"/>
      <c r="AT11" s="92"/>
      <c r="AU11" s="92"/>
      <c r="AV11" s="92"/>
      <c r="AW11" s="92"/>
      <c r="AX11" s="92"/>
      <c r="AY11" s="92"/>
      <c r="AZ11" s="92"/>
      <c r="BA11" s="92"/>
      <c r="BB11" s="92"/>
      <c r="BC11" s="92"/>
    </row>
    <row r="12" spans="1:62" ht="22.5" customHeight="1" thickBot="1">
      <c r="A12" s="495"/>
      <c r="B12" s="558"/>
      <c r="C12" s="559"/>
      <c r="D12" s="813"/>
      <c r="E12" s="818"/>
      <c r="F12" s="560"/>
      <c r="G12" s="560"/>
      <c r="H12" s="560"/>
      <c r="I12" s="560"/>
      <c r="J12" s="560"/>
      <c r="K12" s="560"/>
      <c r="L12" s="560"/>
      <c r="M12" s="560"/>
      <c r="N12" s="560"/>
      <c r="O12" s="560"/>
      <c r="P12" s="495"/>
      <c r="Q12" s="495"/>
      <c r="R12" s="533"/>
      <c r="S12" s="533"/>
      <c r="T12" s="557"/>
      <c r="U12" s="531" t="s">
        <v>854</v>
      </c>
      <c r="V12" s="578" t="s">
        <v>2402</v>
      </c>
      <c r="W12" s="579"/>
      <c r="X12" s="532" t="s">
        <v>2401</v>
      </c>
      <c r="Y12" s="529">
        <f>BP12/1000000</f>
        <v>0</v>
      </c>
      <c r="Z12" s="85"/>
      <c r="AA12" s="69"/>
      <c r="AB12" s="261"/>
      <c r="AC12" s="80"/>
      <c r="AD12" s="81"/>
      <c r="AE12" s="82" t="s">
        <v>863</v>
      </c>
      <c r="AF12" s="83"/>
      <c r="BD12" s="68"/>
      <c r="BE12" s="68"/>
      <c r="BF12" s="68"/>
      <c r="BG12" s="68"/>
      <c r="BH12" s="68"/>
      <c r="BI12" s="68"/>
      <c r="BJ12" s="68"/>
    </row>
    <row r="13" spans="1:62" ht="22.5" customHeight="1" thickBot="1">
      <c r="A13" s="490" t="s">
        <v>2403</v>
      </c>
      <c r="B13" s="554">
        <v>0.96</v>
      </c>
      <c r="C13" s="555">
        <f>B13+D13+E13+F13+G13+H13+I13+J13+K13+L13+M13+N13+O13</f>
        <v>0.98</v>
      </c>
      <c r="D13" s="525"/>
      <c r="E13" s="525"/>
      <c r="F13" s="525">
        <v>0.02</v>
      </c>
      <c r="G13" s="525"/>
      <c r="H13" s="525"/>
      <c r="I13" s="525"/>
      <c r="J13" s="525"/>
      <c r="K13" s="525"/>
      <c r="L13" s="525"/>
      <c r="M13" s="525"/>
      <c r="N13" s="525"/>
      <c r="O13" s="525"/>
      <c r="P13" s="490"/>
      <c r="Q13" s="490" t="s">
        <v>2406</v>
      </c>
      <c r="R13" s="533" t="s">
        <v>2496</v>
      </c>
      <c r="S13" s="533">
        <v>286</v>
      </c>
      <c r="T13" s="553" t="s">
        <v>2404</v>
      </c>
      <c r="U13" s="520" t="s">
        <v>2405</v>
      </c>
      <c r="V13" s="521" t="s">
        <v>2399</v>
      </c>
      <c r="W13" s="522">
        <f>BN13/1000000</f>
        <v>0</v>
      </c>
      <c r="X13" s="523" t="s">
        <v>868</v>
      </c>
      <c r="Y13" s="524" t="e">
        <f>W13-#REF!+Y14</f>
        <v>#REF!</v>
      </c>
      <c r="Z13" s="299" t="s">
        <v>871</v>
      </c>
      <c r="AA13" s="79" t="s">
        <v>872</v>
      </c>
      <c r="AB13" s="260"/>
      <c r="AC13" s="80" t="s">
        <v>2399</v>
      </c>
      <c r="AD13" s="81">
        <v>26000000</v>
      </c>
      <c r="AE13" s="82"/>
      <c r="AF13" s="83">
        <f>SUM(AG13:BC13)</f>
        <v>0</v>
      </c>
      <c r="AG13" s="91"/>
      <c r="AH13" s="92"/>
      <c r="AI13" s="92"/>
      <c r="AJ13" s="92"/>
      <c r="AK13" s="92"/>
      <c r="AL13" s="92"/>
      <c r="AM13" s="92"/>
      <c r="AN13" s="92"/>
      <c r="AO13" s="92"/>
      <c r="AP13" s="92"/>
      <c r="AQ13" s="92"/>
      <c r="AR13" s="92"/>
      <c r="AS13" s="92"/>
      <c r="AT13" s="92"/>
      <c r="AU13" s="92"/>
      <c r="AV13" s="92"/>
      <c r="AW13" s="92"/>
      <c r="AX13" s="92"/>
      <c r="AY13" s="92"/>
      <c r="AZ13" s="92"/>
      <c r="BA13" s="92"/>
      <c r="BB13" s="92"/>
      <c r="BC13" s="92"/>
    </row>
    <row r="14" spans="1:62" ht="22.5" customHeight="1" thickBot="1">
      <c r="A14" s="495"/>
      <c r="B14" s="558"/>
      <c r="C14" s="559"/>
      <c r="D14" s="560" t="s">
        <v>2407</v>
      </c>
      <c r="E14" s="780" t="s">
        <v>2408</v>
      </c>
      <c r="F14" s="560" t="s">
        <v>2409</v>
      </c>
      <c r="G14" s="560" t="s">
        <v>2407</v>
      </c>
      <c r="H14" s="560" t="s">
        <v>2407</v>
      </c>
      <c r="I14" s="560" t="s">
        <v>2410</v>
      </c>
      <c r="J14" s="780" t="s">
        <v>2407</v>
      </c>
      <c r="K14" s="780" t="s">
        <v>2407</v>
      </c>
      <c r="L14" s="560" t="s">
        <v>2411</v>
      </c>
      <c r="M14" s="560" t="s">
        <v>2412</v>
      </c>
      <c r="N14" s="560" t="s">
        <v>2412</v>
      </c>
      <c r="O14" s="560" t="s">
        <v>2413</v>
      </c>
      <c r="P14" s="495"/>
      <c r="Q14" s="495"/>
      <c r="R14" s="533"/>
      <c r="S14" s="533"/>
      <c r="T14" s="557"/>
      <c r="U14" s="531" t="s">
        <v>854</v>
      </c>
      <c r="V14" s="578" t="s">
        <v>2402</v>
      </c>
      <c r="W14" s="579"/>
      <c r="X14" s="532" t="s">
        <v>2401</v>
      </c>
      <c r="Y14" s="529">
        <f>BP14/1000000</f>
        <v>0</v>
      </c>
      <c r="Z14" s="85"/>
      <c r="AA14" s="69"/>
      <c r="AB14" s="261"/>
      <c r="AC14" s="80"/>
      <c r="AD14" s="81"/>
      <c r="AE14" s="82" t="s">
        <v>863</v>
      </c>
      <c r="AF14" s="83"/>
      <c r="BD14" s="68"/>
      <c r="BE14" s="68"/>
      <c r="BF14" s="68"/>
      <c r="BG14" s="68"/>
      <c r="BH14" s="68"/>
      <c r="BI14" s="68"/>
      <c r="BJ14" s="68"/>
    </row>
    <row r="15" spans="1:62" ht="22.5" customHeight="1" thickBot="1">
      <c r="A15" s="490" t="s">
        <v>2414</v>
      </c>
      <c r="B15" s="554">
        <v>0.71</v>
      </c>
      <c r="C15" s="555">
        <f>B15+D15+E15+F15+G15+H15+I15+J15+K15+L15+M15+N15+O15</f>
        <v>0.97000000000000008</v>
      </c>
      <c r="D15" s="525"/>
      <c r="E15" s="525"/>
      <c r="F15" s="525"/>
      <c r="G15" s="525">
        <v>0.09</v>
      </c>
      <c r="H15" s="525">
        <v>0.05</v>
      </c>
      <c r="I15" s="525">
        <v>0.02</v>
      </c>
      <c r="J15" s="525">
        <v>0.03</v>
      </c>
      <c r="K15" s="525">
        <v>0.02</v>
      </c>
      <c r="L15" s="525">
        <v>0.03</v>
      </c>
      <c r="M15" s="525">
        <v>0.02</v>
      </c>
      <c r="N15" s="525"/>
      <c r="O15" s="525"/>
      <c r="P15" s="490"/>
      <c r="Q15" s="490" t="s">
        <v>2417</v>
      </c>
      <c r="R15" s="533" t="s">
        <v>2496</v>
      </c>
      <c r="S15" s="533">
        <v>359</v>
      </c>
      <c r="T15" s="553" t="s">
        <v>2415</v>
      </c>
      <c r="U15" s="537" t="s">
        <v>2416</v>
      </c>
      <c r="V15" s="521" t="s">
        <v>2399</v>
      </c>
      <c r="W15" s="522">
        <f>BN15/1000000</f>
        <v>0</v>
      </c>
      <c r="X15" s="523" t="s">
        <v>868</v>
      </c>
      <c r="Y15" s="524" t="e">
        <f>W15-#REF!+Y16</f>
        <v>#REF!</v>
      </c>
      <c r="Z15" s="299" t="s">
        <v>871</v>
      </c>
      <c r="AA15" s="79" t="s">
        <v>872</v>
      </c>
      <c r="AB15" s="260"/>
      <c r="AC15" s="80" t="s">
        <v>2399</v>
      </c>
      <c r="AD15" s="81">
        <v>15000000</v>
      </c>
      <c r="AE15" s="82"/>
      <c r="AF15" s="83">
        <f>SUM(AG15:BC15)</f>
        <v>0</v>
      </c>
      <c r="AG15" s="91"/>
      <c r="AH15" s="92"/>
      <c r="AI15" s="92"/>
      <c r="AJ15" s="92"/>
      <c r="AK15" s="92"/>
      <c r="AL15" s="92"/>
      <c r="AM15" s="92"/>
      <c r="AN15" s="92"/>
      <c r="AO15" s="92"/>
      <c r="AP15" s="92"/>
      <c r="AQ15" s="92"/>
      <c r="AR15" s="92"/>
      <c r="AS15" s="92"/>
      <c r="AT15" s="92"/>
      <c r="AU15" s="92"/>
      <c r="AV15" s="92"/>
      <c r="AW15" s="92"/>
      <c r="AX15" s="92"/>
      <c r="AY15" s="92"/>
      <c r="AZ15" s="92"/>
      <c r="BA15" s="92"/>
      <c r="BB15" s="92"/>
      <c r="BC15" s="92"/>
    </row>
    <row r="16" spans="1:62" ht="22.5" customHeight="1" thickBot="1">
      <c r="A16" s="495"/>
      <c r="B16" s="558"/>
      <c r="C16" s="559"/>
      <c r="D16" s="560" t="s">
        <v>2418</v>
      </c>
      <c r="E16" s="560" t="s">
        <v>2407</v>
      </c>
      <c r="F16" s="560"/>
      <c r="G16" s="560" t="s">
        <v>2418</v>
      </c>
      <c r="H16" s="560" t="s">
        <v>2418</v>
      </c>
      <c r="I16" s="560" t="s">
        <v>2418</v>
      </c>
      <c r="J16" s="560" t="s">
        <v>2418</v>
      </c>
      <c r="K16" s="560" t="s">
        <v>2419</v>
      </c>
      <c r="L16" s="813" t="s">
        <v>2420</v>
      </c>
      <c r="M16" s="560" t="s">
        <v>2418</v>
      </c>
      <c r="N16" s="560" t="s">
        <v>2418</v>
      </c>
      <c r="O16" s="560" t="s">
        <v>2418</v>
      </c>
      <c r="P16" s="495"/>
      <c r="Q16" s="495"/>
      <c r="R16" s="533"/>
      <c r="S16" s="533"/>
      <c r="T16" s="557"/>
      <c r="U16" s="531" t="s">
        <v>854</v>
      </c>
      <c r="V16" s="578" t="s">
        <v>2402</v>
      </c>
      <c r="W16" s="579"/>
      <c r="X16" s="532" t="s">
        <v>2401</v>
      </c>
      <c r="Y16" s="529">
        <f>BP16/1000000</f>
        <v>0</v>
      </c>
      <c r="Z16" s="85"/>
      <c r="AA16" s="69"/>
      <c r="AB16" s="261"/>
      <c r="AC16" s="80"/>
      <c r="AD16" s="81"/>
      <c r="AE16" s="82" t="s">
        <v>863</v>
      </c>
      <c r="AF16" s="83"/>
      <c r="BD16" s="68"/>
      <c r="BE16" s="68"/>
      <c r="BF16" s="68"/>
      <c r="BG16" s="68"/>
      <c r="BH16" s="68"/>
      <c r="BI16" s="68"/>
      <c r="BJ16" s="68"/>
    </row>
    <row r="17" spans="1:62" ht="22.5" customHeight="1" thickBot="1">
      <c r="A17" s="490" t="s">
        <v>2421</v>
      </c>
      <c r="B17" s="554">
        <v>0.96</v>
      </c>
      <c r="C17" s="555">
        <f>B17+D17+E17+F17+G17+H17+I17+J17+K17+L17+M17+N17+O17</f>
        <v>0.98</v>
      </c>
      <c r="D17" s="525"/>
      <c r="E17" s="525"/>
      <c r="F17" s="525"/>
      <c r="G17" s="525"/>
      <c r="H17" s="525"/>
      <c r="I17" s="525">
        <v>0.02</v>
      </c>
      <c r="J17" s="525"/>
      <c r="K17" s="525"/>
      <c r="L17" s="525"/>
      <c r="M17" s="525"/>
      <c r="N17" s="525"/>
      <c r="O17" s="525"/>
      <c r="P17" s="490"/>
      <c r="Q17" s="490" t="s">
        <v>2424</v>
      </c>
      <c r="R17" s="533" t="s">
        <v>2496</v>
      </c>
      <c r="S17" s="533">
        <v>317</v>
      </c>
      <c r="T17" s="553" t="s">
        <v>2422</v>
      </c>
      <c r="U17" s="537" t="s">
        <v>2423</v>
      </c>
      <c r="V17" s="521" t="s">
        <v>2399</v>
      </c>
      <c r="W17" s="522">
        <f>BN17/1000000</f>
        <v>0</v>
      </c>
      <c r="X17" s="523" t="s">
        <v>868</v>
      </c>
      <c r="Y17" s="524" t="e">
        <f>W17-#REF!+Y18</f>
        <v>#REF!</v>
      </c>
      <c r="Z17" s="299" t="s">
        <v>871</v>
      </c>
      <c r="AA17" s="79" t="s">
        <v>872</v>
      </c>
      <c r="AB17" s="260"/>
      <c r="AC17" s="80" t="s">
        <v>2399</v>
      </c>
      <c r="AD17" s="81">
        <v>20000000</v>
      </c>
      <c r="AE17" s="82"/>
      <c r="AF17" s="83">
        <f>SUM(AG17:BC17)</f>
        <v>0</v>
      </c>
      <c r="AG17" s="91"/>
      <c r="AH17" s="92"/>
      <c r="AI17" s="92"/>
      <c r="AJ17" s="92"/>
      <c r="AK17" s="92"/>
      <c r="AL17" s="92"/>
      <c r="AM17" s="92"/>
      <c r="AN17" s="92"/>
      <c r="AO17" s="92"/>
      <c r="AP17" s="92"/>
      <c r="AQ17" s="92"/>
      <c r="AR17" s="92"/>
      <c r="AS17" s="92"/>
      <c r="AT17" s="92"/>
      <c r="AU17" s="92"/>
      <c r="AV17" s="92"/>
      <c r="AW17" s="92"/>
      <c r="AX17" s="92"/>
      <c r="AY17" s="92"/>
      <c r="AZ17" s="92"/>
      <c r="BA17" s="92"/>
      <c r="BB17" s="92"/>
      <c r="BC17" s="92"/>
    </row>
    <row r="18" spans="1:62" ht="22.5" customHeight="1" thickBot="1">
      <c r="A18" s="495"/>
      <c r="B18" s="558"/>
      <c r="C18" s="559"/>
      <c r="D18" s="813" t="s">
        <v>2407</v>
      </c>
      <c r="E18" s="813" t="s">
        <v>2407</v>
      </c>
      <c r="F18" s="560"/>
      <c r="G18" s="560"/>
      <c r="H18" s="813" t="s">
        <v>2425</v>
      </c>
      <c r="I18" s="560" t="s">
        <v>2426</v>
      </c>
      <c r="J18" s="560" t="s">
        <v>2407</v>
      </c>
      <c r="K18" s="813" t="s">
        <v>2407</v>
      </c>
      <c r="L18" s="813" t="s">
        <v>2407</v>
      </c>
      <c r="M18" s="560" t="s">
        <v>2427</v>
      </c>
      <c r="N18" s="560" t="s">
        <v>2428</v>
      </c>
      <c r="O18" s="560" t="s">
        <v>2429</v>
      </c>
      <c r="P18" s="495"/>
      <c r="Q18" s="495"/>
      <c r="R18" s="533"/>
      <c r="S18" s="533"/>
      <c r="T18" s="557"/>
      <c r="U18" s="531" t="s">
        <v>854</v>
      </c>
      <c r="V18" s="578" t="s">
        <v>2402</v>
      </c>
      <c r="W18" s="579"/>
      <c r="X18" s="532" t="s">
        <v>2401</v>
      </c>
      <c r="Y18" s="529">
        <f>BP18/1000000</f>
        <v>0</v>
      </c>
      <c r="Z18" s="85"/>
      <c r="AA18" s="69"/>
      <c r="AB18" s="261"/>
      <c r="AC18" s="80"/>
      <c r="AD18" s="81"/>
      <c r="AE18" s="82" t="s">
        <v>863</v>
      </c>
      <c r="AF18" s="83"/>
      <c r="BD18" s="68"/>
      <c r="BE18" s="68"/>
      <c r="BF18" s="68"/>
      <c r="BG18" s="68"/>
      <c r="BH18" s="68"/>
      <c r="BI18" s="68"/>
      <c r="BJ18" s="68"/>
    </row>
    <row r="19" spans="1:62" ht="22.5" customHeight="1" thickBot="1">
      <c r="A19" s="490" t="s">
        <v>2430</v>
      </c>
      <c r="B19" s="554">
        <v>0</v>
      </c>
      <c r="C19" s="555">
        <f>B19+D19+E19+F19+G19+H19+I19+J19+K19+L19+M19+N19+O19</f>
        <v>0.3</v>
      </c>
      <c r="D19" s="525"/>
      <c r="E19" s="525"/>
      <c r="F19" s="525"/>
      <c r="G19" s="525"/>
      <c r="H19" s="525"/>
      <c r="I19" s="525"/>
      <c r="J19" s="525">
        <v>0.2</v>
      </c>
      <c r="K19" s="525">
        <v>0.05</v>
      </c>
      <c r="L19" s="525"/>
      <c r="M19" s="525">
        <v>0.05</v>
      </c>
      <c r="N19" s="525"/>
      <c r="O19" s="525"/>
      <c r="P19" s="490"/>
      <c r="Q19" s="490" t="s">
        <v>870</v>
      </c>
      <c r="R19" s="533" t="s">
        <v>2496</v>
      </c>
      <c r="S19" s="533">
        <v>327</v>
      </c>
      <c r="T19" s="700" t="s">
        <v>2431</v>
      </c>
      <c r="U19" s="292" t="s">
        <v>2432</v>
      </c>
      <c r="V19" s="521" t="s">
        <v>2399</v>
      </c>
      <c r="W19" s="522">
        <f>BN19/1000000</f>
        <v>0</v>
      </c>
      <c r="X19" s="523" t="s">
        <v>868</v>
      </c>
      <c r="Y19" s="524" t="e">
        <f>W19-#REF!+Y20</f>
        <v>#REF!</v>
      </c>
      <c r="Z19" s="299" t="s">
        <v>871</v>
      </c>
      <c r="AA19" s="79" t="s">
        <v>872</v>
      </c>
      <c r="AB19" s="797"/>
      <c r="AC19" s="80" t="s">
        <v>2399</v>
      </c>
      <c r="AD19" s="81">
        <v>12048969</v>
      </c>
      <c r="AE19" s="82"/>
      <c r="AF19" s="83">
        <f>SUM(AG19:BC19)</f>
        <v>0</v>
      </c>
      <c r="AG19" s="91"/>
      <c r="AH19" s="92"/>
      <c r="AI19" s="92"/>
      <c r="AJ19" s="92"/>
      <c r="AK19" s="92"/>
      <c r="AL19" s="92"/>
      <c r="AM19" s="92"/>
      <c r="AN19" s="92"/>
      <c r="AO19" s="92"/>
      <c r="AP19" s="92"/>
      <c r="AQ19" s="92"/>
      <c r="AR19" s="92"/>
      <c r="AS19" s="92"/>
      <c r="AT19" s="92"/>
      <c r="AU19" s="92"/>
      <c r="AV19" s="92"/>
      <c r="AW19" s="92"/>
      <c r="AX19" s="92"/>
      <c r="AY19" s="92"/>
      <c r="AZ19" s="92"/>
      <c r="BA19" s="92"/>
      <c r="BB19" s="92"/>
      <c r="BC19" s="92"/>
    </row>
    <row r="20" spans="1:62" ht="22.5" customHeight="1" thickBot="1">
      <c r="A20" s="495"/>
      <c r="B20" s="558"/>
      <c r="C20" s="559"/>
      <c r="D20" s="813" t="s">
        <v>2407</v>
      </c>
      <c r="E20" s="813" t="s">
        <v>2407</v>
      </c>
      <c r="F20" s="780"/>
      <c r="G20" s="780"/>
      <c r="H20" s="780"/>
      <c r="I20" s="780"/>
      <c r="J20" s="780" t="s">
        <v>2433</v>
      </c>
      <c r="K20" s="780" t="s">
        <v>2433</v>
      </c>
      <c r="L20" s="780" t="s">
        <v>2407</v>
      </c>
      <c r="M20" s="780" t="s">
        <v>2434</v>
      </c>
      <c r="N20" s="780" t="s">
        <v>2407</v>
      </c>
      <c r="O20" s="780" t="s">
        <v>2407</v>
      </c>
      <c r="P20" s="495"/>
      <c r="Q20" s="495"/>
      <c r="R20" s="533"/>
      <c r="S20" s="533"/>
      <c r="T20" s="784"/>
      <c r="U20" s="531" t="s">
        <v>854</v>
      </c>
      <c r="V20" s="578" t="s">
        <v>2402</v>
      </c>
      <c r="W20" s="579"/>
      <c r="X20" s="532" t="s">
        <v>2401</v>
      </c>
      <c r="Y20" s="529">
        <f>BP20/1000000</f>
        <v>0</v>
      </c>
      <c r="Z20" s="85"/>
      <c r="AA20" s="69"/>
      <c r="AB20" s="798"/>
      <c r="AC20" s="80"/>
      <c r="AD20" s="81"/>
      <c r="AE20" s="82" t="s">
        <v>863</v>
      </c>
      <c r="AF20" s="83"/>
      <c r="BD20" s="68"/>
      <c r="BE20" s="68"/>
      <c r="BF20" s="68"/>
      <c r="BG20" s="68"/>
      <c r="BH20" s="68"/>
      <c r="BI20" s="68"/>
      <c r="BJ20" s="68"/>
    </row>
    <row r="21" spans="1:62" ht="22.5" customHeight="1" thickBot="1">
      <c r="A21" s="490" t="s">
        <v>2435</v>
      </c>
      <c r="B21" s="554">
        <v>0</v>
      </c>
      <c r="C21" s="555">
        <f>B21+D21+E21+F21+G21+H21+I21+J21+K21+L21+M21+N21+O21</f>
        <v>0.34</v>
      </c>
      <c r="D21" s="525"/>
      <c r="E21" s="525">
        <v>0.02</v>
      </c>
      <c r="F21" s="525">
        <v>0.02</v>
      </c>
      <c r="G21" s="525">
        <v>0.06</v>
      </c>
      <c r="H21" s="525">
        <v>0.05</v>
      </c>
      <c r="I21" s="525">
        <v>0.05</v>
      </c>
      <c r="J21" s="525">
        <v>0.03</v>
      </c>
      <c r="K21" s="525">
        <v>0.02</v>
      </c>
      <c r="L21" s="525">
        <v>0.02</v>
      </c>
      <c r="M21" s="525">
        <v>0.02</v>
      </c>
      <c r="N21" s="525">
        <v>0.05</v>
      </c>
      <c r="O21" s="525"/>
      <c r="P21" s="490"/>
      <c r="Q21" s="490" t="s">
        <v>2406</v>
      </c>
      <c r="R21" s="533" t="s">
        <v>2496</v>
      </c>
      <c r="S21" s="533">
        <v>335</v>
      </c>
      <c r="T21" s="700" t="s">
        <v>2436</v>
      </c>
      <c r="U21" s="292" t="s">
        <v>2432</v>
      </c>
      <c r="V21" s="521" t="s">
        <v>2399</v>
      </c>
      <c r="W21" s="522">
        <f>BN21/1000000</f>
        <v>0</v>
      </c>
      <c r="X21" s="523" t="s">
        <v>868</v>
      </c>
      <c r="Y21" s="524" t="e">
        <f>W21-#REF!+Y22</f>
        <v>#REF!</v>
      </c>
      <c r="Z21" s="299" t="s">
        <v>871</v>
      </c>
      <c r="AA21" s="79" t="s">
        <v>872</v>
      </c>
      <c r="AB21" s="797"/>
      <c r="AC21" s="80" t="s">
        <v>2399</v>
      </c>
      <c r="AD21" s="81">
        <v>27412542</v>
      </c>
      <c r="AE21" s="82"/>
      <c r="AF21" s="83">
        <f>SUM(AG21:BC21)</f>
        <v>0</v>
      </c>
      <c r="AG21" s="91"/>
      <c r="AH21" s="92"/>
      <c r="AI21" s="92"/>
      <c r="AJ21" s="92"/>
      <c r="AK21" s="92"/>
      <c r="AL21" s="92"/>
      <c r="AM21" s="92"/>
      <c r="AN21" s="92"/>
      <c r="AO21" s="92"/>
      <c r="AP21" s="92"/>
      <c r="AQ21" s="92"/>
      <c r="AR21" s="92"/>
      <c r="AS21" s="92"/>
      <c r="AT21" s="92"/>
      <c r="AU21" s="92"/>
      <c r="AV21" s="92"/>
      <c r="AW21" s="92"/>
      <c r="AX21" s="92"/>
      <c r="AY21" s="92"/>
      <c r="AZ21" s="92"/>
      <c r="BA21" s="92"/>
      <c r="BB21" s="92"/>
      <c r="BC21" s="92"/>
    </row>
    <row r="22" spans="1:62" ht="22.5" customHeight="1" thickBot="1">
      <c r="A22" s="495"/>
      <c r="B22" s="558"/>
      <c r="C22" s="559"/>
      <c r="D22" s="813" t="s">
        <v>2407</v>
      </c>
      <c r="E22" s="818" t="s">
        <v>2437</v>
      </c>
      <c r="F22" s="818" t="s">
        <v>2438</v>
      </c>
      <c r="G22" s="780" t="s">
        <v>2439</v>
      </c>
      <c r="H22" s="818" t="s">
        <v>2440</v>
      </c>
      <c r="I22" s="818" t="s">
        <v>2440</v>
      </c>
      <c r="J22" s="780"/>
      <c r="K22" s="780"/>
      <c r="L22" s="780"/>
      <c r="M22" s="780" t="s">
        <v>2441</v>
      </c>
      <c r="N22" s="780" t="s">
        <v>2441</v>
      </c>
      <c r="O22" s="780" t="s">
        <v>2407</v>
      </c>
      <c r="P22" s="495"/>
      <c r="Q22" s="495"/>
      <c r="R22" s="533"/>
      <c r="S22" s="533"/>
      <c r="T22" s="784"/>
      <c r="U22" s="531" t="s">
        <v>854</v>
      </c>
      <c r="V22" s="578" t="s">
        <v>2402</v>
      </c>
      <c r="W22" s="579"/>
      <c r="X22" s="532" t="s">
        <v>2401</v>
      </c>
      <c r="Y22" s="529">
        <f>BP22/1000000</f>
        <v>0</v>
      </c>
      <c r="Z22" s="85"/>
      <c r="AA22" s="69"/>
      <c r="AB22" s="798"/>
      <c r="AC22" s="80"/>
      <c r="AD22" s="81"/>
      <c r="AE22" s="82" t="s">
        <v>863</v>
      </c>
      <c r="AF22" s="83"/>
      <c r="BD22" s="68"/>
      <c r="BE22" s="68"/>
      <c r="BF22" s="68"/>
      <c r="BG22" s="68"/>
      <c r="BH22" s="68"/>
      <c r="BI22" s="68"/>
      <c r="BJ22" s="68"/>
    </row>
    <row r="23" spans="1:62" ht="22.5" customHeight="1" thickBot="1">
      <c r="A23" s="490" t="s">
        <v>2442</v>
      </c>
      <c r="B23" s="554">
        <v>0</v>
      </c>
      <c r="C23" s="555">
        <f>B23+D23+E23+F23+G23+H23+I23+J23+K23+L23+M23+N23+O23</f>
        <v>0</v>
      </c>
      <c r="D23" s="525"/>
      <c r="E23" s="525"/>
      <c r="F23" s="525"/>
      <c r="G23" s="525"/>
      <c r="H23" s="525"/>
      <c r="I23" s="525"/>
      <c r="J23" s="525"/>
      <c r="K23" s="525"/>
      <c r="L23" s="525"/>
      <c r="M23" s="525"/>
      <c r="N23" s="525"/>
      <c r="O23" s="525"/>
      <c r="P23" s="490"/>
      <c r="Q23" s="490" t="s">
        <v>2445</v>
      </c>
      <c r="R23" s="533"/>
      <c r="S23" s="533"/>
      <c r="T23" s="700" t="s">
        <v>2443</v>
      </c>
      <c r="U23" s="292" t="s">
        <v>2444</v>
      </c>
      <c r="V23" s="521" t="s">
        <v>2399</v>
      </c>
      <c r="W23" s="522">
        <f>BN23/1000000</f>
        <v>0</v>
      </c>
      <c r="X23" s="523" t="s">
        <v>868</v>
      </c>
      <c r="Y23" s="524" t="e">
        <f>W23-#REF!+Y24</f>
        <v>#REF!</v>
      </c>
      <c r="Z23" s="299" t="s">
        <v>871</v>
      </c>
      <c r="AA23" s="79" t="s">
        <v>872</v>
      </c>
      <c r="AB23" s="797"/>
      <c r="AC23" s="80" t="s">
        <v>2399</v>
      </c>
      <c r="AD23" s="81">
        <v>237140000</v>
      </c>
      <c r="AE23" s="82"/>
      <c r="AF23" s="83">
        <f>SUM(AG23:BC23)</f>
        <v>0</v>
      </c>
      <c r="AG23" s="91"/>
      <c r="AH23" s="92"/>
      <c r="AI23" s="92"/>
      <c r="AJ23" s="92"/>
      <c r="AK23" s="92"/>
      <c r="AL23" s="92"/>
      <c r="AM23" s="92"/>
      <c r="AN23" s="92"/>
      <c r="AO23" s="92"/>
      <c r="AP23" s="92"/>
      <c r="AQ23" s="92"/>
      <c r="AR23" s="92"/>
      <c r="AS23" s="92"/>
      <c r="AT23" s="92"/>
      <c r="AU23" s="92"/>
      <c r="AV23" s="92"/>
      <c r="AW23" s="92"/>
      <c r="AX23" s="92"/>
      <c r="AY23" s="92"/>
      <c r="AZ23" s="92"/>
      <c r="BA23" s="92"/>
      <c r="BB23" s="92"/>
      <c r="BC23" s="92"/>
    </row>
    <row r="24" spans="1:62" ht="22.5" customHeight="1" thickBot="1">
      <c r="A24" s="495"/>
      <c r="B24" s="558"/>
      <c r="C24" s="559"/>
      <c r="D24" s="813" t="s">
        <v>2407</v>
      </c>
      <c r="E24" s="818" t="s">
        <v>2407</v>
      </c>
      <c r="F24" s="780" t="s">
        <v>2407</v>
      </c>
      <c r="G24" s="780"/>
      <c r="H24" s="780"/>
      <c r="I24" s="780"/>
      <c r="J24" s="780"/>
      <c r="K24" s="780"/>
      <c r="L24" s="780" t="s">
        <v>2407</v>
      </c>
      <c r="M24" s="780" t="s">
        <v>2407</v>
      </c>
      <c r="N24" s="780" t="s">
        <v>2407</v>
      </c>
      <c r="O24" s="780" t="s">
        <v>2407</v>
      </c>
      <c r="P24" s="495"/>
      <c r="Q24" s="495"/>
      <c r="R24" s="533"/>
      <c r="S24" s="533"/>
      <c r="T24" s="784"/>
      <c r="U24" s="531" t="s">
        <v>854</v>
      </c>
      <c r="V24" s="578" t="s">
        <v>2402</v>
      </c>
      <c r="W24" s="579"/>
      <c r="X24" s="532" t="s">
        <v>2401</v>
      </c>
      <c r="Y24" s="529">
        <f>BP24/1000000</f>
        <v>0</v>
      </c>
      <c r="Z24" s="85"/>
      <c r="AA24" s="69"/>
      <c r="AB24" s="798"/>
      <c r="AC24" s="80"/>
      <c r="AD24" s="81"/>
      <c r="AE24" s="82" t="s">
        <v>863</v>
      </c>
      <c r="AF24" s="83"/>
      <c r="BD24" s="68"/>
      <c r="BE24" s="68"/>
      <c r="BF24" s="68"/>
      <c r="BG24" s="68"/>
      <c r="BH24" s="68"/>
      <c r="BI24" s="68"/>
      <c r="BJ24" s="68"/>
    </row>
    <row r="25" spans="1:62" ht="22.5" customHeight="1" thickBot="1">
      <c r="A25" s="507" t="s">
        <v>1635</v>
      </c>
      <c r="B25" s="554">
        <v>0</v>
      </c>
      <c r="C25" s="555">
        <f>B25+D25+E25+F25+G25+H25+I25+J25+K25+L25+M25+N25+O25</f>
        <v>0</v>
      </c>
      <c r="D25" s="525"/>
      <c r="E25" s="525"/>
      <c r="F25" s="525"/>
      <c r="G25" s="525"/>
      <c r="H25" s="525"/>
      <c r="I25" s="525"/>
      <c r="J25" s="525"/>
      <c r="K25" s="525"/>
      <c r="L25" s="525"/>
      <c r="M25" s="525"/>
      <c r="N25" s="525"/>
      <c r="O25" s="525"/>
      <c r="P25" s="490"/>
      <c r="Q25" s="490" t="s">
        <v>2445</v>
      </c>
      <c r="R25" s="533"/>
      <c r="S25" s="533"/>
      <c r="T25" s="700" t="s">
        <v>2498</v>
      </c>
      <c r="U25" s="292" t="s">
        <v>2444</v>
      </c>
      <c r="V25" s="521" t="s">
        <v>2399</v>
      </c>
      <c r="W25" s="522">
        <f>BN25/1000000</f>
        <v>0</v>
      </c>
      <c r="X25" s="523" t="s">
        <v>868</v>
      </c>
      <c r="Y25" s="524" t="e">
        <f>W25-#REF!+Y26</f>
        <v>#REF!</v>
      </c>
      <c r="Z25" s="299" t="s">
        <v>871</v>
      </c>
      <c r="AA25" s="79" t="s">
        <v>872</v>
      </c>
      <c r="AB25" s="797"/>
      <c r="AC25" s="80" t="s">
        <v>2399</v>
      </c>
      <c r="AD25" s="81">
        <v>519010000</v>
      </c>
      <c r="AE25" s="82"/>
      <c r="AF25" s="83">
        <f>SUM(AG25:BC25)</f>
        <v>0</v>
      </c>
      <c r="AG25" s="91"/>
      <c r="AH25" s="92"/>
      <c r="AI25" s="92"/>
      <c r="AJ25" s="92"/>
      <c r="AK25" s="92"/>
      <c r="AL25" s="92"/>
      <c r="AM25" s="92"/>
      <c r="AN25" s="92"/>
      <c r="AO25" s="92"/>
      <c r="AP25" s="92"/>
      <c r="AQ25" s="92"/>
      <c r="AR25" s="92"/>
      <c r="AS25" s="92"/>
      <c r="AT25" s="92"/>
      <c r="AU25" s="92"/>
      <c r="AV25" s="92"/>
      <c r="AW25" s="92"/>
      <c r="AX25" s="92"/>
      <c r="AY25" s="92"/>
      <c r="AZ25" s="92"/>
      <c r="BA25" s="92"/>
      <c r="BB25" s="92"/>
      <c r="BC25" s="92"/>
    </row>
    <row r="26" spans="1:62" ht="22.5" customHeight="1" thickBot="1">
      <c r="A26" s="508" t="s">
        <v>1061</v>
      </c>
      <c r="B26" s="558"/>
      <c r="C26" s="559"/>
      <c r="D26" s="813" t="s">
        <v>2407</v>
      </c>
      <c r="E26" s="818" t="s">
        <v>2407</v>
      </c>
      <c r="F26" s="780" t="s">
        <v>2407</v>
      </c>
      <c r="G26" s="780"/>
      <c r="H26" s="780"/>
      <c r="I26" s="780"/>
      <c r="J26" s="780"/>
      <c r="K26" s="780"/>
      <c r="L26" s="780" t="s">
        <v>2407</v>
      </c>
      <c r="M26" s="780" t="s">
        <v>2407</v>
      </c>
      <c r="N26" s="780" t="s">
        <v>2407</v>
      </c>
      <c r="O26" s="780" t="s">
        <v>2407</v>
      </c>
      <c r="P26" s="495"/>
      <c r="Q26" s="495"/>
      <c r="R26" s="533"/>
      <c r="S26" s="533"/>
      <c r="T26" s="784"/>
      <c r="U26" s="531" t="s">
        <v>854</v>
      </c>
      <c r="V26" s="578" t="s">
        <v>2402</v>
      </c>
      <c r="W26" s="579"/>
      <c r="X26" s="532" t="s">
        <v>2401</v>
      </c>
      <c r="Y26" s="529">
        <f>BP26/1000000</f>
        <v>0</v>
      </c>
      <c r="Z26" s="85"/>
      <c r="AA26" s="69"/>
      <c r="AB26" s="798"/>
      <c r="AC26" s="80"/>
      <c r="AD26" s="81"/>
      <c r="AE26" s="82" t="s">
        <v>863</v>
      </c>
      <c r="AF26" s="83"/>
      <c r="BD26" s="68"/>
      <c r="BE26" s="68"/>
      <c r="BF26" s="68"/>
      <c r="BG26" s="68"/>
      <c r="BH26" s="68"/>
      <c r="BI26" s="68"/>
      <c r="BJ26" s="68"/>
    </row>
    <row r="27" spans="1:62" ht="22.5" customHeight="1" thickBot="1">
      <c r="A27" s="490" t="s">
        <v>2446</v>
      </c>
      <c r="B27" s="554">
        <v>0</v>
      </c>
      <c r="C27" s="555">
        <f>B27+D27+E27+F27+G27+H27+I27+J27+K27+L27+M27+N27+O27</f>
        <v>0.67000000000000015</v>
      </c>
      <c r="D27" s="525"/>
      <c r="E27" s="525">
        <v>0.08</v>
      </c>
      <c r="F27" s="525">
        <v>0.12</v>
      </c>
      <c r="G27" s="525">
        <v>0.1</v>
      </c>
      <c r="H27" s="525">
        <v>0.05</v>
      </c>
      <c r="I27" s="525">
        <v>0.05</v>
      </c>
      <c r="J27" s="525">
        <v>0.05</v>
      </c>
      <c r="K27" s="525">
        <v>0.05</v>
      </c>
      <c r="L27" s="525">
        <v>0.05</v>
      </c>
      <c r="M27" s="525">
        <v>0.05</v>
      </c>
      <c r="N27" s="525">
        <v>7.0000000000000007E-2</v>
      </c>
      <c r="O27" s="525"/>
      <c r="P27" s="490"/>
      <c r="Q27" s="490" t="s">
        <v>2406</v>
      </c>
      <c r="R27" s="533" t="s">
        <v>2496</v>
      </c>
      <c r="S27" s="533">
        <v>349</v>
      </c>
      <c r="T27" s="700" t="s">
        <v>2447</v>
      </c>
      <c r="U27" s="292" t="s">
        <v>2448</v>
      </c>
      <c r="V27" s="521" t="s">
        <v>2399</v>
      </c>
      <c r="W27" s="522">
        <f>BN27/1000000</f>
        <v>0</v>
      </c>
      <c r="X27" s="523" t="s">
        <v>868</v>
      </c>
      <c r="Y27" s="524" t="e">
        <f>W27-#REF!+Y28</f>
        <v>#REF!</v>
      </c>
      <c r="Z27" s="299" t="s">
        <v>871</v>
      </c>
      <c r="AA27" s="79" t="s">
        <v>872</v>
      </c>
      <c r="AB27" s="260"/>
      <c r="AC27" s="80" t="s">
        <v>2399</v>
      </c>
      <c r="AD27" s="81">
        <v>194000000</v>
      </c>
      <c r="AE27" s="82"/>
      <c r="AF27" s="83">
        <f>SUM(AG27:BC27)</f>
        <v>0</v>
      </c>
      <c r="AG27" s="91"/>
      <c r="AH27" s="92"/>
      <c r="AI27" s="92"/>
      <c r="AJ27" s="92"/>
      <c r="AK27" s="92"/>
      <c r="AL27" s="92"/>
      <c r="AM27" s="92"/>
      <c r="AN27" s="92"/>
      <c r="AO27" s="92"/>
      <c r="AP27" s="92"/>
      <c r="AQ27" s="92"/>
      <c r="AR27" s="92"/>
      <c r="AS27" s="92"/>
      <c r="AT27" s="92"/>
      <c r="AU27" s="92"/>
      <c r="AV27" s="92"/>
      <c r="AW27" s="92"/>
      <c r="AX27" s="92"/>
      <c r="AY27" s="92"/>
      <c r="AZ27" s="92"/>
      <c r="BA27" s="92"/>
      <c r="BB27" s="92"/>
      <c r="BC27" s="92"/>
    </row>
    <row r="28" spans="1:62" ht="22.5" customHeight="1" thickBot="1">
      <c r="A28" s="495"/>
      <c r="B28" s="558"/>
      <c r="C28" s="559"/>
      <c r="D28" s="813" t="s">
        <v>2407</v>
      </c>
      <c r="E28" s="560" t="s">
        <v>2449</v>
      </c>
      <c r="F28" s="560" t="s">
        <v>2449</v>
      </c>
      <c r="G28" s="560" t="s">
        <v>2449</v>
      </c>
      <c r="H28" s="560" t="s">
        <v>2449</v>
      </c>
      <c r="I28" s="813" t="s">
        <v>2450</v>
      </c>
      <c r="J28" s="560" t="s">
        <v>2451</v>
      </c>
      <c r="K28" s="560" t="s">
        <v>2451</v>
      </c>
      <c r="L28" s="560"/>
      <c r="M28" s="813" t="s">
        <v>2452</v>
      </c>
      <c r="N28" s="560" t="s">
        <v>2453</v>
      </c>
      <c r="O28" s="560"/>
      <c r="P28" s="495"/>
      <c r="Q28" s="495"/>
      <c r="R28" s="533"/>
      <c r="S28" s="533"/>
      <c r="T28" s="784"/>
      <c r="U28" s="531" t="s">
        <v>854</v>
      </c>
      <c r="V28" s="578" t="s">
        <v>2402</v>
      </c>
      <c r="W28" s="579"/>
      <c r="X28" s="532" t="s">
        <v>2401</v>
      </c>
      <c r="Y28" s="529">
        <f>BP28/1000000</f>
        <v>0</v>
      </c>
      <c r="Z28" s="85"/>
      <c r="AA28" s="69"/>
      <c r="AB28" s="261"/>
      <c r="AC28" s="80"/>
      <c r="AD28" s="81"/>
      <c r="AE28" s="82" t="s">
        <v>863</v>
      </c>
      <c r="AF28" s="83"/>
      <c r="BD28" s="68"/>
      <c r="BE28" s="68"/>
      <c r="BF28" s="68"/>
      <c r="BG28" s="68"/>
      <c r="BH28" s="68"/>
      <c r="BI28" s="68"/>
      <c r="BJ28" s="68"/>
    </row>
    <row r="29" spans="1:62" ht="22.5" customHeight="1" thickBot="1">
      <c r="A29" s="507" t="s">
        <v>2454</v>
      </c>
      <c r="B29" s="554">
        <v>0</v>
      </c>
      <c r="C29" s="555">
        <f>B29+D29+E29+F29+G29+H29+I29+J29+K29+L29+M29+N29+O29</f>
        <v>0.1</v>
      </c>
      <c r="D29" s="525"/>
      <c r="E29" s="525">
        <v>0.02</v>
      </c>
      <c r="F29" s="525">
        <v>0.02</v>
      </c>
      <c r="G29" s="525">
        <v>0.02</v>
      </c>
      <c r="H29" s="525">
        <v>0.02</v>
      </c>
      <c r="I29" s="525"/>
      <c r="J29" s="525"/>
      <c r="K29" s="525"/>
      <c r="L29" s="525"/>
      <c r="M29" s="525"/>
      <c r="N29" s="525">
        <v>0.02</v>
      </c>
      <c r="O29" s="525"/>
      <c r="P29" s="490"/>
      <c r="Q29" s="490" t="s">
        <v>2406</v>
      </c>
      <c r="R29" s="533"/>
      <c r="S29" s="533"/>
      <c r="T29" s="700" t="s">
        <v>2455</v>
      </c>
      <c r="U29" s="292" t="s">
        <v>2456</v>
      </c>
      <c r="V29" s="521" t="s">
        <v>2399</v>
      </c>
      <c r="W29" s="522">
        <f>BN29/1000000</f>
        <v>0</v>
      </c>
      <c r="X29" s="523" t="s">
        <v>868</v>
      </c>
      <c r="Y29" s="524" t="e">
        <f>W29-#REF!+Y30</f>
        <v>#REF!</v>
      </c>
      <c r="Z29" s="299" t="s">
        <v>871</v>
      </c>
      <c r="AA29" s="79" t="s">
        <v>872</v>
      </c>
      <c r="AB29" s="260"/>
      <c r="AC29" s="80" t="s">
        <v>2399</v>
      </c>
      <c r="AD29" s="81">
        <v>110000000</v>
      </c>
      <c r="AE29" s="82"/>
      <c r="AF29" s="83">
        <f>SUM(AG29:BC29)</f>
        <v>0</v>
      </c>
      <c r="AG29" s="91"/>
      <c r="AH29" s="92"/>
      <c r="AI29" s="92"/>
      <c r="AJ29" s="92"/>
      <c r="AK29" s="92"/>
      <c r="AL29" s="92"/>
      <c r="AM29" s="92"/>
      <c r="AN29" s="92"/>
      <c r="AO29" s="92"/>
      <c r="AP29" s="92"/>
      <c r="AQ29" s="92"/>
      <c r="AR29" s="92"/>
      <c r="AS29" s="92"/>
      <c r="AT29" s="92"/>
      <c r="AU29" s="92"/>
      <c r="AV29" s="92"/>
      <c r="AW29" s="92"/>
      <c r="AX29" s="92"/>
      <c r="AY29" s="92"/>
      <c r="AZ29" s="92"/>
      <c r="BA29" s="92"/>
      <c r="BB29" s="92"/>
      <c r="BC29" s="92"/>
    </row>
    <row r="30" spans="1:62" ht="22.5" customHeight="1">
      <c r="A30" s="508" t="s">
        <v>1061</v>
      </c>
      <c r="B30" s="558"/>
      <c r="C30" s="559"/>
      <c r="D30" s="813" t="s">
        <v>2407</v>
      </c>
      <c r="E30" s="560" t="s">
        <v>2457</v>
      </c>
      <c r="F30" s="560" t="s">
        <v>2458</v>
      </c>
      <c r="G30" s="560" t="s">
        <v>2459</v>
      </c>
      <c r="H30" s="560" t="s">
        <v>2459</v>
      </c>
      <c r="I30" s="560"/>
      <c r="J30" s="560"/>
      <c r="K30" s="560"/>
      <c r="L30" s="560"/>
      <c r="M30" s="560"/>
      <c r="N30" s="560" t="s">
        <v>2460</v>
      </c>
      <c r="O30" s="560"/>
      <c r="P30" s="495"/>
      <c r="Q30" s="495"/>
      <c r="R30" s="533"/>
      <c r="S30" s="533"/>
      <c r="T30" s="784"/>
      <c r="U30" s="531" t="s">
        <v>854</v>
      </c>
      <c r="V30" s="578" t="s">
        <v>2402</v>
      </c>
      <c r="W30" s="579"/>
      <c r="X30" s="532" t="s">
        <v>2401</v>
      </c>
      <c r="Y30" s="529">
        <f>BP30/1000000</f>
        <v>0</v>
      </c>
      <c r="Z30" s="85"/>
      <c r="AA30" s="69"/>
      <c r="AB30" s="261"/>
      <c r="AC30" s="80"/>
      <c r="AD30" s="81"/>
      <c r="AE30" s="82" t="s">
        <v>863</v>
      </c>
      <c r="AF30" s="83"/>
      <c r="BD30" s="68"/>
      <c r="BE30" s="68"/>
      <c r="BF30" s="68"/>
      <c r="BG30" s="68"/>
      <c r="BH30" s="68"/>
      <c r="BI30" s="68"/>
      <c r="BJ30" s="68"/>
    </row>
    <row r="31" spans="1:62" ht="30.75" customHeight="1">
      <c r="T31" s="428"/>
      <c r="U31" s="388"/>
      <c r="W31" s="388"/>
    </row>
  </sheetData>
  <phoneticPr fontId="2" type="noConversion"/>
  <printOptions horizontalCentered="1"/>
  <pageMargins left="0.15748031496062992" right="0.15748031496062992" top="0.59055118110236227" bottom="0.39370078740157483" header="0.31496062992125984" footer="0.31496062992125984"/>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F10"/>
  <sheetViews>
    <sheetView zoomScale="110" zoomScaleNormal="110" workbookViewId="0">
      <selection activeCell="A4" sqref="A4:XFD29"/>
    </sheetView>
  </sheetViews>
  <sheetFormatPr defaultColWidth="10.25" defaultRowHeight="30.75" customHeight="1"/>
  <cols>
    <col min="1" max="1" width="4.875" style="275" customWidth="1"/>
    <col min="2" max="2" width="4.875" style="282" customWidth="1"/>
    <col min="3" max="3" width="5.25" style="282" customWidth="1"/>
    <col min="4" max="15" width="8.875" style="275" customWidth="1"/>
    <col min="16" max="16" width="18.875" style="275" customWidth="1"/>
    <col min="17" max="17" width="11" style="275" customWidth="1"/>
    <col min="18" max="18" width="19.375" style="78" customWidth="1"/>
    <col min="19" max="19" width="9.875" style="275" customWidth="1"/>
    <col min="20" max="20" width="5.125" style="275" customWidth="1"/>
    <col min="21" max="21" width="8.75" style="275" customWidth="1"/>
    <col min="22" max="22" width="5.125" style="275" customWidth="1"/>
    <col min="23" max="23" width="8.625" style="275" customWidth="1"/>
    <col min="24" max="24" width="4.5" style="275" customWidth="1"/>
    <col min="25" max="25" width="6.125" style="275" customWidth="1"/>
    <col min="26" max="26" width="16" style="275" customWidth="1"/>
    <col min="27" max="27" width="14.625" style="277" customWidth="1"/>
    <col min="28" max="51" width="16" style="77" customWidth="1"/>
    <col min="52" max="16384" width="10.25" style="78"/>
  </cols>
  <sheetData>
    <row r="1" spans="1:58" ht="25.5" customHeight="1">
      <c r="A1" s="279" t="s">
        <v>2461</v>
      </c>
      <c r="Q1" s="393" t="s">
        <v>2462</v>
      </c>
    </row>
    <row r="2" spans="1:58" ht="22.5" customHeight="1">
      <c r="A2" s="513" t="s">
        <v>2463</v>
      </c>
      <c r="B2" s="514" t="s">
        <v>2468</v>
      </c>
      <c r="C2" s="515" t="s">
        <v>2469</v>
      </c>
      <c r="D2" s="552" t="s">
        <v>768</v>
      </c>
      <c r="E2" s="552" t="s">
        <v>1052</v>
      </c>
      <c r="F2" s="552" t="s">
        <v>758</v>
      </c>
      <c r="G2" s="552" t="s">
        <v>759</v>
      </c>
      <c r="H2" s="552" t="s">
        <v>760</v>
      </c>
      <c r="I2" s="552" t="s">
        <v>761</v>
      </c>
      <c r="J2" s="552" t="s">
        <v>762</v>
      </c>
      <c r="K2" s="552" t="s">
        <v>763</v>
      </c>
      <c r="L2" s="552" t="s">
        <v>764</v>
      </c>
      <c r="M2" s="552" t="s">
        <v>765</v>
      </c>
      <c r="N2" s="552" t="s">
        <v>766</v>
      </c>
      <c r="O2" s="552" t="s">
        <v>767</v>
      </c>
      <c r="P2" s="513" t="s">
        <v>2470</v>
      </c>
      <c r="Q2" s="516" t="s">
        <v>2471</v>
      </c>
      <c r="R2" s="513" t="s">
        <v>2464</v>
      </c>
      <c r="S2" s="513" t="s">
        <v>2465</v>
      </c>
      <c r="T2" s="513" t="s">
        <v>2466</v>
      </c>
      <c r="U2" s="513"/>
      <c r="V2" s="551" t="s">
        <v>2467</v>
      </c>
      <c r="W2" s="552"/>
      <c r="X2" s="291" t="s">
        <v>2472</v>
      </c>
    </row>
    <row r="3" spans="1:58" ht="22.5" customHeight="1">
      <c r="A3" s="490" t="s">
        <v>2473</v>
      </c>
      <c r="B3" s="554">
        <v>0.55000000000000004</v>
      </c>
      <c r="C3" s="555">
        <f>B3+D3+E3+F3+G3+H3+I3+J3+K3+L3+M3+N3+O3</f>
        <v>0.67000000000000015</v>
      </c>
      <c r="D3" s="525">
        <v>0.02</v>
      </c>
      <c r="E3" s="525">
        <v>0.02</v>
      </c>
      <c r="F3" s="525">
        <v>0.02</v>
      </c>
      <c r="G3" s="525">
        <v>0.02</v>
      </c>
      <c r="H3" s="525">
        <v>0.02</v>
      </c>
      <c r="I3" s="525">
        <v>0.02</v>
      </c>
      <c r="J3" s="525"/>
      <c r="K3" s="525"/>
      <c r="L3" s="525"/>
      <c r="M3" s="525"/>
      <c r="N3" s="525"/>
      <c r="O3" s="525"/>
      <c r="P3" s="490"/>
      <c r="Q3" s="490" t="s">
        <v>2478</v>
      </c>
      <c r="R3" s="700" t="s">
        <v>2474</v>
      </c>
      <c r="S3" s="556" t="s">
        <v>2475</v>
      </c>
      <c r="T3" s="521" t="s">
        <v>2476</v>
      </c>
      <c r="U3" s="522">
        <f>BH3/1100000</f>
        <v>0</v>
      </c>
      <c r="V3" s="523" t="s">
        <v>2477</v>
      </c>
      <c r="W3" s="524" t="e">
        <f>#REF!/1100000</f>
        <v>#REF!</v>
      </c>
      <c r="X3" s="260"/>
      <c r="Y3" s="80" t="s">
        <v>2476</v>
      </c>
      <c r="Z3" s="81">
        <v>115566000</v>
      </c>
      <c r="AA3" s="82"/>
      <c r="AB3" s="83">
        <f t="shared" ref="AB3:AB8" si="0">SUM(AC3:AY3)</f>
        <v>0</v>
      </c>
      <c r="AC3" s="91"/>
      <c r="AD3" s="92"/>
      <c r="AE3" s="92"/>
      <c r="AF3" s="92"/>
      <c r="AG3" s="92"/>
      <c r="AH3" s="92"/>
      <c r="AI3" s="92"/>
      <c r="AJ3" s="92"/>
      <c r="AK3" s="92"/>
      <c r="AL3" s="92"/>
      <c r="AM3" s="92"/>
      <c r="AN3" s="92"/>
      <c r="AO3" s="92"/>
      <c r="AP3" s="92"/>
      <c r="AQ3" s="92"/>
      <c r="AR3" s="92"/>
      <c r="AS3" s="92"/>
      <c r="AT3" s="92"/>
      <c r="AU3" s="92"/>
      <c r="AV3" s="92"/>
      <c r="AW3" s="92"/>
      <c r="AX3" s="92"/>
      <c r="AY3" s="92"/>
    </row>
    <row r="4" spans="1:58" ht="22.5" customHeight="1">
      <c r="A4" s="495"/>
      <c r="B4" s="558"/>
      <c r="C4" s="559"/>
      <c r="D4" s="560" t="s">
        <v>2480</v>
      </c>
      <c r="E4" s="560" t="s">
        <v>2480</v>
      </c>
      <c r="F4" s="560" t="s">
        <v>2480</v>
      </c>
      <c r="G4" s="560" t="s">
        <v>2480</v>
      </c>
      <c r="H4" s="560" t="s">
        <v>2480</v>
      </c>
      <c r="I4" s="560" t="s">
        <v>2480</v>
      </c>
      <c r="J4" s="560" t="s">
        <v>2480</v>
      </c>
      <c r="K4" s="560" t="s">
        <v>2480</v>
      </c>
      <c r="L4" s="560" t="s">
        <v>2480</v>
      </c>
      <c r="M4" s="560"/>
      <c r="N4" s="560"/>
      <c r="O4" s="560"/>
      <c r="P4" s="502"/>
      <c r="Q4" s="495"/>
      <c r="R4" s="784"/>
      <c r="S4" s="531" t="s">
        <v>2479</v>
      </c>
      <c r="T4" s="526" t="s">
        <v>196</v>
      </c>
      <c r="U4" s="527" t="e">
        <f>U3-#REF!</f>
        <v>#REF!</v>
      </c>
      <c r="V4" s="532" t="s">
        <v>196</v>
      </c>
      <c r="W4" s="529" t="e">
        <f>W3-#REF!</f>
        <v>#REF!</v>
      </c>
      <c r="X4" s="261"/>
      <c r="Y4" s="80" t="s">
        <v>196</v>
      </c>
      <c r="Z4" s="81" t="e">
        <f>Z3-#REF!</f>
        <v>#REF!</v>
      </c>
      <c r="AA4" s="82" t="s">
        <v>1051</v>
      </c>
      <c r="AB4" s="83">
        <f t="shared" si="0"/>
        <v>0</v>
      </c>
      <c r="AH4" s="77" t="s">
        <v>2481</v>
      </c>
      <c r="AJ4" s="77" t="s">
        <v>2481</v>
      </c>
      <c r="AZ4" s="68"/>
      <c r="BA4" s="68"/>
      <c r="BB4" s="68"/>
      <c r="BC4" s="68"/>
      <c r="BD4" s="68"/>
      <c r="BE4" s="68"/>
      <c r="BF4" s="68"/>
    </row>
    <row r="5" spans="1:58" ht="22.5" customHeight="1">
      <c r="A5" s="490" t="s">
        <v>2482</v>
      </c>
      <c r="B5" s="554">
        <v>0.5</v>
      </c>
      <c r="C5" s="555">
        <f>B5+D5+E5+F5+G5+H5+I5+J5+K5+L5+M5+N5+O5</f>
        <v>0.5</v>
      </c>
      <c r="D5" s="525"/>
      <c r="E5" s="525"/>
      <c r="F5" s="525"/>
      <c r="G5" s="525"/>
      <c r="H5" s="525"/>
      <c r="I5" s="525"/>
      <c r="J5" s="525"/>
      <c r="K5" s="525"/>
      <c r="L5" s="525"/>
      <c r="M5" s="525"/>
      <c r="N5" s="525"/>
      <c r="O5" s="525"/>
      <c r="P5" s="490" t="s">
        <v>2487</v>
      </c>
      <c r="Q5" s="490" t="s">
        <v>2488</v>
      </c>
      <c r="R5" s="700" t="s">
        <v>2483</v>
      </c>
      <c r="S5" s="556" t="s">
        <v>2484</v>
      </c>
      <c r="T5" s="521" t="s">
        <v>2485</v>
      </c>
      <c r="U5" s="522">
        <f>BH5/1100000</f>
        <v>0</v>
      </c>
      <c r="V5" s="523" t="s">
        <v>2486</v>
      </c>
      <c r="W5" s="524" t="e">
        <f>#REF!/1100000</f>
        <v>#REF!</v>
      </c>
      <c r="X5" s="260"/>
      <c r="Y5" s="80" t="s">
        <v>2485</v>
      </c>
      <c r="Z5" s="81">
        <v>101350000</v>
      </c>
      <c r="AA5" s="82"/>
      <c r="AB5" s="83">
        <f t="shared" si="0"/>
        <v>0</v>
      </c>
      <c r="AC5" s="91"/>
      <c r="AD5" s="92"/>
      <c r="AE5" s="92"/>
      <c r="AF5" s="92"/>
      <c r="AG5" s="92"/>
      <c r="AH5" s="92"/>
      <c r="AI5" s="92"/>
      <c r="AJ5" s="92"/>
      <c r="AK5" s="92"/>
      <c r="AL5" s="92"/>
      <c r="AM5" s="92"/>
      <c r="AN5" s="92"/>
      <c r="AO5" s="92"/>
      <c r="AP5" s="92"/>
      <c r="AQ5" s="92"/>
      <c r="AR5" s="92"/>
      <c r="AS5" s="92"/>
      <c r="AT5" s="92"/>
      <c r="AU5" s="92"/>
      <c r="AV5" s="92"/>
      <c r="AW5" s="92"/>
      <c r="AX5" s="92"/>
      <c r="AY5" s="92"/>
    </row>
    <row r="6" spans="1:58" ht="22.5" customHeight="1">
      <c r="A6" s="495"/>
      <c r="B6" s="558"/>
      <c r="C6" s="559"/>
      <c r="D6" s="560" t="s">
        <v>2242</v>
      </c>
      <c r="E6" s="560" t="s">
        <v>2242</v>
      </c>
      <c r="F6" s="560" t="s">
        <v>2242</v>
      </c>
      <c r="G6" s="560" t="s">
        <v>2242</v>
      </c>
      <c r="H6" s="560" t="s">
        <v>2242</v>
      </c>
      <c r="I6" s="560" t="s">
        <v>2242</v>
      </c>
      <c r="J6" s="560" t="s">
        <v>2242</v>
      </c>
      <c r="K6" s="560" t="s">
        <v>2242</v>
      </c>
      <c r="L6" s="560" t="s">
        <v>2242</v>
      </c>
      <c r="M6" s="560" t="s">
        <v>2242</v>
      </c>
      <c r="N6" s="560" t="s">
        <v>2242</v>
      </c>
      <c r="O6" s="560" t="s">
        <v>2490</v>
      </c>
      <c r="P6" s="502"/>
      <c r="Q6" s="495"/>
      <c r="R6" s="784"/>
      <c r="S6" s="531" t="s">
        <v>2489</v>
      </c>
      <c r="T6" s="526" t="s">
        <v>196</v>
      </c>
      <c r="U6" s="527" t="e">
        <f>U5-#REF!</f>
        <v>#REF!</v>
      </c>
      <c r="V6" s="532" t="s">
        <v>196</v>
      </c>
      <c r="W6" s="529" t="e">
        <f>W5-#REF!</f>
        <v>#REF!</v>
      </c>
      <c r="X6" s="261"/>
      <c r="Y6" s="80" t="s">
        <v>196</v>
      </c>
      <c r="Z6" s="81" t="e">
        <f>Z5-#REF!</f>
        <v>#REF!</v>
      </c>
      <c r="AA6" s="82" t="s">
        <v>1051</v>
      </c>
      <c r="AB6" s="83">
        <f t="shared" si="0"/>
        <v>0</v>
      </c>
      <c r="AZ6" s="68"/>
      <c r="BA6" s="68"/>
      <c r="BB6" s="68"/>
      <c r="BC6" s="68"/>
      <c r="BD6" s="68"/>
      <c r="BE6" s="68"/>
      <c r="BF6" s="68"/>
    </row>
    <row r="7" spans="1:58" ht="22.5" customHeight="1">
      <c r="A7" s="490" t="s">
        <v>2491</v>
      </c>
      <c r="B7" s="554">
        <v>0.5</v>
      </c>
      <c r="C7" s="555">
        <f>B7+D7+E7+F7+G7+H7+I7+J7+K7+L7+M7+N7+O7</f>
        <v>0.5</v>
      </c>
      <c r="D7" s="525"/>
      <c r="E7" s="525"/>
      <c r="F7" s="525"/>
      <c r="G7" s="525"/>
      <c r="H7" s="525"/>
      <c r="I7" s="525"/>
      <c r="J7" s="525"/>
      <c r="K7" s="525"/>
      <c r="L7" s="525"/>
      <c r="M7" s="525"/>
      <c r="N7" s="525"/>
      <c r="O7" s="525"/>
      <c r="P7" s="490" t="s">
        <v>2493</v>
      </c>
      <c r="Q7" s="490" t="s">
        <v>2494</v>
      </c>
      <c r="R7" s="700" t="s">
        <v>2492</v>
      </c>
      <c r="S7" s="556" t="s">
        <v>2020</v>
      </c>
      <c r="T7" s="521" t="s">
        <v>89</v>
      </c>
      <c r="U7" s="522">
        <f>BH7/1100000</f>
        <v>0</v>
      </c>
      <c r="V7" s="523" t="s">
        <v>41</v>
      </c>
      <c r="W7" s="524" t="e">
        <f>#REF!/1100000</f>
        <v>#REF!</v>
      </c>
      <c r="X7" s="260"/>
      <c r="Y7" s="80" t="s">
        <v>89</v>
      </c>
      <c r="Z7" s="81">
        <v>74405000</v>
      </c>
      <c r="AA7" s="82"/>
      <c r="AB7" s="83">
        <f t="shared" si="0"/>
        <v>0</v>
      </c>
      <c r="AC7" s="91"/>
      <c r="AD7" s="92" t="s">
        <v>2495</v>
      </c>
      <c r="AE7" s="92"/>
      <c r="AF7" s="92"/>
      <c r="AG7" s="92"/>
      <c r="AH7" s="92"/>
      <c r="AI7" s="92"/>
      <c r="AJ7" s="92"/>
      <c r="AK7" s="92"/>
      <c r="AL7" s="92"/>
      <c r="AM7" s="92"/>
      <c r="AN7" s="92"/>
      <c r="AO7" s="92"/>
      <c r="AP7" s="92"/>
      <c r="AQ7" s="92"/>
      <c r="AR7" s="92"/>
      <c r="AS7" s="92"/>
      <c r="AT7" s="92"/>
      <c r="AU7" s="92"/>
      <c r="AV7" s="92"/>
      <c r="AW7" s="92"/>
      <c r="AX7" s="92"/>
      <c r="AY7" s="92"/>
    </row>
    <row r="8" spans="1:58" ht="22.5" customHeight="1">
      <c r="A8" s="495"/>
      <c r="B8" s="558"/>
      <c r="C8" s="559"/>
      <c r="D8" s="560" t="s">
        <v>2242</v>
      </c>
      <c r="E8" s="560" t="s">
        <v>2242</v>
      </c>
      <c r="F8" s="560" t="s">
        <v>2242</v>
      </c>
      <c r="G8" s="560" t="s">
        <v>2242</v>
      </c>
      <c r="H8" s="560" t="s">
        <v>2242</v>
      </c>
      <c r="I8" s="560" t="s">
        <v>2242</v>
      </c>
      <c r="J8" s="560" t="s">
        <v>2242</v>
      </c>
      <c r="K8" s="560" t="s">
        <v>2242</v>
      </c>
      <c r="L8" s="560"/>
      <c r="M8" s="560"/>
      <c r="N8" s="560"/>
      <c r="O8" s="560" t="s">
        <v>2490</v>
      </c>
      <c r="P8" s="502"/>
      <c r="Q8" s="495"/>
      <c r="R8" s="784"/>
      <c r="S8" s="531" t="s">
        <v>67</v>
      </c>
      <c r="T8" s="526" t="s">
        <v>196</v>
      </c>
      <c r="U8" s="527" t="e">
        <f>U7-#REF!</f>
        <v>#REF!</v>
      </c>
      <c r="V8" s="532" t="s">
        <v>196</v>
      </c>
      <c r="W8" s="529" t="e">
        <f>W7-#REF!</f>
        <v>#REF!</v>
      </c>
      <c r="X8" s="261"/>
      <c r="Y8" s="80" t="s">
        <v>196</v>
      </c>
      <c r="Z8" s="81" t="e">
        <f>Z7-#REF!</f>
        <v>#REF!</v>
      </c>
      <c r="AA8" s="82" t="s">
        <v>1051</v>
      </c>
      <c r="AB8" s="83">
        <f t="shared" si="0"/>
        <v>0</v>
      </c>
      <c r="AZ8" s="68"/>
      <c r="BA8" s="68"/>
      <c r="BB8" s="68"/>
      <c r="BC8" s="68"/>
      <c r="BD8" s="68"/>
      <c r="BE8" s="68"/>
      <c r="BF8" s="68"/>
    </row>
    <row r="9" spans="1:58" ht="30.75" customHeight="1">
      <c r="R9" s="428"/>
      <c r="S9" s="388"/>
      <c r="U9" s="388"/>
    </row>
    <row r="10" spans="1:58" ht="30.75" customHeight="1">
      <c r="R10" s="812"/>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sheetPr>
  <dimension ref="A1:AY171"/>
  <sheetViews>
    <sheetView showZeros="0" view="pageBreakPreview" zoomScaleNormal="100" zoomScaleSheetLayoutView="100" workbookViewId="0">
      <pane xSplit="3" ySplit="3" topLeftCell="D4" activePane="bottomRight" state="frozen"/>
      <selection activeCell="O26" sqref="O26"/>
      <selection pane="topRight" activeCell="O26" sqref="O26"/>
      <selection pane="bottomLeft" activeCell="O26" sqref="O26"/>
      <selection pane="bottomRight" activeCell="A161" sqref="A4:XFD161"/>
    </sheetView>
  </sheetViews>
  <sheetFormatPr defaultColWidth="10.25" defaultRowHeight="30.75" customHeight="1"/>
  <cols>
    <col min="1" max="1" width="4.875" style="275" customWidth="1"/>
    <col min="2" max="3" width="5.25" style="282" customWidth="1"/>
    <col min="4" max="9" width="8.875" style="275" customWidth="1"/>
    <col min="10" max="11" width="9.625" style="275" customWidth="1"/>
    <col min="12" max="15" width="8.875" style="275" customWidth="1"/>
    <col min="16" max="16" width="18.875" style="275" customWidth="1"/>
    <col min="17" max="17" width="11" style="275" customWidth="1"/>
    <col min="18" max="18" width="19.375" style="78" customWidth="1"/>
    <col min="19" max="19" width="8.25" style="275" customWidth="1"/>
    <col min="20" max="20" width="5.125" style="275" customWidth="1"/>
    <col min="21" max="21" width="9.625" style="275" customWidth="1"/>
    <col min="22" max="22" width="5.125" style="275" customWidth="1"/>
    <col min="23" max="23" width="9.625" style="275" customWidth="1"/>
    <col min="24" max="25" width="10.375" style="281" customWidth="1"/>
    <col min="26" max="27" width="4.5" style="275" customWidth="1"/>
    <col min="28" max="28" width="6.125" style="275" customWidth="1"/>
    <col min="29" max="29" width="17.125" style="275" customWidth="1"/>
    <col min="30" max="30" width="10.25" style="277"/>
    <col min="31" max="31" width="15.75" style="77" customWidth="1"/>
    <col min="32" max="32" width="10.75" style="277" customWidth="1"/>
    <col min="33" max="33" width="16.5" style="77" customWidth="1"/>
    <col min="34" max="34" width="10.75" style="277" customWidth="1"/>
    <col min="35" max="35" width="16.5" style="77" customWidth="1"/>
    <col min="36" max="36" width="10.75" style="277" customWidth="1"/>
    <col min="37" max="37" width="16.5" style="77" customWidth="1"/>
    <col min="38" max="38" width="10.75" style="277" customWidth="1"/>
    <col min="39" max="39" width="16.5" style="77" customWidth="1"/>
    <col min="40" max="40" width="10.75" style="277" customWidth="1"/>
    <col min="41" max="41" width="16.5" style="77" customWidth="1"/>
    <col min="42" max="42" width="10.75" style="277" customWidth="1"/>
    <col min="43" max="43" width="16.5" style="77" customWidth="1"/>
    <col min="44" max="44" width="10.75" style="277" customWidth="1"/>
    <col min="45" max="45" width="16.5" style="77" customWidth="1"/>
    <col min="46" max="16384" width="10.25" style="78"/>
  </cols>
  <sheetData>
    <row r="1" spans="1:51" ht="21.75" customHeight="1">
      <c r="A1" s="441" t="s">
        <v>2500</v>
      </c>
      <c r="B1" s="441"/>
      <c r="C1" s="441"/>
      <c r="D1" s="441"/>
      <c r="E1" s="441"/>
      <c r="F1" s="441"/>
      <c r="G1" s="441"/>
      <c r="H1" s="441"/>
      <c r="I1" s="441"/>
      <c r="J1" s="441"/>
      <c r="K1" s="441"/>
      <c r="L1" s="441"/>
      <c r="M1" s="441"/>
      <c r="N1" s="441"/>
      <c r="O1" s="441"/>
      <c r="P1" s="441"/>
      <c r="Q1" s="441"/>
      <c r="R1" s="441"/>
      <c r="S1" s="441"/>
      <c r="T1" s="441"/>
      <c r="U1" s="441"/>
      <c r="V1" s="441"/>
      <c r="W1" s="441"/>
      <c r="Z1" s="276"/>
      <c r="AA1" s="276"/>
    </row>
    <row r="2" spans="1:51" ht="27.75" customHeight="1">
      <c r="A2" s="279" t="s">
        <v>1065</v>
      </c>
      <c r="Q2" s="393" t="s">
        <v>1030</v>
      </c>
      <c r="W2" s="822"/>
      <c r="AC2" s="282" t="e">
        <f>(#REF!+#REF!)/(#REF!/1.1)</f>
        <v>#REF!</v>
      </c>
      <c r="AD2" s="823" t="e">
        <f>#REF!/(#REF!/1.1)</f>
        <v>#REF!</v>
      </c>
    </row>
    <row r="3" spans="1:51" s="741" customFormat="1" ht="22.5" customHeight="1" thickBot="1">
      <c r="A3" s="513" t="s">
        <v>1031</v>
      </c>
      <c r="B3" s="514" t="s">
        <v>1036</v>
      </c>
      <c r="C3" s="515" t="s">
        <v>1037</v>
      </c>
      <c r="D3" s="552" t="s">
        <v>2501</v>
      </c>
      <c r="E3" s="552" t="s">
        <v>2502</v>
      </c>
      <c r="F3" s="552" t="s">
        <v>2503</v>
      </c>
      <c r="G3" s="552" t="s">
        <v>759</v>
      </c>
      <c r="H3" s="552" t="s">
        <v>760</v>
      </c>
      <c r="I3" s="552" t="s">
        <v>761</v>
      </c>
      <c r="J3" s="552" t="s">
        <v>762</v>
      </c>
      <c r="K3" s="552" t="s">
        <v>763</v>
      </c>
      <c r="L3" s="552" t="s">
        <v>764</v>
      </c>
      <c r="M3" s="552" t="s">
        <v>765</v>
      </c>
      <c r="N3" s="552" t="s">
        <v>766</v>
      </c>
      <c r="O3" s="552" t="s">
        <v>767</v>
      </c>
      <c r="P3" s="291" t="s">
        <v>2504</v>
      </c>
      <c r="Q3" s="516" t="s">
        <v>1039</v>
      </c>
      <c r="R3" s="513" t="s">
        <v>2</v>
      </c>
      <c r="S3" s="513" t="s">
        <v>1033</v>
      </c>
      <c r="T3" s="513" t="s">
        <v>1066</v>
      </c>
      <c r="U3" s="513"/>
      <c r="V3" s="551" t="s">
        <v>1067</v>
      </c>
      <c r="W3" s="552"/>
      <c r="X3" s="281"/>
      <c r="Y3" s="281"/>
      <c r="Z3" s="516" t="s">
        <v>1040</v>
      </c>
      <c r="AA3" s="517"/>
      <c r="AB3" s="281"/>
      <c r="AC3" s="281"/>
      <c r="AD3" s="763"/>
      <c r="AE3" s="747"/>
      <c r="AF3" s="763"/>
      <c r="AG3" s="747"/>
      <c r="AH3" s="763"/>
      <c r="AI3" s="747"/>
      <c r="AJ3" s="763"/>
      <c r="AK3" s="747"/>
      <c r="AL3" s="763"/>
      <c r="AM3" s="747"/>
      <c r="AN3" s="763"/>
      <c r="AO3" s="747"/>
      <c r="AP3" s="763"/>
      <c r="AQ3" s="747"/>
      <c r="AR3" s="763"/>
      <c r="AS3" s="747"/>
    </row>
    <row r="4" spans="1:51" s="741" customFormat="1" ht="22.5" customHeight="1" thickBot="1">
      <c r="A4" s="490" t="s">
        <v>2505</v>
      </c>
      <c r="B4" s="824">
        <v>0.97</v>
      </c>
      <c r="C4" s="825">
        <f>B4+D4+E4+F4+G4+H4+I4+J4+K4+L4+M4+N4+O4</f>
        <v>0.97399999999999998</v>
      </c>
      <c r="D4" s="826"/>
      <c r="E4" s="826"/>
      <c r="F4" s="826"/>
      <c r="G4" s="826"/>
      <c r="H4" s="826"/>
      <c r="I4" s="826"/>
      <c r="J4" s="826"/>
      <c r="K4" s="826"/>
      <c r="L4" s="826"/>
      <c r="M4" s="826">
        <v>2E-3</v>
      </c>
      <c r="N4" s="826">
        <v>2E-3</v>
      </c>
      <c r="O4" s="826"/>
      <c r="P4" s="827" t="s">
        <v>2506</v>
      </c>
      <c r="Q4" s="537" t="s">
        <v>2507</v>
      </c>
      <c r="R4" s="553" t="s">
        <v>2508</v>
      </c>
      <c r="S4" s="828" t="s">
        <v>2509</v>
      </c>
      <c r="T4" s="521" t="s">
        <v>814</v>
      </c>
      <c r="U4" s="522">
        <f>BK4/1100000</f>
        <v>0</v>
      </c>
      <c r="V4" s="523" t="s">
        <v>832</v>
      </c>
      <c r="W4" s="524" t="e">
        <f>U4*0.8-(#REF!+W5)</f>
        <v>#REF!</v>
      </c>
      <c r="X4" s="299" t="s">
        <v>812</v>
      </c>
      <c r="Y4" s="547" t="s">
        <v>813</v>
      </c>
      <c r="Z4" s="829" t="s">
        <v>2511</v>
      </c>
      <c r="AA4" s="829"/>
      <c r="AB4" s="735" t="s">
        <v>814</v>
      </c>
      <c r="AC4" s="794">
        <v>8089000000</v>
      </c>
      <c r="AD4" s="749" t="s">
        <v>35</v>
      </c>
      <c r="AE4" s="738">
        <f>SUM(AF4:AS4)</f>
        <v>162983484</v>
      </c>
      <c r="AF4" s="830" t="s">
        <v>1078</v>
      </c>
      <c r="AG4" s="831">
        <v>54327828</v>
      </c>
      <c r="AH4" s="832" t="s">
        <v>1079</v>
      </c>
      <c r="AI4" s="740">
        <f>AG4</f>
        <v>54327828</v>
      </c>
      <c r="AJ4" s="832" t="s">
        <v>2512</v>
      </c>
      <c r="AK4" s="740">
        <f>AG4</f>
        <v>54327828</v>
      </c>
      <c r="AL4" s="832" t="s">
        <v>796</v>
      </c>
      <c r="AM4" s="740"/>
      <c r="AN4" s="832" t="s">
        <v>1081</v>
      </c>
      <c r="AO4" s="740"/>
      <c r="AP4" s="832"/>
      <c r="AQ4" s="740"/>
      <c r="AR4" s="832"/>
      <c r="AS4" s="740"/>
    </row>
    <row r="5" spans="1:51" s="741" customFormat="1" ht="22.5" customHeight="1" thickBot="1">
      <c r="A5" s="495"/>
      <c r="B5" s="833"/>
      <c r="C5" s="834"/>
      <c r="D5" s="560"/>
      <c r="E5" s="560"/>
      <c r="F5" s="560"/>
      <c r="G5" s="560"/>
      <c r="H5" s="560"/>
      <c r="I5" s="560"/>
      <c r="J5" s="560"/>
      <c r="K5" s="560"/>
      <c r="L5" s="560" t="s">
        <v>2513</v>
      </c>
      <c r="M5" s="560" t="s">
        <v>2514</v>
      </c>
      <c r="N5" s="560" t="s">
        <v>2514</v>
      </c>
      <c r="O5" s="560"/>
      <c r="P5" s="835"/>
      <c r="Q5" s="531"/>
      <c r="R5" s="557"/>
      <c r="S5" s="836" t="s">
        <v>2515</v>
      </c>
      <c r="T5" s="526" t="s">
        <v>817</v>
      </c>
      <c r="U5" s="527" t="e">
        <f>U4-#REF!</f>
        <v>#REF!</v>
      </c>
      <c r="V5" s="532" t="s">
        <v>818</v>
      </c>
      <c r="W5" s="529" t="e">
        <f>(#REF!+BM5)/1100000</f>
        <v>#REF!</v>
      </c>
      <c r="X5" s="89"/>
      <c r="Y5" s="73"/>
      <c r="Z5" s="837"/>
      <c r="AA5" s="837"/>
      <c r="AB5" s="735" t="s">
        <v>817</v>
      </c>
      <c r="AC5" s="744" t="e">
        <f>AC4-#REF!</f>
        <v>#REF!</v>
      </c>
      <c r="AD5" s="749" t="s">
        <v>824</v>
      </c>
      <c r="AE5" s="738"/>
      <c r="AF5" s="763"/>
      <c r="AG5" s="747"/>
      <c r="AH5" s="763"/>
      <c r="AI5" s="747"/>
      <c r="AJ5" s="763"/>
      <c r="AK5" s="747"/>
      <c r="AL5" s="763"/>
      <c r="AM5" s="747"/>
      <c r="AN5" s="763"/>
      <c r="AO5" s="747"/>
      <c r="AP5" s="763"/>
      <c r="AQ5" s="747"/>
      <c r="AR5" s="763"/>
      <c r="AS5" s="747"/>
      <c r="AT5" s="745"/>
      <c r="AU5" s="745"/>
      <c r="AV5" s="745"/>
      <c r="AW5" s="745"/>
      <c r="AX5" s="745"/>
      <c r="AY5" s="745"/>
    </row>
    <row r="6" spans="1:51" s="741" customFormat="1" ht="22.5" hidden="1" customHeight="1">
      <c r="A6" s="490">
        <v>2</v>
      </c>
      <c r="B6" s="824">
        <v>1</v>
      </c>
      <c r="C6" s="825">
        <f>B6+D6+E6+F6+G6+H6+I6+J6+K6+L6+M6+N6+O6</f>
        <v>1</v>
      </c>
      <c r="D6" s="826"/>
      <c r="E6" s="826"/>
      <c r="F6" s="826"/>
      <c r="G6" s="826"/>
      <c r="H6" s="826"/>
      <c r="I6" s="826"/>
      <c r="J6" s="826"/>
      <c r="K6" s="826"/>
      <c r="L6" s="826"/>
      <c r="M6" s="826"/>
      <c r="N6" s="826"/>
      <c r="O6" s="826"/>
      <c r="P6" s="838"/>
      <c r="Q6" s="537" t="s">
        <v>2516</v>
      </c>
      <c r="R6" s="553" t="s">
        <v>2517</v>
      </c>
      <c r="S6" s="828" t="s">
        <v>2518</v>
      </c>
      <c r="T6" s="521" t="s">
        <v>814</v>
      </c>
      <c r="U6" s="522">
        <f t="shared" ref="U6:U7" si="0">BK6/1100000</f>
        <v>0</v>
      </c>
      <c r="V6" s="523" t="s">
        <v>832</v>
      </c>
      <c r="W6" s="524">
        <f t="shared" ref="W6" si="1">U6*0.8-(W7+W8)</f>
        <v>0</v>
      </c>
      <c r="X6" s="299" t="s">
        <v>812</v>
      </c>
      <c r="Y6" s="547" t="s">
        <v>813</v>
      </c>
      <c r="Z6" s="829" t="s">
        <v>2519</v>
      </c>
      <c r="AA6" s="829"/>
      <c r="AB6" s="735" t="s">
        <v>814</v>
      </c>
      <c r="AC6" s="794">
        <v>8915000000</v>
      </c>
      <c r="AD6" s="749" t="s">
        <v>35</v>
      </c>
      <c r="AE6" s="738">
        <f>SUM(AF6:AS6)</f>
        <v>211499826</v>
      </c>
      <c r="AF6" s="830" t="s">
        <v>1078</v>
      </c>
      <c r="AG6" s="831">
        <v>70499942</v>
      </c>
      <c r="AH6" s="832" t="s">
        <v>1079</v>
      </c>
      <c r="AI6" s="740">
        <f>AG6</f>
        <v>70499942</v>
      </c>
      <c r="AJ6" s="832" t="s">
        <v>2512</v>
      </c>
      <c r="AK6" s="740">
        <f>AG6</f>
        <v>70499942</v>
      </c>
      <c r="AL6" s="832" t="s">
        <v>55</v>
      </c>
      <c r="AM6" s="740"/>
      <c r="AN6" s="832" t="s">
        <v>52</v>
      </c>
      <c r="AO6" s="740"/>
      <c r="AP6" s="832"/>
      <c r="AQ6" s="740"/>
      <c r="AR6" s="832"/>
      <c r="AS6" s="740"/>
    </row>
    <row r="7" spans="1:51" s="741" customFormat="1" ht="22.5" hidden="1" customHeight="1" thickBot="1">
      <c r="A7" s="495"/>
      <c r="B7" s="833"/>
      <c r="C7" s="834"/>
      <c r="D7" s="530" t="e">
        <f>#REF!*D6</f>
        <v>#REF!</v>
      </c>
      <c r="E7" s="530" t="e">
        <f>#REF!*E6</f>
        <v>#REF!</v>
      </c>
      <c r="F7" s="530" t="e">
        <f>#REF!*F6</f>
        <v>#REF!</v>
      </c>
      <c r="G7" s="530" t="e">
        <f>#REF!*G6</f>
        <v>#REF!</v>
      </c>
      <c r="H7" s="530" t="e">
        <f>#REF!*H6</f>
        <v>#REF!</v>
      </c>
      <c r="I7" s="530" t="e">
        <f>#REF!*I6</f>
        <v>#REF!</v>
      </c>
      <c r="J7" s="530" t="e">
        <f>#REF!*J6</f>
        <v>#REF!</v>
      </c>
      <c r="K7" s="530" t="e">
        <f>#REF!*K6</f>
        <v>#REF!</v>
      </c>
      <c r="L7" s="530" t="e">
        <f>#REF!*L6</f>
        <v>#REF!</v>
      </c>
      <c r="M7" s="530" t="e">
        <f>#REF!*M6</f>
        <v>#REF!</v>
      </c>
      <c r="N7" s="530" t="e">
        <f>#REF!*N6</f>
        <v>#REF!</v>
      </c>
      <c r="O7" s="530" t="e">
        <f>#REF!*O6</f>
        <v>#REF!</v>
      </c>
      <c r="P7" s="839"/>
      <c r="Q7" s="531"/>
      <c r="R7" s="557"/>
      <c r="S7" s="840" t="s">
        <v>37</v>
      </c>
      <c r="T7" s="526" t="s">
        <v>10</v>
      </c>
      <c r="U7" s="527">
        <f t="shared" si="0"/>
        <v>0</v>
      </c>
      <c r="V7" s="528" t="s">
        <v>104</v>
      </c>
      <c r="W7" s="529">
        <f t="shared" ref="W7" si="2">BM6/1000000</f>
        <v>0</v>
      </c>
      <c r="X7" s="548" t="e">
        <f>(C6-B6)*#REF!</f>
        <v>#REF!</v>
      </c>
      <c r="Y7" s="743" t="e">
        <f>(1-C6)*#REF!</f>
        <v>#REF!</v>
      </c>
      <c r="Z7" s="837"/>
      <c r="AA7" s="837"/>
      <c r="AB7" s="735" t="s">
        <v>10</v>
      </c>
      <c r="AC7" s="794">
        <v>8915000000</v>
      </c>
      <c r="AD7" s="749" t="s">
        <v>95</v>
      </c>
      <c r="AE7" s="738">
        <f>SUM(AF7:AS7)</f>
        <v>9900000</v>
      </c>
      <c r="AF7" s="830" t="s">
        <v>56</v>
      </c>
      <c r="AG7" s="740"/>
      <c r="AH7" s="832" t="s">
        <v>12</v>
      </c>
      <c r="AI7" s="740"/>
      <c r="AJ7" s="832" t="s">
        <v>204</v>
      </c>
      <c r="AK7" s="740"/>
      <c r="AL7" s="832" t="s">
        <v>13</v>
      </c>
      <c r="AM7" s="740"/>
      <c r="AN7" s="832" t="s">
        <v>207</v>
      </c>
      <c r="AO7" s="740"/>
      <c r="AP7" s="832" t="s">
        <v>2520</v>
      </c>
      <c r="AQ7" s="740">
        <f>9000000*1.1</f>
        <v>9900000</v>
      </c>
      <c r="AR7" s="832"/>
      <c r="AS7" s="740"/>
      <c r="AT7" s="745"/>
      <c r="AU7" s="745"/>
      <c r="AV7" s="745"/>
      <c r="AW7" s="745"/>
      <c r="AX7" s="745"/>
      <c r="AY7" s="745"/>
    </row>
    <row r="8" spans="1:51" s="741" customFormat="1" ht="22.5" hidden="1" customHeight="1">
      <c r="A8" s="495"/>
      <c r="B8" s="833"/>
      <c r="C8" s="834"/>
      <c r="D8" s="560"/>
      <c r="E8" s="560"/>
      <c r="F8" s="560"/>
      <c r="G8" s="560"/>
      <c r="H8" s="560"/>
      <c r="I8" s="841"/>
      <c r="J8" s="560"/>
      <c r="K8" s="560"/>
      <c r="L8" s="560"/>
      <c r="M8" s="560"/>
      <c r="N8" s="560"/>
      <c r="O8" s="560"/>
      <c r="P8" s="842"/>
      <c r="Q8" s="531"/>
      <c r="R8" s="557"/>
      <c r="S8" s="843" t="s">
        <v>67</v>
      </c>
      <c r="T8" s="526" t="s">
        <v>196</v>
      </c>
      <c r="U8" s="527">
        <f t="shared" ref="U8" si="3">U6-U7</f>
        <v>0</v>
      </c>
      <c r="V8" s="532" t="s">
        <v>15</v>
      </c>
      <c r="W8" s="529">
        <f t="shared" ref="W8" si="4">(BM7+BM8)/1100000</f>
        <v>0</v>
      </c>
      <c r="X8" s="89"/>
      <c r="Y8" s="73"/>
      <c r="Z8" s="837"/>
      <c r="AA8" s="837"/>
      <c r="AB8" s="735" t="s">
        <v>196</v>
      </c>
      <c r="AC8" s="744">
        <f>AC6-AC7</f>
        <v>0</v>
      </c>
      <c r="AD8" s="749" t="s">
        <v>100</v>
      </c>
      <c r="AE8" s="738"/>
      <c r="AF8" s="763"/>
      <c r="AG8" s="747"/>
      <c r="AH8" s="763"/>
      <c r="AI8" s="747"/>
      <c r="AJ8" s="763"/>
      <c r="AK8" s="747"/>
      <c r="AL8" s="763"/>
      <c r="AM8" s="747"/>
      <c r="AN8" s="763"/>
      <c r="AO8" s="747"/>
      <c r="AP8" s="763"/>
      <c r="AQ8" s="747"/>
      <c r="AR8" s="763"/>
      <c r="AS8" s="747"/>
      <c r="AT8" s="745"/>
      <c r="AU8" s="745"/>
      <c r="AV8" s="745"/>
      <c r="AW8" s="745"/>
      <c r="AX8" s="745"/>
      <c r="AY8" s="745"/>
    </row>
    <row r="9" spans="1:51" s="741" customFormat="1" ht="22.5" hidden="1" customHeight="1" thickBot="1">
      <c r="A9" s="502"/>
      <c r="B9" s="844"/>
      <c r="C9" s="845"/>
      <c r="D9" s="562"/>
      <c r="E9" s="562"/>
      <c r="F9" s="562"/>
      <c r="G9" s="562"/>
      <c r="H9" s="562"/>
      <c r="I9" s="846"/>
      <c r="J9" s="562"/>
      <c r="K9" s="562"/>
      <c r="L9" s="562"/>
      <c r="M9" s="562"/>
      <c r="N9" s="562"/>
      <c r="O9" s="562"/>
      <c r="P9" s="592" t="e">
        <f>(C6-#REF!)*#REF!</f>
        <v>#REF!</v>
      </c>
      <c r="Q9" s="534"/>
      <c r="R9" s="546" t="s">
        <v>50</v>
      </c>
      <c r="S9" s="847" t="s">
        <v>271</v>
      </c>
      <c r="T9" s="535" t="s">
        <v>17</v>
      </c>
      <c r="U9" s="536" t="e">
        <f t="shared" ref="U9" si="5">ROUNDDOWN((U7/U6),3)</f>
        <v>#DIV/0!</v>
      </c>
      <c r="V9" s="535" t="s">
        <v>88</v>
      </c>
      <c r="W9" s="536" t="e">
        <f>(U6-(W7+W8)/0.7)/U6</f>
        <v>#DIV/0!</v>
      </c>
      <c r="X9" s="549"/>
      <c r="Y9" s="550"/>
      <c r="Z9" s="848"/>
      <c r="AA9" s="848"/>
      <c r="AB9" s="735"/>
      <c r="AC9" s="748">
        <f>AC7/AC6</f>
        <v>1</v>
      </c>
      <c r="AD9" s="764" t="s">
        <v>103</v>
      </c>
      <c r="AE9" s="750">
        <f>SUM(AE6:AE8)</f>
        <v>221399826</v>
      </c>
      <c r="AF9" s="763"/>
      <c r="AG9" s="747"/>
      <c r="AH9" s="763"/>
      <c r="AI9" s="747"/>
      <c r="AJ9" s="763"/>
      <c r="AK9" s="747"/>
      <c r="AL9" s="763"/>
      <c r="AM9" s="747"/>
      <c r="AN9" s="763"/>
      <c r="AO9" s="747"/>
      <c r="AP9" s="763"/>
      <c r="AQ9" s="747"/>
      <c r="AR9" s="763"/>
      <c r="AS9" s="747"/>
    </row>
    <row r="10" spans="1:51" s="741" customFormat="1" ht="22.5" hidden="1" customHeight="1">
      <c r="A10" s="490">
        <v>3</v>
      </c>
      <c r="B10" s="824">
        <v>1</v>
      </c>
      <c r="C10" s="849">
        <f>B10+D10+E10+F10+G10+H10+I10+J10+K10+L10+M10+N10+O10</f>
        <v>1</v>
      </c>
      <c r="D10" s="826"/>
      <c r="E10" s="826"/>
      <c r="F10" s="826"/>
      <c r="G10" s="826"/>
      <c r="H10" s="826"/>
      <c r="I10" s="826"/>
      <c r="J10" s="826"/>
      <c r="K10" s="826"/>
      <c r="L10" s="826"/>
      <c r="M10" s="826"/>
      <c r="N10" s="826"/>
      <c r="O10" s="826"/>
      <c r="P10" s="827"/>
      <c r="Q10" s="537" t="s">
        <v>2521</v>
      </c>
      <c r="R10" s="553" t="s">
        <v>2522</v>
      </c>
      <c r="S10" s="828" t="s">
        <v>2523</v>
      </c>
      <c r="T10" s="521" t="s">
        <v>89</v>
      </c>
      <c r="U10" s="522">
        <f t="shared" ref="U10:U11" si="6">BK10/1100000</f>
        <v>0</v>
      </c>
      <c r="V10" s="523" t="s">
        <v>7</v>
      </c>
      <c r="W10" s="524">
        <f t="shared" ref="W10" si="7">U10*0.8-(W11+W12)</f>
        <v>0</v>
      </c>
      <c r="X10" s="299" t="s">
        <v>90</v>
      </c>
      <c r="Y10" s="547" t="s">
        <v>34</v>
      </c>
      <c r="Z10" s="829" t="s">
        <v>2524</v>
      </c>
      <c r="AA10" s="829"/>
      <c r="AB10" s="735" t="s">
        <v>89</v>
      </c>
      <c r="AC10" s="794">
        <v>138807200</v>
      </c>
      <c r="AD10" s="749" t="s">
        <v>98</v>
      </c>
      <c r="AE10" s="738">
        <f>SUM(AF10:AS10)</f>
        <v>0</v>
      </c>
      <c r="AF10" s="830" t="s">
        <v>1104</v>
      </c>
      <c r="AG10" s="740"/>
      <c r="AH10" s="832" t="s">
        <v>1105</v>
      </c>
      <c r="AI10" s="740">
        <f>AG10</f>
        <v>0</v>
      </c>
      <c r="AJ10" s="832" t="s">
        <v>2512</v>
      </c>
      <c r="AK10" s="740">
        <f>AG10</f>
        <v>0</v>
      </c>
      <c r="AL10" s="832" t="s">
        <v>55</v>
      </c>
      <c r="AM10" s="740"/>
      <c r="AN10" s="832" t="s">
        <v>52</v>
      </c>
      <c r="AO10" s="740"/>
      <c r="AP10" s="832"/>
      <c r="AQ10" s="740"/>
      <c r="AR10" s="832"/>
      <c r="AS10" s="740"/>
    </row>
    <row r="11" spans="1:51" s="741" customFormat="1" ht="22.5" hidden="1" customHeight="1" thickBot="1">
      <c r="A11" s="495"/>
      <c r="B11" s="833"/>
      <c r="C11" s="850"/>
      <c r="D11" s="530" t="e">
        <f>#REF!*D10</f>
        <v>#REF!</v>
      </c>
      <c r="E11" s="530" t="e">
        <f>#REF!*E10</f>
        <v>#REF!</v>
      </c>
      <c r="F11" s="530" t="e">
        <f>#REF!*F10</f>
        <v>#REF!</v>
      </c>
      <c r="G11" s="530" t="e">
        <f>#REF!*G10</f>
        <v>#REF!</v>
      </c>
      <c r="H11" s="530" t="e">
        <f>#REF!*H10</f>
        <v>#REF!</v>
      </c>
      <c r="I11" s="530" t="e">
        <f>#REF!*I10</f>
        <v>#REF!</v>
      </c>
      <c r="J11" s="530" t="e">
        <f>#REF!*J10</f>
        <v>#REF!</v>
      </c>
      <c r="K11" s="530" t="e">
        <f>#REF!*K10</f>
        <v>#REF!</v>
      </c>
      <c r="L11" s="530" t="e">
        <f>#REF!*L10</f>
        <v>#REF!</v>
      </c>
      <c r="M11" s="530" t="e">
        <f>#REF!*M10</f>
        <v>#REF!</v>
      </c>
      <c r="N11" s="530" t="e">
        <f>#REF!*N10</f>
        <v>#REF!</v>
      </c>
      <c r="O11" s="530" t="e">
        <f>#REF!*O10</f>
        <v>#REF!</v>
      </c>
      <c r="P11" s="851"/>
      <c r="Q11" s="531"/>
      <c r="R11" s="557"/>
      <c r="S11" s="840" t="s">
        <v>71</v>
      </c>
      <c r="T11" s="526" t="s">
        <v>10</v>
      </c>
      <c r="U11" s="527">
        <f t="shared" si="6"/>
        <v>0</v>
      </c>
      <c r="V11" s="528" t="s">
        <v>104</v>
      </c>
      <c r="W11" s="529">
        <f t="shared" ref="W11" si="8">BM10/1000000</f>
        <v>0</v>
      </c>
      <c r="X11" s="548" t="e">
        <f>(C10-B10)*#REF!</f>
        <v>#REF!</v>
      </c>
      <c r="Y11" s="743" t="e">
        <f>(1-C10)*#REF!</f>
        <v>#REF!</v>
      </c>
      <c r="Z11" s="837"/>
      <c r="AA11" s="837"/>
      <c r="AB11" s="735" t="s">
        <v>10</v>
      </c>
      <c r="AC11" s="794">
        <v>138806300</v>
      </c>
      <c r="AD11" s="749" t="s">
        <v>95</v>
      </c>
      <c r="AE11" s="738">
        <f>SUM(AF11:AS11)</f>
        <v>0</v>
      </c>
      <c r="AF11" s="830" t="s">
        <v>56</v>
      </c>
      <c r="AG11" s="740"/>
      <c r="AH11" s="832" t="s">
        <v>12</v>
      </c>
      <c r="AI11" s="740"/>
      <c r="AJ11" s="832" t="s">
        <v>204</v>
      </c>
      <c r="AK11" s="740"/>
      <c r="AL11" s="832" t="s">
        <v>13</v>
      </c>
      <c r="AM11" s="740"/>
      <c r="AN11" s="832" t="s">
        <v>207</v>
      </c>
      <c r="AO11" s="740"/>
      <c r="AP11" s="832"/>
      <c r="AQ11" s="740"/>
      <c r="AR11" s="832"/>
      <c r="AS11" s="740"/>
      <c r="AT11" s="745"/>
      <c r="AU11" s="745"/>
      <c r="AV11" s="745"/>
      <c r="AW11" s="745"/>
      <c r="AX11" s="745"/>
      <c r="AY11" s="745"/>
    </row>
    <row r="12" spans="1:51" s="741" customFormat="1" ht="22.5" hidden="1" customHeight="1">
      <c r="A12" s="495"/>
      <c r="B12" s="833"/>
      <c r="C12" s="850"/>
      <c r="D12" s="560"/>
      <c r="E12" s="560"/>
      <c r="F12" s="560"/>
      <c r="G12" s="560"/>
      <c r="H12" s="560"/>
      <c r="I12" s="560"/>
      <c r="J12" s="560"/>
      <c r="K12" s="560"/>
      <c r="L12" s="560"/>
      <c r="M12" s="560"/>
      <c r="N12" s="560"/>
      <c r="O12" s="560"/>
      <c r="P12" s="835"/>
      <c r="Q12" s="531"/>
      <c r="R12" s="557"/>
      <c r="S12" s="843" t="s">
        <v>67</v>
      </c>
      <c r="T12" s="526" t="s">
        <v>196</v>
      </c>
      <c r="U12" s="527">
        <f t="shared" ref="U12" si="9">U10-U11</f>
        <v>0</v>
      </c>
      <c r="V12" s="532" t="s">
        <v>15</v>
      </c>
      <c r="W12" s="529">
        <f t="shared" ref="W12" si="10">(BM11+BM12)/1100000</f>
        <v>0</v>
      </c>
      <c r="X12" s="89"/>
      <c r="Y12" s="73"/>
      <c r="Z12" s="837"/>
      <c r="AA12" s="837"/>
      <c r="AB12" s="735" t="s">
        <v>196</v>
      </c>
      <c r="AC12" s="744">
        <f>AC10-AC11</f>
        <v>900</v>
      </c>
      <c r="AD12" s="749" t="s">
        <v>100</v>
      </c>
      <c r="AE12" s="738"/>
      <c r="AF12" s="763"/>
      <c r="AG12" s="747"/>
      <c r="AH12" s="763"/>
      <c r="AI12" s="747"/>
      <c r="AJ12" s="763"/>
      <c r="AK12" s="747"/>
      <c r="AL12" s="763"/>
      <c r="AM12" s="747"/>
      <c r="AN12" s="763"/>
      <c r="AO12" s="747"/>
      <c r="AP12" s="763"/>
      <c r="AQ12" s="747"/>
      <c r="AR12" s="763"/>
      <c r="AS12" s="747"/>
      <c r="AT12" s="745"/>
      <c r="AU12" s="745"/>
      <c r="AV12" s="745"/>
      <c r="AW12" s="745"/>
      <c r="AX12" s="745"/>
      <c r="AY12" s="745"/>
    </row>
    <row r="13" spans="1:51" s="741" customFormat="1" ht="22.5" hidden="1" customHeight="1" thickBot="1">
      <c r="A13" s="502"/>
      <c r="B13" s="844"/>
      <c r="C13" s="852"/>
      <c r="D13" s="562"/>
      <c r="E13" s="562"/>
      <c r="F13" s="562"/>
      <c r="G13" s="562"/>
      <c r="H13" s="562"/>
      <c r="I13" s="562"/>
      <c r="J13" s="562"/>
      <c r="K13" s="562"/>
      <c r="L13" s="562"/>
      <c r="M13" s="562"/>
      <c r="N13" s="562"/>
      <c r="O13" s="562"/>
      <c r="P13" s="592" t="e">
        <f>(C10-#REF!)*#REF!*0</f>
        <v>#REF!</v>
      </c>
      <c r="Q13" s="534"/>
      <c r="R13" s="546" t="s">
        <v>139</v>
      </c>
      <c r="S13" s="847" t="s">
        <v>75</v>
      </c>
      <c r="T13" s="535" t="s">
        <v>17</v>
      </c>
      <c r="U13" s="536" t="e">
        <f t="shared" ref="U13" si="11">ROUNDDOWN((U11/U10),3)</f>
        <v>#DIV/0!</v>
      </c>
      <c r="V13" s="535" t="s">
        <v>88</v>
      </c>
      <c r="W13" s="536" t="e">
        <f t="shared" ref="W13" si="12">(U10-(W11+W12)/0.7)/U10</f>
        <v>#DIV/0!</v>
      </c>
      <c r="X13" s="549"/>
      <c r="Y13" s="550"/>
      <c r="Z13" s="848"/>
      <c r="AA13" s="848"/>
      <c r="AB13" s="735"/>
      <c r="AC13" s="748">
        <f>AC11/AC10</f>
        <v>0.99999351618648025</v>
      </c>
      <c r="AD13" s="764" t="s">
        <v>103</v>
      </c>
      <c r="AE13" s="750">
        <f>SUM(AE10:AE12)</f>
        <v>0</v>
      </c>
      <c r="AF13" s="763"/>
      <c r="AG13" s="747"/>
      <c r="AH13" s="763"/>
      <c r="AI13" s="747"/>
      <c r="AJ13" s="763"/>
      <c r="AK13" s="747"/>
      <c r="AL13" s="763"/>
      <c r="AM13" s="747"/>
      <c r="AN13" s="763"/>
      <c r="AO13" s="747"/>
      <c r="AP13" s="763"/>
      <c r="AQ13" s="747"/>
      <c r="AR13" s="763"/>
      <c r="AS13" s="747"/>
    </row>
    <row r="14" spans="1:51" s="741" customFormat="1" ht="22.5" hidden="1" customHeight="1">
      <c r="A14" s="490">
        <v>4</v>
      </c>
      <c r="B14" s="824">
        <v>1</v>
      </c>
      <c r="C14" s="825">
        <f>B14+D14+E14+F14+G14+H14+I14+J14+K14+L14+M14+N14+O14</f>
        <v>1</v>
      </c>
      <c r="D14" s="826"/>
      <c r="E14" s="826"/>
      <c r="F14" s="826"/>
      <c r="G14" s="826"/>
      <c r="H14" s="826"/>
      <c r="I14" s="826"/>
      <c r="J14" s="826"/>
      <c r="K14" s="826"/>
      <c r="L14" s="826"/>
      <c r="M14" s="826"/>
      <c r="N14" s="826"/>
      <c r="O14" s="826"/>
      <c r="P14" s="838"/>
      <c r="Q14" s="537" t="s">
        <v>2525</v>
      </c>
      <c r="R14" s="553" t="s">
        <v>2526</v>
      </c>
      <c r="S14" s="828" t="s">
        <v>2527</v>
      </c>
      <c r="T14" s="521" t="s">
        <v>89</v>
      </c>
      <c r="U14" s="522">
        <f t="shared" ref="U14:U15" si="13">BK14/1100000</f>
        <v>0</v>
      </c>
      <c r="V14" s="523" t="s">
        <v>7</v>
      </c>
      <c r="W14" s="524">
        <f t="shared" ref="W14" si="14">U14*0.8-(W15+W16)</f>
        <v>0</v>
      </c>
      <c r="X14" s="299" t="s">
        <v>90</v>
      </c>
      <c r="Y14" s="547" t="s">
        <v>34</v>
      </c>
      <c r="Z14" s="829" t="s">
        <v>2528</v>
      </c>
      <c r="AA14" s="829"/>
      <c r="AB14" s="735" t="s">
        <v>89</v>
      </c>
      <c r="AC14" s="794">
        <f>1517200000*0.3</f>
        <v>455160000</v>
      </c>
      <c r="AD14" s="749" t="s">
        <v>98</v>
      </c>
      <c r="AE14" s="738">
        <f>SUM(AF14:AS14)</f>
        <v>0</v>
      </c>
      <c r="AF14" s="830" t="s">
        <v>1104</v>
      </c>
      <c r="AG14" s="740"/>
      <c r="AH14" s="832" t="s">
        <v>1105</v>
      </c>
      <c r="AI14" s="740">
        <f>AG14</f>
        <v>0</v>
      </c>
      <c r="AJ14" s="832" t="s">
        <v>2512</v>
      </c>
      <c r="AK14" s="740">
        <f>AG14</f>
        <v>0</v>
      </c>
      <c r="AL14" s="832" t="s">
        <v>796</v>
      </c>
      <c r="AM14" s="740"/>
      <c r="AN14" s="832" t="s">
        <v>1081</v>
      </c>
      <c r="AO14" s="740"/>
      <c r="AP14" s="832"/>
      <c r="AQ14" s="740"/>
      <c r="AR14" s="832"/>
      <c r="AS14" s="740"/>
    </row>
    <row r="15" spans="1:51" s="741" customFormat="1" ht="22.5" hidden="1" customHeight="1" thickBot="1">
      <c r="A15" s="495"/>
      <c r="B15" s="833"/>
      <c r="C15" s="834"/>
      <c r="D15" s="530" t="e">
        <f>#REF!*D14</f>
        <v>#REF!</v>
      </c>
      <c r="E15" s="530" t="e">
        <f>#REF!*E14</f>
        <v>#REF!</v>
      </c>
      <c r="F15" s="530" t="e">
        <f>#REF!*F14</f>
        <v>#REF!</v>
      </c>
      <c r="G15" s="530" t="e">
        <f>#REF!*G14</f>
        <v>#REF!</v>
      </c>
      <c r="H15" s="530" t="e">
        <f>#REF!*H14</f>
        <v>#REF!</v>
      </c>
      <c r="I15" s="530" t="e">
        <f>#REF!*I14</f>
        <v>#REF!</v>
      </c>
      <c r="J15" s="530" t="e">
        <f>#REF!*J14</f>
        <v>#REF!</v>
      </c>
      <c r="K15" s="530" t="e">
        <f>#REF!*K14</f>
        <v>#REF!</v>
      </c>
      <c r="L15" s="530" t="e">
        <f>#REF!*L14</f>
        <v>#REF!</v>
      </c>
      <c r="M15" s="530" t="e">
        <f>#REF!*M14</f>
        <v>#REF!</v>
      </c>
      <c r="N15" s="530" t="e">
        <f>#REF!*N14</f>
        <v>#REF!</v>
      </c>
      <c r="O15" s="530" t="e">
        <f>#REF!*O14</f>
        <v>#REF!</v>
      </c>
      <c r="P15" s="839"/>
      <c r="Q15" s="531"/>
      <c r="R15" s="557"/>
      <c r="S15" s="840" t="s">
        <v>2529</v>
      </c>
      <c r="T15" s="526" t="s">
        <v>798</v>
      </c>
      <c r="U15" s="527">
        <f t="shared" si="13"/>
        <v>0</v>
      </c>
      <c r="V15" s="528" t="s">
        <v>799</v>
      </c>
      <c r="W15" s="529">
        <f t="shared" ref="W15" si="15">BM14/1000000</f>
        <v>0</v>
      </c>
      <c r="X15" s="548" t="e">
        <f>(C14-B14)*#REF!</f>
        <v>#REF!</v>
      </c>
      <c r="Y15" s="743" t="e">
        <f>(1-C14)*#REF!</f>
        <v>#REF!</v>
      </c>
      <c r="Z15" s="837"/>
      <c r="AA15" s="837"/>
      <c r="AB15" s="735" t="s">
        <v>798</v>
      </c>
      <c r="AC15" s="794">
        <v>455160000</v>
      </c>
      <c r="AD15" s="749" t="s">
        <v>801</v>
      </c>
      <c r="AE15" s="738">
        <f>SUM(AF15:AS15)</f>
        <v>0</v>
      </c>
      <c r="AF15" s="830" t="s">
        <v>815</v>
      </c>
      <c r="AG15" s="740"/>
      <c r="AH15" s="832" t="s">
        <v>890</v>
      </c>
      <c r="AI15" s="740"/>
      <c r="AJ15" s="832" t="s">
        <v>1089</v>
      </c>
      <c r="AK15" s="740"/>
      <c r="AL15" s="832" t="s">
        <v>1090</v>
      </c>
      <c r="AM15" s="740"/>
      <c r="AN15" s="832" t="s">
        <v>1080</v>
      </c>
      <c r="AO15" s="740"/>
      <c r="AP15" s="832"/>
      <c r="AQ15" s="740"/>
      <c r="AR15" s="832"/>
      <c r="AS15" s="740"/>
      <c r="AT15" s="745"/>
      <c r="AU15" s="745"/>
      <c r="AV15" s="745"/>
      <c r="AW15" s="745"/>
      <c r="AX15" s="745"/>
      <c r="AY15" s="745"/>
    </row>
    <row r="16" spans="1:51" s="741" customFormat="1" ht="22.5" hidden="1" customHeight="1">
      <c r="A16" s="495"/>
      <c r="B16" s="833"/>
      <c r="C16" s="834"/>
      <c r="D16" s="560"/>
      <c r="E16" s="560"/>
      <c r="F16" s="560"/>
      <c r="G16" s="560"/>
      <c r="H16" s="560"/>
      <c r="I16" s="560"/>
      <c r="J16" s="560"/>
      <c r="K16" s="560"/>
      <c r="L16" s="560"/>
      <c r="M16" s="560"/>
      <c r="N16" s="560"/>
      <c r="O16" s="560"/>
      <c r="P16" s="842"/>
      <c r="Q16" s="531"/>
      <c r="R16" s="557"/>
      <c r="S16" s="843" t="s">
        <v>816</v>
      </c>
      <c r="T16" s="526" t="s">
        <v>817</v>
      </c>
      <c r="U16" s="527">
        <f t="shared" ref="U16" si="16">U14-U15</f>
        <v>0</v>
      </c>
      <c r="V16" s="532" t="s">
        <v>818</v>
      </c>
      <c r="W16" s="529">
        <f t="shared" ref="W16" si="17">(BM15+BM16)/1100000</f>
        <v>0</v>
      </c>
      <c r="X16" s="89"/>
      <c r="Y16" s="73"/>
      <c r="Z16" s="837"/>
      <c r="AA16" s="837"/>
      <c r="AB16" s="735" t="s">
        <v>817</v>
      </c>
      <c r="AC16" s="744">
        <f>AC14-AC15</f>
        <v>0</v>
      </c>
      <c r="AD16" s="749" t="s">
        <v>824</v>
      </c>
      <c r="AE16" s="738"/>
      <c r="AF16" s="763"/>
      <c r="AG16" s="747"/>
      <c r="AH16" s="763"/>
      <c r="AI16" s="747"/>
      <c r="AJ16" s="763"/>
      <c r="AK16" s="747"/>
      <c r="AL16" s="763"/>
      <c r="AM16" s="747"/>
      <c r="AN16" s="763"/>
      <c r="AO16" s="747"/>
      <c r="AP16" s="763"/>
      <c r="AQ16" s="747"/>
      <c r="AR16" s="763"/>
      <c r="AS16" s="747"/>
      <c r="AT16" s="745"/>
      <c r="AU16" s="745"/>
      <c r="AV16" s="745"/>
      <c r="AW16" s="745"/>
      <c r="AX16" s="745"/>
      <c r="AY16" s="745"/>
    </row>
    <row r="17" spans="1:51" s="741" customFormat="1" ht="22.5" hidden="1" customHeight="1" thickBot="1">
      <c r="A17" s="502"/>
      <c r="B17" s="844"/>
      <c r="C17" s="845"/>
      <c r="D17" s="562"/>
      <c r="E17" s="562"/>
      <c r="F17" s="562"/>
      <c r="G17" s="562"/>
      <c r="H17" s="562"/>
      <c r="I17" s="562"/>
      <c r="J17" s="562"/>
      <c r="K17" s="562"/>
      <c r="L17" s="562"/>
      <c r="M17" s="562"/>
      <c r="N17" s="562"/>
      <c r="O17" s="562"/>
      <c r="P17" s="592" t="e">
        <f>(C14-#REF!)*#REF!</f>
        <v>#REF!</v>
      </c>
      <c r="Q17" s="534"/>
      <c r="R17" s="546" t="s">
        <v>2530</v>
      </c>
      <c r="S17" s="847" t="s">
        <v>2531</v>
      </c>
      <c r="T17" s="535" t="s">
        <v>826</v>
      </c>
      <c r="U17" s="536" t="e">
        <f t="shared" ref="U17" si="18">ROUNDDOWN((U15/U14),3)</f>
        <v>#DIV/0!</v>
      </c>
      <c r="V17" s="535" t="s">
        <v>827</v>
      </c>
      <c r="W17" s="536" t="e">
        <f t="shared" ref="W17" si="19">(U14-(W15+W16)/0.7)/U14</f>
        <v>#DIV/0!</v>
      </c>
      <c r="X17" s="549"/>
      <c r="Y17" s="550"/>
      <c r="Z17" s="848"/>
      <c r="AA17" s="848"/>
      <c r="AB17" s="735"/>
      <c r="AC17" s="748">
        <f>AC15/AC14</f>
        <v>1</v>
      </c>
      <c r="AD17" s="764" t="s">
        <v>828</v>
      </c>
      <c r="AE17" s="750">
        <f>SUM(AE14:AE16)</f>
        <v>0</v>
      </c>
      <c r="AF17" s="763"/>
      <c r="AG17" s="747"/>
      <c r="AH17" s="763"/>
      <c r="AI17" s="747"/>
      <c r="AJ17" s="763"/>
      <c r="AK17" s="747"/>
      <c r="AL17" s="763"/>
      <c r="AM17" s="747"/>
      <c r="AN17" s="763"/>
      <c r="AO17" s="747"/>
      <c r="AP17" s="763"/>
      <c r="AQ17" s="747"/>
      <c r="AR17" s="763"/>
      <c r="AS17" s="747"/>
    </row>
    <row r="18" spans="1:51" s="741" customFormat="1" ht="22.5" hidden="1" customHeight="1">
      <c r="A18" s="490">
        <v>5</v>
      </c>
      <c r="B18" s="824">
        <v>1</v>
      </c>
      <c r="C18" s="825">
        <f>B18+D18+E18+F18+G18+H18+I18+J18+K18+L18+M18+N18+O18</f>
        <v>1</v>
      </c>
      <c r="D18" s="826"/>
      <c r="E18" s="826"/>
      <c r="F18" s="826"/>
      <c r="G18" s="853"/>
      <c r="H18" s="826"/>
      <c r="I18" s="853"/>
      <c r="J18" s="826"/>
      <c r="K18" s="826"/>
      <c r="L18" s="826"/>
      <c r="M18" s="826"/>
      <c r="N18" s="826"/>
      <c r="O18" s="826"/>
      <c r="P18" s="838"/>
      <c r="Q18" s="537" t="s">
        <v>2532</v>
      </c>
      <c r="R18" s="553" t="s">
        <v>2533</v>
      </c>
      <c r="S18" s="828" t="s">
        <v>2534</v>
      </c>
      <c r="T18" s="521" t="s">
        <v>814</v>
      </c>
      <c r="U18" s="522">
        <f t="shared" ref="U18:U19" si="20">BK18/1100000</f>
        <v>0</v>
      </c>
      <c r="V18" s="523" t="s">
        <v>832</v>
      </c>
      <c r="W18" s="524">
        <f t="shared" ref="W18" si="21">U18*0.8-(W19+W20)</f>
        <v>0</v>
      </c>
      <c r="X18" s="299" t="s">
        <v>812</v>
      </c>
      <c r="Y18" s="547" t="s">
        <v>813</v>
      </c>
      <c r="Z18" s="829" t="s">
        <v>2535</v>
      </c>
      <c r="AA18" s="829"/>
      <c r="AB18" s="735" t="s">
        <v>814</v>
      </c>
      <c r="AC18" s="794">
        <f>2856000000*0.7</f>
        <v>1999199999.9999998</v>
      </c>
      <c r="AD18" s="749" t="s">
        <v>35</v>
      </c>
      <c r="AE18" s="738">
        <f>SUM(AF18:AS18)</f>
        <v>49057608</v>
      </c>
      <c r="AF18" s="830" t="s">
        <v>1078</v>
      </c>
      <c r="AG18" s="740">
        <v>16352536</v>
      </c>
      <c r="AH18" s="832" t="s">
        <v>1079</v>
      </c>
      <c r="AI18" s="740">
        <f>AG18</f>
        <v>16352536</v>
      </c>
      <c r="AJ18" s="832" t="s">
        <v>2512</v>
      </c>
      <c r="AK18" s="740">
        <f>AG18</f>
        <v>16352536</v>
      </c>
      <c r="AL18" s="832" t="s">
        <v>796</v>
      </c>
      <c r="AM18" s="740"/>
      <c r="AN18" s="832" t="s">
        <v>1081</v>
      </c>
      <c r="AO18" s="740"/>
      <c r="AP18" s="832"/>
      <c r="AQ18" s="740"/>
      <c r="AR18" s="832"/>
      <c r="AS18" s="740"/>
    </row>
    <row r="19" spans="1:51" s="741" customFormat="1" ht="22.5" hidden="1" customHeight="1" thickBot="1">
      <c r="A19" s="495"/>
      <c r="B19" s="833"/>
      <c r="C19" s="834"/>
      <c r="D19" s="530" t="e">
        <f>#REF!*D18</f>
        <v>#REF!</v>
      </c>
      <c r="E19" s="530" t="e">
        <f>#REF!*E18</f>
        <v>#REF!</v>
      </c>
      <c r="F19" s="530" t="e">
        <f>#REF!*F18</f>
        <v>#REF!</v>
      </c>
      <c r="G19" s="530" t="e">
        <f>#REF!*G18</f>
        <v>#REF!</v>
      </c>
      <c r="H19" s="530" t="e">
        <f>#REF!*H18</f>
        <v>#REF!</v>
      </c>
      <c r="I19" s="530" t="e">
        <f>#REF!*I18</f>
        <v>#REF!</v>
      </c>
      <c r="J19" s="530" t="e">
        <f>#REF!*J18</f>
        <v>#REF!</v>
      </c>
      <c r="K19" s="530" t="e">
        <f>#REF!*K18</f>
        <v>#REF!</v>
      </c>
      <c r="L19" s="530" t="e">
        <f>#REF!*L18</f>
        <v>#REF!</v>
      </c>
      <c r="M19" s="530" t="e">
        <f>#REF!*M18</f>
        <v>#REF!</v>
      </c>
      <c r="N19" s="530" t="e">
        <f>#REF!*N18</f>
        <v>#REF!</v>
      </c>
      <c r="O19" s="530" t="e">
        <f>#REF!*O18</f>
        <v>#REF!</v>
      </c>
      <c r="P19" s="839"/>
      <c r="Q19" s="531"/>
      <c r="R19" s="557"/>
      <c r="S19" s="840" t="s">
        <v>2536</v>
      </c>
      <c r="T19" s="526" t="s">
        <v>798</v>
      </c>
      <c r="U19" s="527">
        <f t="shared" si="20"/>
        <v>0</v>
      </c>
      <c r="V19" s="528" t="s">
        <v>799</v>
      </c>
      <c r="W19" s="529">
        <f t="shared" ref="W19" si="22">BM18/1000000</f>
        <v>0</v>
      </c>
      <c r="X19" s="548" t="e">
        <f>(C18-B18)*#REF!</f>
        <v>#REF!</v>
      </c>
      <c r="Y19" s="743" t="e">
        <f>(1-C18)*#REF!</f>
        <v>#REF!</v>
      </c>
      <c r="Z19" s="837"/>
      <c r="AA19" s="837"/>
      <c r="AB19" s="735" t="s">
        <v>798</v>
      </c>
      <c r="AC19" s="794">
        <f>1999200000</f>
        <v>1999200000</v>
      </c>
      <c r="AD19" s="749" t="s">
        <v>95</v>
      </c>
      <c r="AE19" s="738">
        <f>SUM(AF19:AS19)</f>
        <v>0</v>
      </c>
      <c r="AF19" s="830" t="s">
        <v>56</v>
      </c>
      <c r="AG19" s="740"/>
      <c r="AH19" s="832" t="s">
        <v>12</v>
      </c>
      <c r="AI19" s="740"/>
      <c r="AJ19" s="832" t="s">
        <v>204</v>
      </c>
      <c r="AK19" s="740"/>
      <c r="AL19" s="832" t="s">
        <v>13</v>
      </c>
      <c r="AM19" s="740"/>
      <c r="AN19" s="832" t="s">
        <v>207</v>
      </c>
      <c r="AO19" s="740"/>
      <c r="AP19" s="832"/>
      <c r="AQ19" s="740"/>
      <c r="AR19" s="832"/>
      <c r="AS19" s="740"/>
      <c r="AT19" s="745"/>
      <c r="AU19" s="745"/>
      <c r="AV19" s="745"/>
      <c r="AW19" s="745"/>
      <c r="AX19" s="745"/>
      <c r="AY19" s="745"/>
    </row>
    <row r="20" spans="1:51" s="741" customFormat="1" ht="22.5" hidden="1" customHeight="1">
      <c r="A20" s="495"/>
      <c r="B20" s="833"/>
      <c r="C20" s="834"/>
      <c r="D20" s="560"/>
      <c r="E20" s="560"/>
      <c r="F20" s="854"/>
      <c r="G20" s="560"/>
      <c r="H20" s="560"/>
      <c r="I20" s="841"/>
      <c r="J20" s="560"/>
      <c r="K20" s="560"/>
      <c r="L20" s="560"/>
      <c r="M20" s="560"/>
      <c r="N20" s="560"/>
      <c r="O20" s="560"/>
      <c r="P20" s="842"/>
      <c r="Q20" s="531"/>
      <c r="R20" s="557"/>
      <c r="S20" s="843" t="s">
        <v>67</v>
      </c>
      <c r="T20" s="526" t="s">
        <v>196</v>
      </c>
      <c r="U20" s="527">
        <f t="shared" ref="U20" si="23">U18-U19</f>
        <v>0</v>
      </c>
      <c r="V20" s="532" t="s">
        <v>15</v>
      </c>
      <c r="W20" s="529">
        <f t="shared" ref="W20" si="24">(BM19+BM20)/1100000</f>
        <v>0</v>
      </c>
      <c r="X20" s="89"/>
      <c r="Y20" s="73"/>
      <c r="Z20" s="837"/>
      <c r="AA20" s="837"/>
      <c r="AB20" s="735" t="s">
        <v>196</v>
      </c>
      <c r="AC20" s="744">
        <f>AC18-AC19</f>
        <v>0</v>
      </c>
      <c r="AD20" s="749" t="s">
        <v>100</v>
      </c>
      <c r="AE20" s="738"/>
      <c r="AF20" s="763"/>
      <c r="AG20" s="747"/>
      <c r="AH20" s="763"/>
      <c r="AI20" s="747"/>
      <c r="AJ20" s="763"/>
      <c r="AK20" s="747"/>
      <c r="AL20" s="763"/>
      <c r="AM20" s="747"/>
      <c r="AN20" s="763"/>
      <c r="AO20" s="747"/>
      <c r="AP20" s="763"/>
      <c r="AQ20" s="747"/>
      <c r="AR20" s="763"/>
      <c r="AS20" s="747"/>
      <c r="AT20" s="745"/>
      <c r="AU20" s="745"/>
      <c r="AV20" s="745"/>
      <c r="AW20" s="745"/>
      <c r="AX20" s="745"/>
      <c r="AY20" s="745"/>
    </row>
    <row r="21" spans="1:51" s="741" customFormat="1" ht="22.5" hidden="1" customHeight="1" thickBot="1">
      <c r="A21" s="502"/>
      <c r="B21" s="844"/>
      <c r="C21" s="845"/>
      <c r="D21" s="562"/>
      <c r="E21" s="562"/>
      <c r="F21" s="855"/>
      <c r="G21" s="562"/>
      <c r="H21" s="562"/>
      <c r="I21" s="846"/>
      <c r="J21" s="562"/>
      <c r="K21" s="562"/>
      <c r="L21" s="562"/>
      <c r="M21" s="562"/>
      <c r="N21" s="562"/>
      <c r="O21" s="562"/>
      <c r="P21" s="592" t="e">
        <f>(C18-#REF!)*#REF!</f>
        <v>#REF!</v>
      </c>
      <c r="Q21" s="534"/>
      <c r="R21" s="546" t="s">
        <v>2537</v>
      </c>
      <c r="S21" s="847" t="s">
        <v>271</v>
      </c>
      <c r="T21" s="535" t="s">
        <v>17</v>
      </c>
      <c r="U21" s="536" t="e">
        <f t="shared" ref="U21" si="25">ROUNDDOWN((U19/U18),3)</f>
        <v>#DIV/0!</v>
      </c>
      <c r="V21" s="535" t="s">
        <v>88</v>
      </c>
      <c r="W21" s="536" t="e">
        <f t="shared" ref="W21" si="26">(U18-(W19+W20)/0.7)/U18</f>
        <v>#DIV/0!</v>
      </c>
      <c r="X21" s="549"/>
      <c r="Y21" s="550"/>
      <c r="Z21" s="848"/>
      <c r="AA21" s="848"/>
      <c r="AB21" s="735"/>
      <c r="AC21" s="748">
        <f>AC19/AC18</f>
        <v>1.0000000000000002</v>
      </c>
      <c r="AD21" s="764" t="s">
        <v>103</v>
      </c>
      <c r="AE21" s="750">
        <f>SUM(AE18:AE20)</f>
        <v>49057608</v>
      </c>
      <c r="AF21" s="763"/>
      <c r="AG21" s="747"/>
      <c r="AH21" s="763"/>
      <c r="AI21" s="747"/>
      <c r="AJ21" s="763"/>
      <c r="AK21" s="747"/>
      <c r="AL21" s="763"/>
      <c r="AM21" s="747"/>
      <c r="AN21" s="763"/>
      <c r="AO21" s="747"/>
      <c r="AP21" s="763"/>
      <c r="AQ21" s="747"/>
      <c r="AR21" s="763"/>
      <c r="AS21" s="747"/>
    </row>
    <row r="22" spans="1:51" s="741" customFormat="1" ht="22.5" hidden="1" customHeight="1">
      <c r="A22" s="490" t="e">
        <f>A4+1</f>
        <v>#VALUE!</v>
      </c>
      <c r="B22" s="824">
        <v>1</v>
      </c>
      <c r="C22" s="825">
        <f>B22+D22+E22+F22+G22+H22+I22+J22+K22+L22+M22+N22+O22</f>
        <v>1</v>
      </c>
      <c r="D22" s="826"/>
      <c r="E22" s="826"/>
      <c r="F22" s="826"/>
      <c r="G22" s="826"/>
      <c r="H22" s="826"/>
      <c r="I22" s="826"/>
      <c r="J22" s="826"/>
      <c r="K22" s="826"/>
      <c r="L22" s="826"/>
      <c r="M22" s="826"/>
      <c r="N22" s="826"/>
      <c r="O22" s="826"/>
      <c r="P22" s="838" t="s">
        <v>2538</v>
      </c>
      <c r="Q22" s="537" t="s">
        <v>2539</v>
      </c>
      <c r="R22" s="553" t="s">
        <v>2540</v>
      </c>
      <c r="S22" s="828" t="s">
        <v>2541</v>
      </c>
      <c r="T22" s="521" t="s">
        <v>814</v>
      </c>
      <c r="U22" s="522">
        <f t="shared" ref="U22:U23" si="27">BK22/1100000</f>
        <v>0</v>
      </c>
      <c r="V22" s="523" t="s">
        <v>832</v>
      </c>
      <c r="W22" s="524">
        <f t="shared" ref="W22" si="28">U22*0.8-(W23+W24)</f>
        <v>0</v>
      </c>
      <c r="X22" s="299" t="s">
        <v>812</v>
      </c>
      <c r="Y22" s="547" t="s">
        <v>813</v>
      </c>
      <c r="Z22" s="829" t="s">
        <v>2542</v>
      </c>
      <c r="AA22" s="829"/>
      <c r="AB22" s="735" t="s">
        <v>814</v>
      </c>
      <c r="AC22" s="794">
        <v>556870000</v>
      </c>
      <c r="AD22" s="749" t="s">
        <v>35</v>
      </c>
      <c r="AE22" s="738">
        <f>SUM(AF22:AS22)</f>
        <v>0</v>
      </c>
      <c r="AF22" s="830" t="s">
        <v>1078</v>
      </c>
      <c r="AG22" s="740"/>
      <c r="AH22" s="832" t="s">
        <v>1079</v>
      </c>
      <c r="AI22" s="740">
        <f>AG22</f>
        <v>0</v>
      </c>
      <c r="AJ22" s="832" t="s">
        <v>2543</v>
      </c>
      <c r="AK22" s="740">
        <f>AG22</f>
        <v>0</v>
      </c>
      <c r="AL22" s="832" t="s">
        <v>796</v>
      </c>
      <c r="AM22" s="740"/>
      <c r="AN22" s="832" t="s">
        <v>1081</v>
      </c>
      <c r="AO22" s="740"/>
      <c r="AP22" s="832"/>
      <c r="AQ22" s="740"/>
      <c r="AR22" s="832"/>
      <c r="AS22" s="740"/>
    </row>
    <row r="23" spans="1:51" s="741" customFormat="1" ht="22.5" hidden="1" customHeight="1" thickBot="1">
      <c r="A23" s="495"/>
      <c r="B23" s="833"/>
      <c r="C23" s="834"/>
      <c r="D23" s="530" t="e">
        <f>#REF!*D22</f>
        <v>#REF!</v>
      </c>
      <c r="E23" s="530" t="e">
        <f>#REF!*E22</f>
        <v>#REF!</v>
      </c>
      <c r="F23" s="530" t="e">
        <f>#REF!*F22</f>
        <v>#REF!</v>
      </c>
      <c r="G23" s="530" t="e">
        <f>#REF!*G22</f>
        <v>#REF!</v>
      </c>
      <c r="H23" s="530" t="e">
        <f>#REF!*H22</f>
        <v>#REF!</v>
      </c>
      <c r="I23" s="530" t="e">
        <f>#REF!*I22</f>
        <v>#REF!</v>
      </c>
      <c r="J23" s="530" t="e">
        <f>#REF!*J22</f>
        <v>#REF!</v>
      </c>
      <c r="K23" s="530" t="e">
        <f>#REF!*K22</f>
        <v>#REF!</v>
      </c>
      <c r="L23" s="530" t="e">
        <f>#REF!*L22</f>
        <v>#REF!</v>
      </c>
      <c r="M23" s="530" t="e">
        <f>#REF!*M22</f>
        <v>#REF!</v>
      </c>
      <c r="N23" s="530" t="e">
        <f>#REF!*N22</f>
        <v>#REF!</v>
      </c>
      <c r="O23" s="530" t="e">
        <f>#REF!*O22</f>
        <v>#REF!</v>
      </c>
      <c r="P23" s="856"/>
      <c r="Q23" s="531"/>
      <c r="R23" s="557"/>
      <c r="S23" s="840" t="s">
        <v>2544</v>
      </c>
      <c r="T23" s="526" t="s">
        <v>798</v>
      </c>
      <c r="U23" s="527">
        <f t="shared" si="27"/>
        <v>0</v>
      </c>
      <c r="V23" s="528" t="s">
        <v>799</v>
      </c>
      <c r="W23" s="529">
        <f t="shared" ref="W23" si="29">BM22/1000000</f>
        <v>0</v>
      </c>
      <c r="X23" s="548" t="e">
        <f>(C22-B22)*#REF!</f>
        <v>#REF!</v>
      </c>
      <c r="Y23" s="743" t="e">
        <f>(1-C22)*#REF!</f>
        <v>#REF!</v>
      </c>
      <c r="Z23" s="837"/>
      <c r="AA23" s="837"/>
      <c r="AB23" s="735" t="s">
        <v>798</v>
      </c>
      <c r="AC23" s="794">
        <v>556870000</v>
      </c>
      <c r="AD23" s="749" t="s">
        <v>801</v>
      </c>
      <c r="AE23" s="738">
        <f>SUM(AF23:AS23)</f>
        <v>0</v>
      </c>
      <c r="AF23" s="830" t="s">
        <v>815</v>
      </c>
      <c r="AG23" s="740"/>
      <c r="AH23" s="832" t="s">
        <v>890</v>
      </c>
      <c r="AI23" s="740"/>
      <c r="AJ23" s="832" t="s">
        <v>1089</v>
      </c>
      <c r="AK23" s="740"/>
      <c r="AL23" s="832" t="s">
        <v>1090</v>
      </c>
      <c r="AM23" s="740"/>
      <c r="AN23" s="832" t="s">
        <v>1080</v>
      </c>
      <c r="AO23" s="740"/>
      <c r="AP23" s="832"/>
      <c r="AQ23" s="740"/>
      <c r="AR23" s="832"/>
      <c r="AS23" s="740"/>
      <c r="AT23" s="745"/>
      <c r="AU23" s="745"/>
      <c r="AV23" s="745"/>
      <c r="AW23" s="745"/>
      <c r="AX23" s="745"/>
      <c r="AY23" s="745"/>
    </row>
    <row r="24" spans="1:51" s="741" customFormat="1" ht="22.5" hidden="1" customHeight="1">
      <c r="A24" s="495"/>
      <c r="B24" s="833"/>
      <c r="C24" s="834"/>
      <c r="D24" s="560"/>
      <c r="E24" s="560"/>
      <c r="F24" s="560"/>
      <c r="G24" s="560"/>
      <c r="H24" s="560"/>
      <c r="I24" s="560"/>
      <c r="J24" s="560"/>
      <c r="K24" s="560"/>
      <c r="L24" s="560"/>
      <c r="M24" s="560"/>
      <c r="N24" s="560"/>
      <c r="O24" s="560"/>
      <c r="P24" s="842"/>
      <c r="Q24" s="531"/>
      <c r="R24" s="557"/>
      <c r="S24" s="843" t="s">
        <v>816</v>
      </c>
      <c r="T24" s="526" t="s">
        <v>817</v>
      </c>
      <c r="U24" s="527">
        <f t="shared" ref="U24" si="30">U22-U23</f>
        <v>0</v>
      </c>
      <c r="V24" s="532" t="s">
        <v>818</v>
      </c>
      <c r="W24" s="529">
        <f t="shared" ref="W24" si="31">(BM23+BM24)/1100000</f>
        <v>0</v>
      </c>
      <c r="X24" s="89"/>
      <c r="Y24" s="73"/>
      <c r="Z24" s="837"/>
      <c r="AA24" s="837"/>
      <c r="AB24" s="735" t="s">
        <v>817</v>
      </c>
      <c r="AC24" s="744">
        <f>AC22-AC23</f>
        <v>0</v>
      </c>
      <c r="AD24" s="749" t="s">
        <v>824</v>
      </c>
      <c r="AE24" s="738"/>
      <c r="AF24" s="857"/>
      <c r="AG24" s="747"/>
      <c r="AH24" s="763"/>
      <c r="AI24" s="747"/>
      <c r="AJ24" s="763"/>
      <c r="AK24" s="747"/>
      <c r="AL24" s="763"/>
      <c r="AM24" s="747"/>
      <c r="AN24" s="763"/>
      <c r="AO24" s="747"/>
      <c r="AP24" s="763"/>
      <c r="AQ24" s="747"/>
      <c r="AR24" s="763"/>
      <c r="AS24" s="747"/>
      <c r="AT24" s="745"/>
      <c r="AU24" s="745"/>
      <c r="AV24" s="745"/>
      <c r="AW24" s="745"/>
      <c r="AX24" s="745"/>
      <c r="AY24" s="745"/>
    </row>
    <row r="25" spans="1:51" s="741" customFormat="1" ht="22.5" hidden="1" customHeight="1" thickBot="1">
      <c r="A25" s="502"/>
      <c r="B25" s="844"/>
      <c r="C25" s="845"/>
      <c r="D25" s="562"/>
      <c r="E25" s="562"/>
      <c r="F25" s="562"/>
      <c r="G25" s="562"/>
      <c r="H25" s="562"/>
      <c r="I25" s="562"/>
      <c r="J25" s="562"/>
      <c r="K25" s="562"/>
      <c r="L25" s="562"/>
      <c r="M25" s="562"/>
      <c r="N25" s="562"/>
      <c r="O25" s="562"/>
      <c r="P25" s="592" t="e">
        <f>(C22-#REF!)*#REF!</f>
        <v>#REF!</v>
      </c>
      <c r="Q25" s="534"/>
      <c r="R25" s="546" t="s">
        <v>1153</v>
      </c>
      <c r="S25" s="847" t="s">
        <v>2545</v>
      </c>
      <c r="T25" s="535" t="s">
        <v>826</v>
      </c>
      <c r="U25" s="536" t="e">
        <f t="shared" ref="U25" si="32">ROUNDDOWN((U23/U22),3)</f>
        <v>#DIV/0!</v>
      </c>
      <c r="V25" s="535" t="s">
        <v>827</v>
      </c>
      <c r="W25" s="536" t="e">
        <f t="shared" ref="W25" si="33">(U22-(W23+W24)/0.7)/U22</f>
        <v>#DIV/0!</v>
      </c>
      <c r="X25" s="549"/>
      <c r="Y25" s="550"/>
      <c r="Z25" s="848"/>
      <c r="AA25" s="848"/>
      <c r="AB25" s="735"/>
      <c r="AC25" s="748">
        <f>AC23/AC22</f>
        <v>1</v>
      </c>
      <c r="AD25" s="764" t="s">
        <v>828</v>
      </c>
      <c r="AE25" s="750">
        <f>SUM(AE22:AE24)</f>
        <v>0</v>
      </c>
      <c r="AF25" s="763"/>
      <c r="AG25" s="747"/>
      <c r="AH25" s="763"/>
      <c r="AI25" s="747"/>
      <c r="AJ25" s="763"/>
      <c r="AK25" s="747"/>
      <c r="AL25" s="763"/>
      <c r="AM25" s="747"/>
      <c r="AN25" s="763"/>
      <c r="AO25" s="747"/>
      <c r="AP25" s="763"/>
      <c r="AQ25" s="747"/>
      <c r="AR25" s="763"/>
      <c r="AS25" s="747"/>
    </row>
    <row r="26" spans="1:51" s="741" customFormat="1" ht="22.5" hidden="1" customHeight="1">
      <c r="A26" s="257" t="e">
        <f>A4+1</f>
        <v>#VALUE!</v>
      </c>
      <c r="B26" s="858">
        <v>1</v>
      </c>
      <c r="C26" s="859">
        <f>B26+D26+E26+F26+G26+H26+I26+J26+K26+L26+M26+N26+O26</f>
        <v>1</v>
      </c>
      <c r="D26" s="826"/>
      <c r="E26" s="826"/>
      <c r="F26" s="826"/>
      <c r="G26" s="826"/>
      <c r="H26" s="826"/>
      <c r="I26" s="826"/>
      <c r="J26" s="826"/>
      <c r="K26" s="826"/>
      <c r="L26" s="826"/>
      <c r="M26" s="826"/>
      <c r="N26" s="826"/>
      <c r="O26" s="826"/>
      <c r="P26" s="838" t="s">
        <v>2546</v>
      </c>
      <c r="Q26" s="537" t="s">
        <v>2547</v>
      </c>
      <c r="R26" s="860" t="s">
        <v>2548</v>
      </c>
      <c r="S26" s="828" t="s">
        <v>2549</v>
      </c>
      <c r="T26" s="521" t="s">
        <v>89</v>
      </c>
      <c r="U26" s="522">
        <f>BK26/1100000</f>
        <v>0</v>
      </c>
      <c r="V26" s="523" t="s">
        <v>7</v>
      </c>
      <c r="W26" s="524">
        <f>U26*0.8-(W27+W28)</f>
        <v>0</v>
      </c>
      <c r="X26" s="299" t="s">
        <v>90</v>
      </c>
      <c r="Y26" s="547" t="s">
        <v>34</v>
      </c>
      <c r="Z26" s="829" t="s">
        <v>2550</v>
      </c>
      <c r="AA26" s="829"/>
      <c r="AB26" s="735" t="s">
        <v>89</v>
      </c>
      <c r="AC26" s="794">
        <v>570902400</v>
      </c>
      <c r="AD26" s="749" t="s">
        <v>98</v>
      </c>
      <c r="AE26" s="738">
        <f>SUM(AF26:AS26)</f>
        <v>0</v>
      </c>
      <c r="AF26" s="830" t="s">
        <v>1104</v>
      </c>
      <c r="AG26" s="740"/>
      <c r="AH26" s="832" t="s">
        <v>1105</v>
      </c>
      <c r="AI26" s="740">
        <f>AG26</f>
        <v>0</v>
      </c>
      <c r="AJ26" s="832" t="s">
        <v>2512</v>
      </c>
      <c r="AK26" s="740">
        <f>AG26</f>
        <v>0</v>
      </c>
      <c r="AL26" s="832" t="s">
        <v>55</v>
      </c>
      <c r="AM26" s="740"/>
      <c r="AN26" s="832" t="s">
        <v>52</v>
      </c>
      <c r="AO26" s="740"/>
      <c r="AP26" s="832"/>
      <c r="AQ26" s="740"/>
      <c r="AR26" s="832"/>
      <c r="AS26" s="740"/>
    </row>
    <row r="27" spans="1:51" s="741" customFormat="1" ht="22.5" hidden="1" customHeight="1" thickBot="1">
      <c r="A27" s="258"/>
      <c r="B27" s="861"/>
      <c r="C27" s="862"/>
      <c r="D27" s="530" t="e">
        <f>#REF!*D26</f>
        <v>#REF!</v>
      </c>
      <c r="E27" s="530" t="e">
        <f>#REF!*E26</f>
        <v>#REF!</v>
      </c>
      <c r="F27" s="530" t="e">
        <f>#REF!*F26</f>
        <v>#REF!</v>
      </c>
      <c r="G27" s="530" t="e">
        <f>#REF!*G26</f>
        <v>#REF!</v>
      </c>
      <c r="H27" s="530" t="e">
        <f>#REF!*H26</f>
        <v>#REF!</v>
      </c>
      <c r="I27" s="530" t="e">
        <f>#REF!*I26</f>
        <v>#REF!</v>
      </c>
      <c r="J27" s="530" t="e">
        <f>#REF!*J26</f>
        <v>#REF!</v>
      </c>
      <c r="K27" s="530" t="e">
        <f>#REF!*K26</f>
        <v>#REF!</v>
      </c>
      <c r="L27" s="530" t="e">
        <f>#REF!*L26</f>
        <v>#REF!</v>
      </c>
      <c r="M27" s="530" t="e">
        <f>#REF!*M26</f>
        <v>#REF!</v>
      </c>
      <c r="N27" s="530" t="e">
        <f>#REF!*N26</f>
        <v>#REF!</v>
      </c>
      <c r="O27" s="530" t="e">
        <f>#REF!*O26</f>
        <v>#REF!</v>
      </c>
      <c r="P27" s="856"/>
      <c r="Q27" s="531"/>
      <c r="R27" s="863"/>
      <c r="S27" s="840" t="s">
        <v>2551</v>
      </c>
      <c r="T27" s="526" t="s">
        <v>10</v>
      </c>
      <c r="U27" s="527">
        <f t="shared" ref="U27" si="34">BK27/1100000</f>
        <v>0</v>
      </c>
      <c r="V27" s="528" t="s">
        <v>104</v>
      </c>
      <c r="W27" s="529">
        <f t="shared" ref="W27" si="35">BM26/1000000</f>
        <v>0</v>
      </c>
      <c r="X27" s="548" t="e">
        <f>(C26-B26)*#REF!</f>
        <v>#REF!</v>
      </c>
      <c r="Y27" s="743" t="e">
        <f>(1-C26)*#REF!</f>
        <v>#REF!</v>
      </c>
      <c r="Z27" s="837"/>
      <c r="AA27" s="837"/>
      <c r="AB27" s="735" t="s">
        <v>10</v>
      </c>
      <c r="AC27" s="794">
        <v>570902400</v>
      </c>
      <c r="AD27" s="749" t="s">
        <v>95</v>
      </c>
      <c r="AE27" s="738">
        <f>SUM(AF27:AS27)</f>
        <v>0</v>
      </c>
      <c r="AF27" s="830" t="s">
        <v>56</v>
      </c>
      <c r="AG27" s="740"/>
      <c r="AH27" s="832" t="s">
        <v>12</v>
      </c>
      <c r="AI27" s="740"/>
      <c r="AJ27" s="832" t="s">
        <v>204</v>
      </c>
      <c r="AK27" s="740"/>
      <c r="AL27" s="832" t="s">
        <v>13</v>
      </c>
      <c r="AM27" s="740"/>
      <c r="AN27" s="832" t="s">
        <v>207</v>
      </c>
      <c r="AO27" s="740"/>
      <c r="AP27" s="832"/>
      <c r="AQ27" s="740"/>
      <c r="AR27" s="832"/>
      <c r="AS27" s="740"/>
      <c r="AT27" s="745"/>
      <c r="AU27" s="745"/>
      <c r="AV27" s="745"/>
      <c r="AW27" s="745"/>
      <c r="AX27" s="745"/>
      <c r="AY27" s="745"/>
    </row>
    <row r="28" spans="1:51" s="741" customFormat="1" ht="22.5" hidden="1" customHeight="1">
      <c r="A28" s="258"/>
      <c r="B28" s="861"/>
      <c r="C28" s="862"/>
      <c r="D28" s="560"/>
      <c r="E28" s="560"/>
      <c r="F28" s="560"/>
      <c r="G28" s="560"/>
      <c r="H28" s="560"/>
      <c r="I28" s="560"/>
      <c r="J28" s="560"/>
      <c r="K28" s="560"/>
      <c r="L28" s="560"/>
      <c r="M28" s="560"/>
      <c r="N28" s="560"/>
      <c r="O28" s="560"/>
      <c r="P28" s="842"/>
      <c r="Q28" s="531"/>
      <c r="R28" s="863"/>
      <c r="S28" s="843" t="s">
        <v>67</v>
      </c>
      <c r="T28" s="526" t="s">
        <v>196</v>
      </c>
      <c r="U28" s="527">
        <f t="shared" ref="U28" si="36">U26-U27</f>
        <v>0</v>
      </c>
      <c r="V28" s="532" t="s">
        <v>15</v>
      </c>
      <c r="W28" s="529">
        <f t="shared" ref="W28" si="37">(BM27+BM28)/1100000</f>
        <v>0</v>
      </c>
      <c r="X28" s="89"/>
      <c r="Y28" s="73"/>
      <c r="Z28" s="837"/>
      <c r="AA28" s="837"/>
      <c r="AB28" s="735" t="s">
        <v>196</v>
      </c>
      <c r="AC28" s="744">
        <f>AC26-AC27</f>
        <v>0</v>
      </c>
      <c r="AD28" s="749" t="s">
        <v>100</v>
      </c>
      <c r="AE28" s="738"/>
      <c r="AF28" s="763"/>
      <c r="AG28" s="747"/>
      <c r="AH28" s="763"/>
      <c r="AI28" s="747"/>
      <c r="AJ28" s="763"/>
      <c r="AK28" s="747"/>
      <c r="AL28" s="763"/>
      <c r="AM28" s="747"/>
      <c r="AN28" s="763"/>
      <c r="AO28" s="747"/>
      <c r="AP28" s="763"/>
      <c r="AQ28" s="747"/>
      <c r="AR28" s="763"/>
      <c r="AS28" s="747"/>
      <c r="AT28" s="745"/>
      <c r="AU28" s="745"/>
      <c r="AV28" s="745"/>
      <c r="AW28" s="745"/>
      <c r="AX28" s="745"/>
      <c r="AY28" s="745"/>
    </row>
    <row r="29" spans="1:51" s="741" customFormat="1" ht="22.5" hidden="1" customHeight="1" thickBot="1">
      <c r="A29" s="259"/>
      <c r="B29" s="864"/>
      <c r="C29" s="865"/>
      <c r="D29" s="562"/>
      <c r="E29" s="562"/>
      <c r="F29" s="562"/>
      <c r="G29" s="562"/>
      <c r="H29" s="562"/>
      <c r="I29" s="562"/>
      <c r="J29" s="562"/>
      <c r="K29" s="562"/>
      <c r="L29" s="562"/>
      <c r="M29" s="562"/>
      <c r="N29" s="562"/>
      <c r="O29" s="562"/>
      <c r="P29" s="592" t="e">
        <f>(C26-#REF!)*#REF!</f>
        <v>#REF!</v>
      </c>
      <c r="Q29" s="534"/>
      <c r="R29" s="546" t="s">
        <v>2552</v>
      </c>
      <c r="S29" s="847" t="s">
        <v>271</v>
      </c>
      <c r="T29" s="535" t="s">
        <v>17</v>
      </c>
      <c r="U29" s="536" t="e">
        <f t="shared" ref="U29" si="38">ROUNDDOWN((U27/U26),3)</f>
        <v>#DIV/0!</v>
      </c>
      <c r="V29" s="535" t="s">
        <v>88</v>
      </c>
      <c r="W29" s="536" t="e">
        <f t="shared" ref="W29" si="39">(U26-(W27+W28)/0.7)/U26</f>
        <v>#DIV/0!</v>
      </c>
      <c r="X29" s="549"/>
      <c r="Y29" s="550"/>
      <c r="Z29" s="848"/>
      <c r="AA29" s="848"/>
      <c r="AB29" s="735"/>
      <c r="AC29" s="748">
        <f>AC27/AC26</f>
        <v>1</v>
      </c>
      <c r="AD29" s="764" t="s">
        <v>103</v>
      </c>
      <c r="AE29" s="750">
        <f>SUM(AE26:AE28)</f>
        <v>0</v>
      </c>
      <c r="AF29" s="763"/>
      <c r="AG29" s="747"/>
      <c r="AH29" s="763"/>
      <c r="AI29" s="747"/>
      <c r="AJ29" s="763"/>
      <c r="AK29" s="747"/>
      <c r="AL29" s="763"/>
      <c r="AM29" s="747"/>
      <c r="AN29" s="763"/>
      <c r="AO29" s="747"/>
      <c r="AP29" s="763"/>
      <c r="AQ29" s="747"/>
      <c r="AR29" s="763"/>
      <c r="AS29" s="747"/>
    </row>
    <row r="30" spans="1:51" s="741" customFormat="1" ht="22.5" hidden="1" customHeight="1">
      <c r="A30" s="490">
        <v>8</v>
      </c>
      <c r="B30" s="866">
        <v>1</v>
      </c>
      <c r="C30" s="825">
        <f>B30+D30+E30+F30+G30+H30+I30+J30+K30+L30+M30+N30+O30</f>
        <v>1</v>
      </c>
      <c r="D30" s="826"/>
      <c r="E30" s="826"/>
      <c r="F30" s="826"/>
      <c r="G30" s="826"/>
      <c r="H30" s="826"/>
      <c r="I30" s="826"/>
      <c r="J30" s="826"/>
      <c r="K30" s="826"/>
      <c r="L30" s="826"/>
      <c r="M30" s="826"/>
      <c r="N30" s="826"/>
      <c r="O30" s="826"/>
      <c r="P30" s="838"/>
      <c r="Q30" s="537" t="s">
        <v>2553</v>
      </c>
      <c r="R30" s="553" t="s">
        <v>2554</v>
      </c>
      <c r="S30" s="828" t="s">
        <v>2555</v>
      </c>
      <c r="T30" s="521" t="s">
        <v>814</v>
      </c>
      <c r="U30" s="522">
        <f t="shared" ref="U30:U31" si="40">BK30/1100000</f>
        <v>0</v>
      </c>
      <c r="V30" s="523" t="s">
        <v>832</v>
      </c>
      <c r="W30" s="524">
        <f t="shared" ref="W30" si="41">U30*0.8-(W31+W32)</f>
        <v>0</v>
      </c>
      <c r="X30" s="299" t="s">
        <v>812</v>
      </c>
      <c r="Y30" s="547" t="s">
        <v>813</v>
      </c>
      <c r="Z30" s="829" t="s">
        <v>2556</v>
      </c>
      <c r="AA30" s="829"/>
      <c r="AB30" s="735" t="s">
        <v>814</v>
      </c>
      <c r="AC30" s="794">
        <v>353708000</v>
      </c>
      <c r="AD30" s="749" t="s">
        <v>35</v>
      </c>
      <c r="AE30" s="738">
        <f>SUM(AF30:AS30)</f>
        <v>0</v>
      </c>
      <c r="AF30" s="830" t="s">
        <v>1078</v>
      </c>
      <c r="AG30" s="740"/>
      <c r="AH30" s="832" t="s">
        <v>1079</v>
      </c>
      <c r="AI30" s="740">
        <f>AG30</f>
        <v>0</v>
      </c>
      <c r="AJ30" s="832" t="s">
        <v>2543</v>
      </c>
      <c r="AK30" s="740">
        <f>AG30</f>
        <v>0</v>
      </c>
      <c r="AL30" s="832" t="s">
        <v>796</v>
      </c>
      <c r="AM30" s="740"/>
      <c r="AN30" s="832" t="s">
        <v>1081</v>
      </c>
      <c r="AO30" s="740"/>
      <c r="AP30" s="832"/>
      <c r="AQ30" s="740"/>
      <c r="AR30" s="832"/>
      <c r="AS30" s="740"/>
    </row>
    <row r="31" spans="1:51" s="741" customFormat="1" ht="22.5" hidden="1" customHeight="1" thickBot="1">
      <c r="A31" s="495"/>
      <c r="B31" s="867"/>
      <c r="C31" s="834"/>
      <c r="D31" s="530" t="e">
        <f>#REF!*D30</f>
        <v>#REF!</v>
      </c>
      <c r="E31" s="530" t="e">
        <f>#REF!*E30</f>
        <v>#REF!</v>
      </c>
      <c r="F31" s="530" t="e">
        <f>#REF!*F30</f>
        <v>#REF!</v>
      </c>
      <c r="G31" s="530" t="e">
        <f>#REF!*G30</f>
        <v>#REF!</v>
      </c>
      <c r="H31" s="530" t="e">
        <f>#REF!*H30</f>
        <v>#REF!</v>
      </c>
      <c r="I31" s="530" t="e">
        <f>#REF!*I30</f>
        <v>#REF!</v>
      </c>
      <c r="J31" s="530" t="e">
        <f>#REF!*J30</f>
        <v>#REF!</v>
      </c>
      <c r="K31" s="530" t="e">
        <f>#REF!*K30</f>
        <v>#REF!</v>
      </c>
      <c r="L31" s="530" t="e">
        <f>#REF!*L30</f>
        <v>#REF!</v>
      </c>
      <c r="M31" s="530" t="e">
        <f>#REF!*M30</f>
        <v>#REF!</v>
      </c>
      <c r="N31" s="530" t="e">
        <f>#REF!*N30</f>
        <v>#REF!</v>
      </c>
      <c r="O31" s="530" t="e">
        <f>#REF!*O30</f>
        <v>#REF!</v>
      </c>
      <c r="P31" s="839"/>
      <c r="Q31" s="531"/>
      <c r="R31" s="557"/>
      <c r="S31" s="840" t="s">
        <v>2557</v>
      </c>
      <c r="T31" s="526" t="s">
        <v>798</v>
      </c>
      <c r="U31" s="527">
        <f t="shared" si="40"/>
        <v>0</v>
      </c>
      <c r="V31" s="528" t="s">
        <v>799</v>
      </c>
      <c r="W31" s="529">
        <f t="shared" ref="W31" si="42">BM30/1000000</f>
        <v>0</v>
      </c>
      <c r="X31" s="548" t="e">
        <f>(C30-B30)*#REF!</f>
        <v>#REF!</v>
      </c>
      <c r="Y31" s="743" t="e">
        <f>(1-C30)*#REF!</f>
        <v>#REF!</v>
      </c>
      <c r="Z31" s="837"/>
      <c r="AA31" s="837"/>
      <c r="AB31" s="735" t="s">
        <v>798</v>
      </c>
      <c r="AC31" s="794">
        <v>353708000</v>
      </c>
      <c r="AD31" s="749" t="s">
        <v>801</v>
      </c>
      <c r="AE31" s="738">
        <f>SUM(AF31:AS31)</f>
        <v>0</v>
      </c>
      <c r="AF31" s="830" t="s">
        <v>815</v>
      </c>
      <c r="AG31" s="740"/>
      <c r="AH31" s="832" t="s">
        <v>890</v>
      </c>
      <c r="AI31" s="740"/>
      <c r="AJ31" s="832" t="s">
        <v>1089</v>
      </c>
      <c r="AK31" s="740"/>
      <c r="AL31" s="832" t="s">
        <v>1090</v>
      </c>
      <c r="AM31" s="740"/>
      <c r="AN31" s="832" t="s">
        <v>1080</v>
      </c>
      <c r="AO31" s="740"/>
      <c r="AP31" s="832"/>
      <c r="AQ31" s="740"/>
      <c r="AR31" s="832"/>
      <c r="AS31" s="740"/>
      <c r="AT31" s="745"/>
      <c r="AU31" s="745"/>
      <c r="AV31" s="745"/>
      <c r="AW31" s="745"/>
      <c r="AX31" s="745"/>
      <c r="AY31" s="745"/>
    </row>
    <row r="32" spans="1:51" s="741" customFormat="1" ht="22.5" hidden="1" customHeight="1">
      <c r="A32" s="495"/>
      <c r="B32" s="867"/>
      <c r="C32" s="834"/>
      <c r="D32" s="560"/>
      <c r="E32" s="560"/>
      <c r="F32" s="560"/>
      <c r="G32" s="560"/>
      <c r="H32" s="560"/>
      <c r="I32" s="560"/>
      <c r="J32" s="560"/>
      <c r="K32" s="560"/>
      <c r="L32" s="560"/>
      <c r="M32" s="560"/>
      <c r="N32" s="560"/>
      <c r="O32" s="560"/>
      <c r="P32" s="842"/>
      <c r="Q32" s="531"/>
      <c r="R32" s="557"/>
      <c r="S32" s="843" t="s">
        <v>816</v>
      </c>
      <c r="T32" s="526" t="s">
        <v>817</v>
      </c>
      <c r="U32" s="527">
        <f t="shared" ref="U32" si="43">U30-U31</f>
        <v>0</v>
      </c>
      <c r="V32" s="532" t="s">
        <v>818</v>
      </c>
      <c r="W32" s="529">
        <f t="shared" ref="W32" si="44">(BM31+BM32)/1100000</f>
        <v>0</v>
      </c>
      <c r="X32" s="89"/>
      <c r="Y32" s="73"/>
      <c r="Z32" s="837"/>
      <c r="AA32" s="837"/>
      <c r="AB32" s="735" t="s">
        <v>817</v>
      </c>
      <c r="AC32" s="744">
        <f>AC30-AC31</f>
        <v>0</v>
      </c>
      <c r="AD32" s="749" t="s">
        <v>824</v>
      </c>
      <c r="AE32" s="738"/>
      <c r="AF32" s="763"/>
      <c r="AG32" s="747"/>
      <c r="AH32" s="763"/>
      <c r="AI32" s="747"/>
      <c r="AJ32" s="763"/>
      <c r="AK32" s="747"/>
      <c r="AL32" s="763"/>
      <c r="AM32" s="747"/>
      <c r="AN32" s="763"/>
      <c r="AO32" s="747"/>
      <c r="AP32" s="763"/>
      <c r="AQ32" s="747"/>
      <c r="AR32" s="763"/>
      <c r="AS32" s="747"/>
      <c r="AT32" s="745"/>
      <c r="AU32" s="745"/>
      <c r="AV32" s="745"/>
      <c r="AW32" s="745"/>
      <c r="AX32" s="745"/>
      <c r="AY32" s="745"/>
    </row>
    <row r="33" spans="1:51" s="741" customFormat="1" ht="22.5" hidden="1" customHeight="1" thickBot="1">
      <c r="A33" s="502"/>
      <c r="B33" s="868"/>
      <c r="C33" s="845"/>
      <c r="D33" s="562"/>
      <c r="E33" s="562"/>
      <c r="F33" s="562"/>
      <c r="G33" s="562"/>
      <c r="H33" s="562"/>
      <c r="I33" s="562"/>
      <c r="J33" s="562"/>
      <c r="K33" s="562"/>
      <c r="L33" s="562"/>
      <c r="M33" s="562"/>
      <c r="N33" s="562"/>
      <c r="O33" s="562"/>
      <c r="P33" s="592" t="e">
        <f>(C30-#REF!)*#REF!</f>
        <v>#REF!</v>
      </c>
      <c r="Q33" s="534"/>
      <c r="R33" s="546" t="s">
        <v>2530</v>
      </c>
      <c r="S33" s="847" t="s">
        <v>2531</v>
      </c>
      <c r="T33" s="535" t="s">
        <v>826</v>
      </c>
      <c r="U33" s="536" t="e">
        <f t="shared" ref="U33" si="45">ROUNDDOWN((U31/U30),3)</f>
        <v>#DIV/0!</v>
      </c>
      <c r="V33" s="535" t="s">
        <v>827</v>
      </c>
      <c r="W33" s="536" t="e">
        <f t="shared" ref="W33" si="46">(U30-(W31+W32)/0.7)/U30</f>
        <v>#DIV/0!</v>
      </c>
      <c r="X33" s="549"/>
      <c r="Y33" s="550"/>
      <c r="Z33" s="848"/>
      <c r="AA33" s="848"/>
      <c r="AB33" s="735"/>
      <c r="AC33" s="748">
        <f>AC31/AC30</f>
        <v>1</v>
      </c>
      <c r="AD33" s="764" t="s">
        <v>828</v>
      </c>
      <c r="AE33" s="750">
        <f>SUM(AE30:AE32)</f>
        <v>0</v>
      </c>
      <c r="AF33" s="763"/>
      <c r="AG33" s="747"/>
      <c r="AH33" s="763"/>
      <c r="AI33" s="747"/>
      <c r="AJ33" s="763"/>
      <c r="AK33" s="747"/>
      <c r="AL33" s="763"/>
      <c r="AM33" s="747"/>
      <c r="AN33" s="763"/>
      <c r="AO33" s="747"/>
      <c r="AP33" s="763"/>
      <c r="AQ33" s="747"/>
      <c r="AR33" s="763"/>
      <c r="AS33" s="747"/>
    </row>
    <row r="34" spans="1:51" s="741" customFormat="1" ht="22.5" hidden="1" customHeight="1">
      <c r="A34" s="490" t="e">
        <f>A4+1</f>
        <v>#VALUE!</v>
      </c>
      <c r="B34" s="858">
        <v>1</v>
      </c>
      <c r="C34" s="825">
        <f>B34+D34+E34+F34+G34+H34+I34+J34+K34+L34+M34+N34+O34</f>
        <v>1</v>
      </c>
      <c r="D34" s="826">
        <v>0</v>
      </c>
      <c r="E34" s="826">
        <v>0</v>
      </c>
      <c r="F34" s="826"/>
      <c r="G34" s="826"/>
      <c r="H34" s="826"/>
      <c r="I34" s="826"/>
      <c r="J34" s="853"/>
      <c r="K34" s="853"/>
      <c r="L34" s="826"/>
      <c r="M34" s="826"/>
      <c r="N34" s="853"/>
      <c r="O34" s="853"/>
      <c r="P34" s="869"/>
      <c r="Q34" s="537"/>
      <c r="R34" s="860" t="s">
        <v>2558</v>
      </c>
      <c r="S34" s="828" t="s">
        <v>2559</v>
      </c>
      <c r="T34" s="521" t="s">
        <v>89</v>
      </c>
      <c r="U34" s="522">
        <f t="shared" ref="U34:U35" si="47">BK34/1100000</f>
        <v>0</v>
      </c>
      <c r="V34" s="523" t="s">
        <v>7</v>
      </c>
      <c r="W34" s="524">
        <f t="shared" ref="W34" si="48">U34*0.8-(W35+W36)</f>
        <v>0</v>
      </c>
      <c r="X34" s="299" t="s">
        <v>90</v>
      </c>
      <c r="Y34" s="547" t="s">
        <v>34</v>
      </c>
      <c r="Z34" s="829"/>
      <c r="AA34" s="829"/>
      <c r="AB34" s="735" t="s">
        <v>89</v>
      </c>
      <c r="AC34" s="794">
        <v>391600000</v>
      </c>
      <c r="AD34" s="749" t="s">
        <v>98</v>
      </c>
      <c r="AE34" s="738">
        <f>SUM(AF34:AS34)</f>
        <v>0</v>
      </c>
      <c r="AF34" s="830" t="s">
        <v>1104</v>
      </c>
      <c r="AG34" s="740"/>
      <c r="AH34" s="832" t="s">
        <v>1105</v>
      </c>
      <c r="AI34" s="740"/>
      <c r="AJ34" s="832" t="s">
        <v>2543</v>
      </c>
      <c r="AK34" s="740"/>
      <c r="AL34" s="832" t="s">
        <v>55</v>
      </c>
      <c r="AM34" s="740"/>
      <c r="AN34" s="832" t="s">
        <v>52</v>
      </c>
      <c r="AO34" s="740"/>
      <c r="AP34" s="832"/>
      <c r="AQ34" s="740"/>
      <c r="AR34" s="832"/>
      <c r="AS34" s="740"/>
    </row>
    <row r="35" spans="1:51" s="741" customFormat="1" ht="22.5" hidden="1" customHeight="1" thickBot="1">
      <c r="A35" s="495"/>
      <c r="B35" s="861"/>
      <c r="C35" s="834"/>
      <c r="D35" s="530" t="e">
        <f>#REF!*D34</f>
        <v>#REF!</v>
      </c>
      <c r="E35" s="530" t="e">
        <f>#REF!*E34</f>
        <v>#REF!</v>
      </c>
      <c r="F35" s="530" t="e">
        <f>#REF!*F34</f>
        <v>#REF!</v>
      </c>
      <c r="G35" s="530" t="e">
        <f>#REF!*G34</f>
        <v>#REF!</v>
      </c>
      <c r="H35" s="530" t="e">
        <f>#REF!*H34</f>
        <v>#REF!</v>
      </c>
      <c r="I35" s="530" t="e">
        <f>#REF!*I34</f>
        <v>#REF!</v>
      </c>
      <c r="J35" s="530" t="e">
        <f>#REF!*J34</f>
        <v>#REF!</v>
      </c>
      <c r="K35" s="530" t="e">
        <f>#REF!*K34</f>
        <v>#REF!</v>
      </c>
      <c r="L35" s="530" t="e">
        <f>#REF!*L34</f>
        <v>#REF!</v>
      </c>
      <c r="M35" s="530" t="e">
        <f>#REF!*M34</f>
        <v>#REF!</v>
      </c>
      <c r="N35" s="530" t="e">
        <f>#REF!*N34</f>
        <v>#REF!</v>
      </c>
      <c r="O35" s="530" t="e">
        <f>#REF!*O34</f>
        <v>#REF!</v>
      </c>
      <c r="P35" s="856"/>
      <c r="Q35" s="531"/>
      <c r="R35" s="863"/>
      <c r="S35" s="840" t="s">
        <v>2560</v>
      </c>
      <c r="T35" s="526" t="s">
        <v>10</v>
      </c>
      <c r="U35" s="527">
        <f t="shared" si="47"/>
        <v>0</v>
      </c>
      <c r="V35" s="528" t="s">
        <v>104</v>
      </c>
      <c r="W35" s="529">
        <f t="shared" ref="W35" si="49">BM34/1000000</f>
        <v>0</v>
      </c>
      <c r="X35" s="548" t="e">
        <f>(C34-B34)*#REF!</f>
        <v>#REF!</v>
      </c>
      <c r="Y35" s="743" t="e">
        <f>(1-C34)*#REF!</f>
        <v>#REF!</v>
      </c>
      <c r="Z35" s="837"/>
      <c r="AA35" s="837"/>
      <c r="AB35" s="735" t="s">
        <v>10</v>
      </c>
      <c r="AC35" s="794">
        <v>391600000</v>
      </c>
      <c r="AD35" s="749" t="s">
        <v>95</v>
      </c>
      <c r="AE35" s="738">
        <f>SUM(AF35:AS35)</f>
        <v>0</v>
      </c>
      <c r="AF35" s="830" t="s">
        <v>56</v>
      </c>
      <c r="AG35" s="740"/>
      <c r="AH35" s="832" t="s">
        <v>12</v>
      </c>
      <c r="AI35" s="740"/>
      <c r="AJ35" s="832" t="s">
        <v>204</v>
      </c>
      <c r="AK35" s="740"/>
      <c r="AL35" s="832" t="s">
        <v>13</v>
      </c>
      <c r="AM35" s="740"/>
      <c r="AN35" s="832" t="s">
        <v>207</v>
      </c>
      <c r="AO35" s="740"/>
      <c r="AP35" s="832"/>
      <c r="AQ35" s="740"/>
      <c r="AR35" s="832"/>
      <c r="AS35" s="740"/>
      <c r="AT35" s="745"/>
      <c r="AU35" s="745"/>
      <c r="AV35" s="745"/>
      <c r="AW35" s="745"/>
      <c r="AX35" s="745"/>
      <c r="AY35" s="745"/>
    </row>
    <row r="36" spans="1:51" s="741" customFormat="1" ht="22.5" hidden="1" customHeight="1">
      <c r="A36" s="495"/>
      <c r="B36" s="861"/>
      <c r="C36" s="834"/>
      <c r="D36" s="560"/>
      <c r="E36" s="560"/>
      <c r="F36" s="560"/>
      <c r="G36" s="560"/>
      <c r="H36" s="560"/>
      <c r="I36" s="560"/>
      <c r="J36" s="841"/>
      <c r="K36" s="841"/>
      <c r="L36" s="560"/>
      <c r="M36" s="560"/>
      <c r="N36" s="560"/>
      <c r="O36" s="560"/>
      <c r="P36" s="870"/>
      <c r="Q36" s="531"/>
      <c r="R36" s="863"/>
      <c r="S36" s="843" t="s">
        <v>67</v>
      </c>
      <c r="T36" s="526" t="s">
        <v>196</v>
      </c>
      <c r="U36" s="527">
        <f t="shared" ref="U36" si="50">U34-U35</f>
        <v>0</v>
      </c>
      <c r="V36" s="532" t="s">
        <v>15</v>
      </c>
      <c r="W36" s="529">
        <f t="shared" ref="W36" si="51">(BM35+BM36)/1100000</f>
        <v>0</v>
      </c>
      <c r="X36" s="89"/>
      <c r="Y36" s="73"/>
      <c r="Z36" s="837"/>
      <c r="AA36" s="837"/>
      <c r="AB36" s="735" t="s">
        <v>196</v>
      </c>
      <c r="AC36" s="744">
        <f>AC34-AC35</f>
        <v>0</v>
      </c>
      <c r="AD36" s="749" t="s">
        <v>100</v>
      </c>
      <c r="AE36" s="738"/>
      <c r="AF36" s="763"/>
      <c r="AG36" s="747"/>
      <c r="AH36" s="763"/>
      <c r="AI36" s="747"/>
      <c r="AJ36" s="763"/>
      <c r="AK36" s="747"/>
      <c r="AL36" s="763"/>
      <c r="AM36" s="747"/>
      <c r="AN36" s="763"/>
      <c r="AO36" s="747"/>
      <c r="AP36" s="763"/>
      <c r="AQ36" s="747"/>
      <c r="AR36" s="763"/>
      <c r="AS36" s="747"/>
      <c r="AT36" s="745"/>
      <c r="AU36" s="745"/>
      <c r="AV36" s="745"/>
      <c r="AW36" s="745"/>
      <c r="AX36" s="745"/>
      <c r="AY36" s="745"/>
    </row>
    <row r="37" spans="1:51" s="741" customFormat="1" ht="22.5" hidden="1" customHeight="1" thickBot="1">
      <c r="A37" s="502"/>
      <c r="B37" s="864"/>
      <c r="C37" s="845"/>
      <c r="D37" s="562"/>
      <c r="E37" s="562"/>
      <c r="F37" s="562"/>
      <c r="G37" s="562"/>
      <c r="H37" s="562"/>
      <c r="I37" s="562"/>
      <c r="J37" s="846"/>
      <c r="K37" s="846"/>
      <c r="L37" s="562"/>
      <c r="M37" s="562"/>
      <c r="N37" s="562"/>
      <c r="O37" s="562"/>
      <c r="P37" s="592" t="e">
        <f>(C34-#REF!)*#REF!</f>
        <v>#REF!</v>
      </c>
      <c r="Q37" s="534"/>
      <c r="R37" s="546" t="s">
        <v>2561</v>
      </c>
      <c r="S37" s="847" t="s">
        <v>271</v>
      </c>
      <c r="T37" s="535" t="s">
        <v>17</v>
      </c>
      <c r="U37" s="536" t="e">
        <f t="shared" ref="U37" si="52">ROUNDDOWN((U35/U34),3)</f>
        <v>#DIV/0!</v>
      </c>
      <c r="V37" s="535" t="s">
        <v>88</v>
      </c>
      <c r="W37" s="536" t="e">
        <f t="shared" ref="W37" si="53">(U34-(W35+W36)/0.7)/U34</f>
        <v>#DIV/0!</v>
      </c>
      <c r="X37" s="549"/>
      <c r="Y37" s="550"/>
      <c r="Z37" s="848"/>
      <c r="AA37" s="848"/>
      <c r="AB37" s="735"/>
      <c r="AC37" s="748">
        <f>AC35/AC34</f>
        <v>1</v>
      </c>
      <c r="AD37" s="764" t="s">
        <v>103</v>
      </c>
      <c r="AE37" s="750">
        <f>SUM(AE34:AE36)</f>
        <v>0</v>
      </c>
      <c r="AF37" s="763"/>
      <c r="AG37" s="747"/>
      <c r="AH37" s="763"/>
      <c r="AI37" s="747"/>
      <c r="AJ37" s="763"/>
      <c r="AK37" s="747"/>
      <c r="AL37" s="763"/>
      <c r="AM37" s="747"/>
      <c r="AN37" s="763"/>
      <c r="AO37" s="747"/>
      <c r="AP37" s="763"/>
      <c r="AQ37" s="747"/>
      <c r="AR37" s="763"/>
      <c r="AS37" s="747"/>
    </row>
    <row r="38" spans="1:51" s="741" customFormat="1" ht="22.5" customHeight="1" thickBot="1">
      <c r="A38" s="490" t="s">
        <v>2562</v>
      </c>
      <c r="B38" s="858">
        <v>0.67410000000000003</v>
      </c>
      <c r="C38" s="825">
        <f>B38+D38+E38+F38+G38+H38+I38+J38+K38+L38+M38+N38+O38</f>
        <v>0.8631000000000002</v>
      </c>
      <c r="D38" s="826">
        <v>0</v>
      </c>
      <c r="E38" s="826">
        <v>0</v>
      </c>
      <c r="F38" s="826">
        <v>2.1000000000000001E-2</v>
      </c>
      <c r="G38" s="826">
        <v>2.1000000000000001E-2</v>
      </c>
      <c r="H38" s="826">
        <v>2.1000000000000001E-2</v>
      </c>
      <c r="I38" s="826">
        <v>2.1000000000000001E-2</v>
      </c>
      <c r="J38" s="853">
        <v>2.1000000000000001E-2</v>
      </c>
      <c r="K38" s="853">
        <v>2.1000000000000001E-2</v>
      </c>
      <c r="L38" s="826">
        <v>2.1000000000000001E-2</v>
      </c>
      <c r="M38" s="826">
        <v>2.1000000000000001E-2</v>
      </c>
      <c r="N38" s="853">
        <v>2.1000000000000001E-2</v>
      </c>
      <c r="O38" s="853"/>
      <c r="P38" s="869" t="s">
        <v>2563</v>
      </c>
      <c r="Q38" s="537" t="s">
        <v>2564</v>
      </c>
      <c r="R38" s="553" t="s">
        <v>2565</v>
      </c>
      <c r="S38" s="828" t="s">
        <v>542</v>
      </c>
      <c r="T38" s="521" t="s">
        <v>89</v>
      </c>
      <c r="U38" s="522">
        <f>BK38/1100000</f>
        <v>0</v>
      </c>
      <c r="V38" s="523" t="s">
        <v>7</v>
      </c>
      <c r="W38" s="524" t="e">
        <f>U38*0.8-(#REF!+W39)</f>
        <v>#REF!</v>
      </c>
      <c r="X38" s="299" t="s">
        <v>90</v>
      </c>
      <c r="Y38" s="547" t="s">
        <v>34</v>
      </c>
      <c r="Z38" s="829" t="s">
        <v>1840</v>
      </c>
      <c r="AA38" s="829"/>
      <c r="AB38" s="735" t="s">
        <v>89</v>
      </c>
      <c r="AC38" s="794">
        <v>1715910000</v>
      </c>
      <c r="AD38" s="749" t="s">
        <v>98</v>
      </c>
      <c r="AE38" s="738">
        <f>SUM(AF38:AS38)</f>
        <v>37357152</v>
      </c>
      <c r="AF38" s="830" t="s">
        <v>1104</v>
      </c>
      <c r="AG38" s="740">
        <v>18678576</v>
      </c>
      <c r="AH38" s="832" t="s">
        <v>1105</v>
      </c>
      <c r="AI38" s="740"/>
      <c r="AJ38" s="832" t="s">
        <v>2543</v>
      </c>
      <c r="AK38" s="740"/>
      <c r="AL38" s="832" t="s">
        <v>55</v>
      </c>
      <c r="AM38" s="740">
        <f>AG38</f>
        <v>18678576</v>
      </c>
      <c r="AN38" s="832" t="s">
        <v>1081</v>
      </c>
      <c r="AO38" s="740"/>
      <c r="AP38" s="832"/>
      <c r="AQ38" s="740"/>
      <c r="AR38" s="832"/>
      <c r="AS38" s="740"/>
    </row>
    <row r="39" spans="1:51" s="741" customFormat="1" ht="22.5" customHeight="1" thickBot="1">
      <c r="A39" s="495"/>
      <c r="B39" s="861"/>
      <c r="C39" s="834"/>
      <c r="D39" s="560" t="s">
        <v>2567</v>
      </c>
      <c r="E39" s="560" t="s">
        <v>2567</v>
      </c>
      <c r="F39" s="560" t="s">
        <v>2568</v>
      </c>
      <c r="G39" s="560" t="s">
        <v>2568</v>
      </c>
      <c r="H39" s="560" t="s">
        <v>2569</v>
      </c>
      <c r="I39" s="560" t="s">
        <v>2570</v>
      </c>
      <c r="J39" s="841" t="s">
        <v>2571</v>
      </c>
      <c r="K39" s="841" t="s">
        <v>2572</v>
      </c>
      <c r="L39" s="560" t="s">
        <v>2573</v>
      </c>
      <c r="M39" s="560" t="s">
        <v>2574</v>
      </c>
      <c r="N39" s="560" t="s">
        <v>2575</v>
      </c>
      <c r="O39" s="560"/>
      <c r="P39" s="870"/>
      <c r="Q39" s="531"/>
      <c r="R39" s="557"/>
      <c r="S39" s="843" t="s">
        <v>816</v>
      </c>
      <c r="T39" s="526" t="s">
        <v>817</v>
      </c>
      <c r="U39" s="527" t="e">
        <f>U38-#REF!</f>
        <v>#REF!</v>
      </c>
      <c r="V39" s="532" t="s">
        <v>818</v>
      </c>
      <c r="W39" s="529" t="e">
        <f>(#REF!+BM39)/1100000</f>
        <v>#REF!</v>
      </c>
      <c r="X39" s="89"/>
      <c r="Y39" s="73"/>
      <c r="Z39" s="837"/>
      <c r="AA39" s="837"/>
      <c r="AB39" s="735" t="s">
        <v>817</v>
      </c>
      <c r="AC39" s="744" t="e">
        <f>AC38-#REF!</f>
        <v>#REF!</v>
      </c>
      <c r="AD39" s="749" t="s">
        <v>824</v>
      </c>
      <c r="AE39" s="738"/>
      <c r="AF39" s="763"/>
      <c r="AG39" s="747"/>
      <c r="AH39" s="763"/>
      <c r="AI39" s="747"/>
      <c r="AJ39" s="763"/>
      <c r="AK39" s="747"/>
      <c r="AL39" s="763"/>
      <c r="AM39" s="747"/>
      <c r="AN39" s="763"/>
      <c r="AO39" s="747"/>
      <c r="AP39" s="763"/>
      <c r="AQ39" s="747"/>
      <c r="AR39" s="763"/>
      <c r="AS39" s="747"/>
      <c r="AT39" s="745"/>
      <c r="AU39" s="745"/>
      <c r="AV39" s="745"/>
      <c r="AW39" s="745"/>
      <c r="AX39" s="745"/>
      <c r="AY39" s="745"/>
    </row>
    <row r="40" spans="1:51" s="741" customFormat="1" ht="22.5" customHeight="1" thickBot="1">
      <c r="A40" s="490" t="s">
        <v>2576</v>
      </c>
      <c r="B40" s="858">
        <v>0.90100000000000002</v>
      </c>
      <c r="C40" s="825">
        <f>B40+D40+E40+F40+G40+H40+I40+J40+K40+L40+M40+N40+O40</f>
        <v>0.99900000000000011</v>
      </c>
      <c r="D40" s="826">
        <v>1.2999999999999999E-2</v>
      </c>
      <c r="E40" s="826">
        <v>1.2999999999999999E-2</v>
      </c>
      <c r="F40" s="826">
        <v>1.2999999999999999E-2</v>
      </c>
      <c r="G40" s="826">
        <v>1.2999999999999999E-2</v>
      </c>
      <c r="H40" s="826">
        <v>5.0000000000000001E-3</v>
      </c>
      <c r="I40" s="826">
        <v>0.01</v>
      </c>
      <c r="J40" s="826">
        <v>0.01</v>
      </c>
      <c r="K40" s="826">
        <v>0.01</v>
      </c>
      <c r="L40" s="826">
        <v>5.0000000000000001E-3</v>
      </c>
      <c r="M40" s="826">
        <v>5.0000000000000001E-3</v>
      </c>
      <c r="N40" s="826">
        <v>1E-3</v>
      </c>
      <c r="O40" s="826"/>
      <c r="P40" s="838" t="s">
        <v>2577</v>
      </c>
      <c r="Q40" s="537" t="s">
        <v>2578</v>
      </c>
      <c r="R40" s="254" t="s">
        <v>2579</v>
      </c>
      <c r="S40" s="828" t="s">
        <v>2580</v>
      </c>
      <c r="T40" s="521" t="s">
        <v>814</v>
      </c>
      <c r="U40" s="522">
        <f t="shared" ref="U40" si="54">BK40/1100000</f>
        <v>0</v>
      </c>
      <c r="V40" s="523" t="s">
        <v>832</v>
      </c>
      <c r="W40" s="524" t="e">
        <f>U40*0.8-(#REF!+W41)</f>
        <v>#REF!</v>
      </c>
      <c r="X40" s="299" t="s">
        <v>812</v>
      </c>
      <c r="Y40" s="547" t="s">
        <v>813</v>
      </c>
      <c r="Z40" s="829" t="s">
        <v>2581</v>
      </c>
      <c r="AA40" s="829"/>
      <c r="AB40" s="735" t="s">
        <v>814</v>
      </c>
      <c r="AC40" s="794">
        <v>1396407290</v>
      </c>
      <c r="AD40" s="749" t="s">
        <v>35</v>
      </c>
      <c r="AE40" s="738">
        <f>SUM(AF40:AS40)</f>
        <v>0</v>
      </c>
      <c r="AF40" s="830" t="s">
        <v>1078</v>
      </c>
      <c r="AG40" s="740"/>
      <c r="AH40" s="832" t="s">
        <v>1079</v>
      </c>
      <c r="AI40" s="740">
        <f>AG40</f>
        <v>0</v>
      </c>
      <c r="AJ40" s="832" t="s">
        <v>2543</v>
      </c>
      <c r="AK40" s="740">
        <f>AG40</f>
        <v>0</v>
      </c>
      <c r="AL40" s="832" t="s">
        <v>1080</v>
      </c>
      <c r="AM40" s="740"/>
      <c r="AN40" s="832" t="s">
        <v>1081</v>
      </c>
      <c r="AO40" s="740"/>
      <c r="AP40" s="832"/>
      <c r="AQ40" s="740"/>
      <c r="AR40" s="832"/>
      <c r="AS40" s="740"/>
    </row>
    <row r="41" spans="1:51" s="741" customFormat="1" ht="22.5" customHeight="1" thickBot="1">
      <c r="A41" s="495"/>
      <c r="B41" s="861"/>
      <c r="C41" s="834"/>
      <c r="D41" s="560" t="s">
        <v>2582</v>
      </c>
      <c r="E41" s="560" t="s">
        <v>2583</v>
      </c>
      <c r="F41" s="560" t="s">
        <v>2584</v>
      </c>
      <c r="G41" s="560" t="s">
        <v>2585</v>
      </c>
      <c r="H41" s="560" t="s">
        <v>2586</v>
      </c>
      <c r="I41" s="560" t="s">
        <v>2587</v>
      </c>
      <c r="J41" s="560" t="s">
        <v>2588</v>
      </c>
      <c r="K41" s="560" t="s">
        <v>2588</v>
      </c>
      <c r="L41" s="560" t="s">
        <v>2589</v>
      </c>
      <c r="M41" s="560" t="s">
        <v>2590</v>
      </c>
      <c r="N41" s="560" t="s">
        <v>2591</v>
      </c>
      <c r="O41" s="560"/>
      <c r="P41" s="842"/>
      <c r="Q41" s="531"/>
      <c r="R41" s="255"/>
      <c r="S41" s="843" t="s">
        <v>816</v>
      </c>
      <c r="T41" s="526" t="s">
        <v>817</v>
      </c>
      <c r="U41" s="527" t="e">
        <f>U40-#REF!</f>
        <v>#REF!</v>
      </c>
      <c r="V41" s="532" t="s">
        <v>818</v>
      </c>
      <c r="W41" s="529" t="e">
        <f>(#REF!+BM41)/1100000</f>
        <v>#REF!</v>
      </c>
      <c r="X41" s="89"/>
      <c r="Y41" s="73"/>
      <c r="Z41" s="837"/>
      <c r="AA41" s="837"/>
      <c r="AB41" s="735" t="s">
        <v>817</v>
      </c>
      <c r="AC41" s="744" t="e">
        <f>AC40-#REF!</f>
        <v>#REF!</v>
      </c>
      <c r="AD41" s="749" t="s">
        <v>824</v>
      </c>
      <c r="AE41" s="738"/>
      <c r="AF41" s="763"/>
      <c r="AG41" s="747"/>
      <c r="AH41" s="763"/>
      <c r="AI41" s="747"/>
      <c r="AJ41" s="763"/>
      <c r="AK41" s="747"/>
      <c r="AL41" s="763"/>
      <c r="AM41" s="747"/>
      <c r="AN41" s="763"/>
      <c r="AO41" s="747"/>
      <c r="AP41" s="763"/>
      <c r="AQ41" s="747"/>
      <c r="AR41" s="763"/>
      <c r="AS41" s="747"/>
      <c r="AT41" s="745"/>
      <c r="AU41" s="745"/>
      <c r="AV41" s="745"/>
      <c r="AW41" s="745"/>
      <c r="AX41" s="745"/>
      <c r="AY41" s="745"/>
    </row>
    <row r="42" spans="1:51" s="741" customFormat="1" ht="22.5" customHeight="1" thickBot="1">
      <c r="A42" s="490" t="s">
        <v>2592</v>
      </c>
      <c r="B42" s="871">
        <v>0.82199999999999995</v>
      </c>
      <c r="C42" s="825">
        <f>B42+D42+E42+F42+G42+H42+I42+J42+K42+L42+M42+N42+O42</f>
        <v>1.0006000000000002</v>
      </c>
      <c r="D42" s="826"/>
      <c r="E42" s="826"/>
      <c r="F42" s="826">
        <v>2.5000000000000001E-2</v>
      </c>
      <c r="G42" s="826">
        <v>2.5000000000000001E-2</v>
      </c>
      <c r="H42" s="826">
        <v>2.4799999999999999E-2</v>
      </c>
      <c r="I42" s="826">
        <v>2.4799999999999999E-2</v>
      </c>
      <c r="J42" s="826">
        <v>1.9E-2</v>
      </c>
      <c r="K42" s="826">
        <v>0.02</v>
      </c>
      <c r="L42" s="826">
        <v>0.02</v>
      </c>
      <c r="M42" s="826">
        <v>0.02</v>
      </c>
      <c r="N42" s="826"/>
      <c r="O42" s="826"/>
      <c r="P42" s="838" t="s">
        <v>2594</v>
      </c>
      <c r="Q42" s="537" t="s">
        <v>2595</v>
      </c>
      <c r="R42" s="254" t="s">
        <v>2596</v>
      </c>
      <c r="S42" s="828" t="s">
        <v>2597</v>
      </c>
      <c r="T42" s="521" t="s">
        <v>814</v>
      </c>
      <c r="U42" s="522">
        <f>BK42/1100000</f>
        <v>0</v>
      </c>
      <c r="V42" s="523" t="s">
        <v>832</v>
      </c>
      <c r="W42" s="524" t="e">
        <f>U42*0.8-(#REF!+W43)</f>
        <v>#REF!</v>
      </c>
      <c r="X42" s="299" t="s">
        <v>812</v>
      </c>
      <c r="Y42" s="547" t="s">
        <v>813</v>
      </c>
      <c r="Z42" s="829" t="s">
        <v>1848</v>
      </c>
      <c r="AA42" s="829"/>
      <c r="AB42" s="735" t="s">
        <v>814</v>
      </c>
      <c r="AC42" s="794">
        <v>556600000</v>
      </c>
      <c r="AD42" s="749" t="s">
        <v>35</v>
      </c>
      <c r="AE42" s="738">
        <f>SUM(AF42:AS42)</f>
        <v>9313423</v>
      </c>
      <c r="AF42" s="830" t="s">
        <v>1078</v>
      </c>
      <c r="AG42" s="740"/>
      <c r="AH42" s="832" t="s">
        <v>1079</v>
      </c>
      <c r="AI42" s="740">
        <f>AG42</f>
        <v>0</v>
      </c>
      <c r="AJ42" s="832" t="s">
        <v>2543</v>
      </c>
      <c r="AK42" s="740">
        <f>AG42</f>
        <v>0</v>
      </c>
      <c r="AL42" s="832" t="s">
        <v>796</v>
      </c>
      <c r="AM42" s="740">
        <f>11364178-2050755</f>
        <v>9313423</v>
      </c>
      <c r="AN42" s="832" t="s">
        <v>1081</v>
      </c>
      <c r="AO42" s="740"/>
      <c r="AP42" s="832"/>
      <c r="AQ42" s="740"/>
      <c r="AR42" s="832"/>
      <c r="AS42" s="740"/>
    </row>
    <row r="43" spans="1:51" s="741" customFormat="1" ht="22.5" customHeight="1" thickBot="1">
      <c r="A43" s="495"/>
      <c r="B43" s="872"/>
      <c r="C43" s="834"/>
      <c r="D43" s="560" t="s">
        <v>2567</v>
      </c>
      <c r="E43" s="560" t="s">
        <v>2567</v>
      </c>
      <c r="F43" s="560" t="s">
        <v>2598</v>
      </c>
      <c r="G43" s="560" t="s">
        <v>2598</v>
      </c>
      <c r="H43" s="560" t="s">
        <v>2599</v>
      </c>
      <c r="I43" s="560" t="s">
        <v>2600</v>
      </c>
      <c r="J43" s="841" t="s">
        <v>2601</v>
      </c>
      <c r="K43" s="841" t="s">
        <v>2602</v>
      </c>
      <c r="L43" s="560" t="s">
        <v>2603</v>
      </c>
      <c r="M43" s="560" t="s">
        <v>2531</v>
      </c>
      <c r="N43" s="560"/>
      <c r="O43" s="560"/>
      <c r="P43" s="842"/>
      <c r="Q43" s="531"/>
      <c r="R43" s="255"/>
      <c r="S43" s="843" t="s">
        <v>816</v>
      </c>
      <c r="T43" s="526" t="s">
        <v>817</v>
      </c>
      <c r="U43" s="527" t="e">
        <f>U42-#REF!</f>
        <v>#REF!</v>
      </c>
      <c r="V43" s="532" t="s">
        <v>818</v>
      </c>
      <c r="W43" s="529" t="e">
        <f>(#REF!+BM43)/1100000</f>
        <v>#REF!</v>
      </c>
      <c r="X43" s="89"/>
      <c r="Y43" s="73"/>
      <c r="Z43" s="837"/>
      <c r="AA43" s="837"/>
      <c r="AB43" s="735" t="s">
        <v>817</v>
      </c>
      <c r="AC43" s="744" t="e">
        <f>AC42-#REF!</f>
        <v>#REF!</v>
      </c>
      <c r="AD43" s="749" t="s">
        <v>824</v>
      </c>
      <c r="AE43" s="738"/>
      <c r="AF43" s="763"/>
      <c r="AG43" s="747"/>
      <c r="AH43" s="763"/>
      <c r="AI43" s="747"/>
      <c r="AJ43" s="763"/>
      <c r="AK43" s="747"/>
      <c r="AL43" s="763"/>
      <c r="AM43" s="747"/>
      <c r="AN43" s="763"/>
      <c r="AO43" s="747"/>
      <c r="AP43" s="763"/>
      <c r="AQ43" s="747"/>
      <c r="AR43" s="763"/>
      <c r="AS43" s="747"/>
      <c r="AT43" s="745"/>
      <c r="AU43" s="745"/>
      <c r="AV43" s="745"/>
      <c r="AW43" s="745"/>
      <c r="AX43" s="745"/>
      <c r="AY43" s="745"/>
    </row>
    <row r="44" spans="1:51" s="741" customFormat="1" ht="22.5" customHeight="1" thickBot="1">
      <c r="A44" s="490" t="s">
        <v>2604</v>
      </c>
      <c r="B44" s="858">
        <v>0.97819999999999996</v>
      </c>
      <c r="C44" s="825">
        <f>B44+D44+E44+F44+G44+H44+I44+J44+K44+L44+M44+N44+O44</f>
        <v>1</v>
      </c>
      <c r="D44" s="826"/>
      <c r="E44" s="826"/>
      <c r="F44" s="826">
        <v>7.0000000000000001E-3</v>
      </c>
      <c r="G44" s="826">
        <v>7.0000000000000001E-3</v>
      </c>
      <c r="H44" s="826">
        <v>7.7999999999999996E-3</v>
      </c>
      <c r="I44" s="826"/>
      <c r="J44" s="826"/>
      <c r="K44" s="826"/>
      <c r="L44" s="826"/>
      <c r="M44" s="826"/>
      <c r="N44" s="826"/>
      <c r="O44" s="826"/>
      <c r="P44" s="869" t="s">
        <v>2594</v>
      </c>
      <c r="Q44" s="537" t="s">
        <v>2605</v>
      </c>
      <c r="R44" s="553" t="s">
        <v>2606</v>
      </c>
      <c r="S44" s="828" t="s">
        <v>2607</v>
      </c>
      <c r="T44" s="521" t="s">
        <v>814</v>
      </c>
      <c r="U44" s="522">
        <f>BK44/1100000</f>
        <v>0</v>
      </c>
      <c r="V44" s="523" t="s">
        <v>832</v>
      </c>
      <c r="W44" s="524" t="e">
        <f>U44*0.8-(#REF!+W45)</f>
        <v>#REF!</v>
      </c>
      <c r="X44" s="299" t="s">
        <v>812</v>
      </c>
      <c r="Y44" s="547" t="s">
        <v>813</v>
      </c>
      <c r="Z44" s="829" t="s">
        <v>2608</v>
      </c>
      <c r="AA44" s="829"/>
      <c r="AB44" s="735" t="s">
        <v>814</v>
      </c>
      <c r="AC44" s="794">
        <v>1218810000</v>
      </c>
      <c r="AD44" s="749" t="s">
        <v>35</v>
      </c>
      <c r="AE44" s="738">
        <f>SUM(AF44:AS44)</f>
        <v>0</v>
      </c>
      <c r="AF44" s="830" t="s">
        <v>1078</v>
      </c>
      <c r="AG44" s="740"/>
      <c r="AH44" s="832" t="s">
        <v>1079</v>
      </c>
      <c r="AI44" s="740">
        <f>AG44</f>
        <v>0</v>
      </c>
      <c r="AJ44" s="832" t="s">
        <v>2543</v>
      </c>
      <c r="AK44" s="740">
        <f>AG44</f>
        <v>0</v>
      </c>
      <c r="AL44" s="832" t="s">
        <v>796</v>
      </c>
      <c r="AM44" s="740"/>
      <c r="AN44" s="832" t="s">
        <v>1081</v>
      </c>
      <c r="AO44" s="740"/>
      <c r="AP44" s="832"/>
      <c r="AQ44" s="740"/>
      <c r="AR44" s="832"/>
      <c r="AS44" s="740"/>
    </row>
    <row r="45" spans="1:51" s="741" customFormat="1" ht="22.5" customHeight="1" thickBot="1">
      <c r="A45" s="495"/>
      <c r="B45" s="861"/>
      <c r="C45" s="834"/>
      <c r="D45" s="560" t="s">
        <v>2567</v>
      </c>
      <c r="E45" s="560" t="s">
        <v>2567</v>
      </c>
      <c r="F45" s="560" t="s">
        <v>2609</v>
      </c>
      <c r="G45" s="560" t="s">
        <v>2610</v>
      </c>
      <c r="H45" s="560" t="s">
        <v>2531</v>
      </c>
      <c r="I45" s="560"/>
      <c r="J45" s="841"/>
      <c r="K45" s="841"/>
      <c r="L45" s="560"/>
      <c r="M45" s="560"/>
      <c r="N45" s="560"/>
      <c r="O45" s="560"/>
      <c r="P45" s="870"/>
      <c r="Q45" s="531"/>
      <c r="R45" s="557"/>
      <c r="S45" s="843" t="s">
        <v>816</v>
      </c>
      <c r="T45" s="526" t="s">
        <v>817</v>
      </c>
      <c r="U45" s="527" t="e">
        <f>U44-#REF!</f>
        <v>#REF!</v>
      </c>
      <c r="V45" s="532" t="s">
        <v>818</v>
      </c>
      <c r="W45" s="529" t="e">
        <f>(#REF!+BM45)/1100000</f>
        <v>#REF!</v>
      </c>
      <c r="X45" s="89"/>
      <c r="Y45" s="73"/>
      <c r="Z45" s="837"/>
      <c r="AA45" s="837"/>
      <c r="AB45" s="735" t="s">
        <v>817</v>
      </c>
      <c r="AC45" s="744" t="e">
        <f>AC44-#REF!</f>
        <v>#REF!</v>
      </c>
      <c r="AD45" s="749" t="s">
        <v>824</v>
      </c>
      <c r="AE45" s="738"/>
      <c r="AF45" s="763"/>
      <c r="AG45" s="747"/>
      <c r="AH45" s="763"/>
      <c r="AI45" s="747"/>
      <c r="AJ45" s="763"/>
      <c r="AK45" s="747"/>
      <c r="AL45" s="763"/>
      <c r="AM45" s="747"/>
      <c r="AN45" s="763"/>
      <c r="AO45" s="747"/>
      <c r="AP45" s="763"/>
      <c r="AQ45" s="747"/>
      <c r="AR45" s="763"/>
      <c r="AS45" s="747"/>
      <c r="AT45" s="745"/>
      <c r="AU45" s="745"/>
      <c r="AV45" s="745"/>
      <c r="AW45" s="745"/>
      <c r="AX45" s="745"/>
      <c r="AY45" s="745"/>
    </row>
    <row r="46" spans="1:51" s="741" customFormat="1" ht="22.5" hidden="1" customHeight="1">
      <c r="A46" s="490" t="e">
        <f>A44+1</f>
        <v>#VALUE!</v>
      </c>
      <c r="B46" s="824">
        <v>1</v>
      </c>
      <c r="C46" s="873">
        <f>B46+D46+E46+F46+G46+H46+I46+J46+K46+L46+M46+N46+O46</f>
        <v>1</v>
      </c>
      <c r="D46" s="826"/>
      <c r="E46" s="826"/>
      <c r="F46" s="826"/>
      <c r="G46" s="826"/>
      <c r="H46" s="826"/>
      <c r="I46" s="826"/>
      <c r="J46" s="826"/>
      <c r="K46" s="826"/>
      <c r="L46" s="826"/>
      <c r="M46" s="826"/>
      <c r="N46" s="826"/>
      <c r="O46" s="826"/>
      <c r="P46" s="838" t="s">
        <v>2611</v>
      </c>
      <c r="Q46" s="537" t="s">
        <v>2612</v>
      </c>
      <c r="R46" s="254" t="s">
        <v>2613</v>
      </c>
      <c r="S46" s="828" t="s">
        <v>2614</v>
      </c>
      <c r="T46" s="521" t="s">
        <v>89</v>
      </c>
      <c r="U46" s="522">
        <f t="shared" ref="U46:U47" si="55">BK46/1100000</f>
        <v>0</v>
      </c>
      <c r="V46" s="523" t="s">
        <v>7</v>
      </c>
      <c r="W46" s="524">
        <f t="shared" ref="W46" si="56">U46*0.8-(W47+W48)</f>
        <v>0</v>
      </c>
      <c r="X46" s="299" t="s">
        <v>90</v>
      </c>
      <c r="Y46" s="547" t="s">
        <v>34</v>
      </c>
      <c r="Z46" s="829" t="s">
        <v>2615</v>
      </c>
      <c r="AA46" s="829"/>
      <c r="AB46" s="735" t="s">
        <v>89</v>
      </c>
      <c r="AC46" s="794">
        <v>366900000</v>
      </c>
      <c r="AD46" s="749" t="s">
        <v>98</v>
      </c>
      <c r="AE46" s="738">
        <f>SUM(AF46:AS46)</f>
        <v>0</v>
      </c>
      <c r="AF46" s="830" t="s">
        <v>1104</v>
      </c>
      <c r="AG46" s="740"/>
      <c r="AH46" s="832" t="s">
        <v>1105</v>
      </c>
      <c r="AI46" s="740">
        <f>AG46</f>
        <v>0</v>
      </c>
      <c r="AJ46" s="832" t="s">
        <v>2512</v>
      </c>
      <c r="AK46" s="740">
        <f>AG46</f>
        <v>0</v>
      </c>
      <c r="AL46" s="832" t="s">
        <v>55</v>
      </c>
      <c r="AM46" s="740"/>
      <c r="AN46" s="832" t="s">
        <v>52</v>
      </c>
      <c r="AO46" s="740"/>
      <c r="AP46" s="832"/>
      <c r="AQ46" s="740"/>
      <c r="AR46" s="832"/>
      <c r="AS46" s="740"/>
    </row>
    <row r="47" spans="1:51" s="741" customFormat="1" ht="22.5" hidden="1" customHeight="1" thickBot="1">
      <c r="A47" s="495"/>
      <c r="B47" s="833"/>
      <c r="C47" s="874"/>
      <c r="D47" s="530"/>
      <c r="E47" s="530"/>
      <c r="F47" s="530"/>
      <c r="G47" s="530"/>
      <c r="H47" s="530"/>
      <c r="I47" s="530"/>
      <c r="J47" s="530" t="e">
        <f>#REF!*J46</f>
        <v>#REF!</v>
      </c>
      <c r="K47" s="530"/>
      <c r="L47" s="530"/>
      <c r="M47" s="530"/>
      <c r="N47" s="530"/>
      <c r="O47" s="530"/>
      <c r="P47" s="839"/>
      <c r="Q47" s="531"/>
      <c r="R47" s="255"/>
      <c r="S47" s="840" t="s">
        <v>2616</v>
      </c>
      <c r="T47" s="526" t="s">
        <v>10</v>
      </c>
      <c r="U47" s="527">
        <f t="shared" si="55"/>
        <v>0</v>
      </c>
      <c r="V47" s="528" t="s">
        <v>104</v>
      </c>
      <c r="W47" s="529">
        <f t="shared" ref="W47" si="57">BM46/1000000</f>
        <v>0</v>
      </c>
      <c r="X47" s="548" t="e">
        <f>(C46-B46)*#REF!</f>
        <v>#REF!</v>
      </c>
      <c r="Y47" s="743" t="e">
        <f>(1-C46)*#REF!</f>
        <v>#REF!</v>
      </c>
      <c r="Z47" s="837"/>
      <c r="AA47" s="837"/>
      <c r="AB47" s="735" t="s">
        <v>10</v>
      </c>
      <c r="AC47" s="794">
        <v>366900000</v>
      </c>
      <c r="AD47" s="749" t="s">
        <v>95</v>
      </c>
      <c r="AE47" s="738">
        <f>SUM(AF47:AS47)</f>
        <v>0</v>
      </c>
      <c r="AF47" s="830" t="s">
        <v>56</v>
      </c>
      <c r="AG47" s="740"/>
      <c r="AH47" s="832" t="s">
        <v>12</v>
      </c>
      <c r="AI47" s="740"/>
      <c r="AJ47" s="832" t="s">
        <v>204</v>
      </c>
      <c r="AK47" s="740"/>
      <c r="AL47" s="832" t="s">
        <v>13</v>
      </c>
      <c r="AM47" s="740"/>
      <c r="AN47" s="832" t="s">
        <v>207</v>
      </c>
      <c r="AO47" s="740"/>
      <c r="AP47" s="832"/>
      <c r="AQ47" s="740"/>
      <c r="AR47" s="832"/>
      <c r="AS47" s="740"/>
      <c r="AT47" s="745"/>
      <c r="AU47" s="745"/>
      <c r="AV47" s="745"/>
      <c r="AW47" s="745"/>
      <c r="AX47" s="745"/>
      <c r="AY47" s="745"/>
    </row>
    <row r="48" spans="1:51" s="741" customFormat="1" ht="22.5" hidden="1" customHeight="1">
      <c r="A48" s="495"/>
      <c r="B48" s="833"/>
      <c r="C48" s="874"/>
      <c r="D48" s="560"/>
      <c r="E48" s="560"/>
      <c r="F48" s="560"/>
      <c r="G48" s="560"/>
      <c r="H48" s="560"/>
      <c r="I48" s="560"/>
      <c r="J48" s="841"/>
      <c r="K48" s="841"/>
      <c r="L48" s="560"/>
      <c r="M48" s="560"/>
      <c r="N48" s="560"/>
      <c r="O48" s="560"/>
      <c r="P48" s="842"/>
      <c r="Q48" s="531"/>
      <c r="R48" s="255"/>
      <c r="S48" s="843" t="s">
        <v>67</v>
      </c>
      <c r="T48" s="526" t="s">
        <v>196</v>
      </c>
      <c r="U48" s="527">
        <f t="shared" ref="U48" si="58">U46-U47</f>
        <v>0</v>
      </c>
      <c r="V48" s="532" t="s">
        <v>15</v>
      </c>
      <c r="W48" s="529">
        <f t="shared" ref="W48" si="59">(BM47+BM48)/1100000</f>
        <v>0</v>
      </c>
      <c r="X48" s="89"/>
      <c r="Y48" s="73"/>
      <c r="Z48" s="837"/>
      <c r="AA48" s="837"/>
      <c r="AB48" s="735" t="s">
        <v>196</v>
      </c>
      <c r="AC48" s="744">
        <f>AC46-AC47</f>
        <v>0</v>
      </c>
      <c r="AD48" s="749" t="s">
        <v>100</v>
      </c>
      <c r="AE48" s="738"/>
      <c r="AF48" s="763"/>
      <c r="AG48" s="747"/>
      <c r="AH48" s="763"/>
      <c r="AI48" s="747"/>
      <c r="AJ48" s="763"/>
      <c r="AK48" s="747"/>
      <c r="AL48" s="763"/>
      <c r="AM48" s="747"/>
      <c r="AN48" s="763"/>
      <c r="AO48" s="747"/>
      <c r="AP48" s="763"/>
      <c r="AQ48" s="747"/>
      <c r="AR48" s="763"/>
      <c r="AS48" s="747"/>
      <c r="AT48" s="745"/>
      <c r="AU48" s="745"/>
      <c r="AV48" s="745"/>
      <c r="AW48" s="745"/>
      <c r="AX48" s="745"/>
      <c r="AY48" s="745"/>
    </row>
    <row r="49" spans="1:51" s="741" customFormat="1" ht="22.5" hidden="1" customHeight="1" thickBot="1">
      <c r="A49" s="502"/>
      <c r="B49" s="844"/>
      <c r="C49" s="875"/>
      <c r="D49" s="562"/>
      <c r="E49" s="562"/>
      <c r="F49" s="562"/>
      <c r="G49" s="562"/>
      <c r="H49" s="562"/>
      <c r="I49" s="562"/>
      <c r="J49" s="846"/>
      <c r="K49" s="846"/>
      <c r="L49" s="562"/>
      <c r="M49" s="562"/>
      <c r="N49" s="562"/>
      <c r="O49" s="562"/>
      <c r="P49" s="592" t="e">
        <f>(C46-#REF!)*#REF!</f>
        <v>#REF!</v>
      </c>
      <c r="Q49" s="534"/>
      <c r="R49" s="546" t="s">
        <v>1302</v>
      </c>
      <c r="S49" s="847" t="s">
        <v>2617</v>
      </c>
      <c r="T49" s="535" t="s">
        <v>17</v>
      </c>
      <c r="U49" s="536" t="e">
        <f t="shared" ref="U49" si="60">ROUNDDOWN((U47/U46),3)</f>
        <v>#DIV/0!</v>
      </c>
      <c r="V49" s="535" t="s">
        <v>88</v>
      </c>
      <c r="W49" s="536" t="e">
        <f t="shared" ref="W49" si="61">(U46-(W47+W48)/0.7)/U46</f>
        <v>#DIV/0!</v>
      </c>
      <c r="X49" s="549"/>
      <c r="Y49" s="550"/>
      <c r="Z49" s="848"/>
      <c r="AA49" s="848"/>
      <c r="AB49" s="735"/>
      <c r="AC49" s="748">
        <f>AC47/AC46</f>
        <v>1</v>
      </c>
      <c r="AD49" s="764" t="s">
        <v>103</v>
      </c>
      <c r="AE49" s="750">
        <f>SUM(AE46:AE48)</f>
        <v>0</v>
      </c>
      <c r="AF49" s="763"/>
      <c r="AG49" s="747"/>
      <c r="AH49" s="763"/>
      <c r="AI49" s="747"/>
      <c r="AJ49" s="763"/>
      <c r="AK49" s="747"/>
      <c r="AL49" s="763"/>
      <c r="AM49" s="747"/>
      <c r="AN49" s="763"/>
      <c r="AO49" s="747"/>
      <c r="AP49" s="763"/>
      <c r="AQ49" s="747"/>
      <c r="AR49" s="763"/>
      <c r="AS49" s="747"/>
    </row>
    <row r="50" spans="1:51" s="741" customFormat="1" ht="22.5" customHeight="1" thickBot="1">
      <c r="A50" s="490" t="s">
        <v>2618</v>
      </c>
      <c r="B50" s="858">
        <v>0.61760000000000004</v>
      </c>
      <c r="C50" s="825">
        <f>B50+D50+E50+F50+G50+H50+I50+J50+K50+L50+M50+N50+O50</f>
        <v>0.78260000000000018</v>
      </c>
      <c r="D50" s="826">
        <v>1.4999999999999999E-2</v>
      </c>
      <c r="E50" s="826">
        <v>1.4999999999999999E-2</v>
      </c>
      <c r="F50" s="826">
        <v>1.4999999999999999E-2</v>
      </c>
      <c r="G50" s="826">
        <v>1.4999999999999999E-2</v>
      </c>
      <c r="H50" s="826">
        <v>1.4999999999999999E-2</v>
      </c>
      <c r="I50" s="826">
        <v>1.4999999999999999E-2</v>
      </c>
      <c r="J50" s="826">
        <v>1.4999999999999999E-2</v>
      </c>
      <c r="K50" s="826">
        <v>1.4999999999999999E-2</v>
      </c>
      <c r="L50" s="826">
        <v>1.4999999999999999E-2</v>
      </c>
      <c r="M50" s="826">
        <v>1.4999999999999999E-2</v>
      </c>
      <c r="N50" s="826">
        <v>1.4999999999999999E-2</v>
      </c>
      <c r="O50" s="826"/>
      <c r="P50" s="869" t="s">
        <v>2619</v>
      </c>
      <c r="Q50" s="537" t="s">
        <v>2620</v>
      </c>
      <c r="R50" s="553" t="s">
        <v>2621</v>
      </c>
      <c r="S50" s="828" t="s">
        <v>2622</v>
      </c>
      <c r="T50" s="521" t="s">
        <v>89</v>
      </c>
      <c r="U50" s="522">
        <f>BK50/1100000</f>
        <v>0</v>
      </c>
      <c r="V50" s="523" t="s">
        <v>7</v>
      </c>
      <c r="W50" s="524" t="e">
        <f>U50*0.8-(#REF!+W51)</f>
        <v>#REF!</v>
      </c>
      <c r="X50" s="299" t="s">
        <v>90</v>
      </c>
      <c r="Y50" s="547" t="s">
        <v>34</v>
      </c>
      <c r="Z50" s="829" t="s">
        <v>2623</v>
      </c>
      <c r="AA50" s="829"/>
      <c r="AB50" s="735" t="s">
        <v>89</v>
      </c>
      <c r="AC50" s="794">
        <v>561068400</v>
      </c>
      <c r="AD50" s="749" t="s">
        <v>98</v>
      </c>
      <c r="AE50" s="738">
        <f>SUM(AF50:AS50)</f>
        <v>14572779</v>
      </c>
      <c r="AF50" s="830" t="s">
        <v>1104</v>
      </c>
      <c r="AG50" s="740">
        <v>14572779</v>
      </c>
      <c r="AH50" s="832" t="s">
        <v>1105</v>
      </c>
      <c r="AI50" s="740"/>
      <c r="AJ50" s="832" t="s">
        <v>2543</v>
      </c>
      <c r="AK50" s="740"/>
      <c r="AL50" s="832" t="s">
        <v>55</v>
      </c>
      <c r="AM50" s="740"/>
      <c r="AN50" s="832" t="s">
        <v>52</v>
      </c>
      <c r="AO50" s="740"/>
      <c r="AP50" s="832"/>
      <c r="AQ50" s="740"/>
      <c r="AR50" s="832"/>
      <c r="AS50" s="740"/>
    </row>
    <row r="51" spans="1:51" s="741" customFormat="1" ht="22.5" customHeight="1" thickBot="1">
      <c r="A51" s="495"/>
      <c r="B51" s="861"/>
      <c r="C51" s="834"/>
      <c r="D51" s="560" t="s">
        <v>2624</v>
      </c>
      <c r="E51" s="560" t="s">
        <v>2625</v>
      </c>
      <c r="F51" s="560" t="s">
        <v>2626</v>
      </c>
      <c r="G51" s="560" t="s">
        <v>2627</v>
      </c>
      <c r="H51" s="560" t="s">
        <v>2628</v>
      </c>
      <c r="I51" s="560" t="s">
        <v>2629</v>
      </c>
      <c r="J51" s="560" t="s">
        <v>2630</v>
      </c>
      <c r="K51" s="560" t="s">
        <v>2631</v>
      </c>
      <c r="L51" s="560" t="s">
        <v>2632</v>
      </c>
      <c r="M51" s="560" t="s">
        <v>2633</v>
      </c>
      <c r="N51" s="560" t="s">
        <v>2634</v>
      </c>
      <c r="O51" s="560"/>
      <c r="P51" s="870"/>
      <c r="Q51" s="531"/>
      <c r="R51" s="557"/>
      <c r="S51" s="843" t="s">
        <v>67</v>
      </c>
      <c r="T51" s="526" t="s">
        <v>196</v>
      </c>
      <c r="U51" s="527" t="e">
        <f>U50-#REF!</f>
        <v>#REF!</v>
      </c>
      <c r="V51" s="532" t="s">
        <v>15</v>
      </c>
      <c r="W51" s="529" t="e">
        <f>(#REF!+BM51)/1100000</f>
        <v>#REF!</v>
      </c>
      <c r="X51" s="89"/>
      <c r="Y51" s="73"/>
      <c r="Z51" s="837"/>
      <c r="AA51" s="837"/>
      <c r="AB51" s="735" t="s">
        <v>196</v>
      </c>
      <c r="AC51" s="744" t="e">
        <f>AC50-#REF!</f>
        <v>#REF!</v>
      </c>
      <c r="AD51" s="749" t="s">
        <v>100</v>
      </c>
      <c r="AE51" s="738"/>
      <c r="AF51" s="763"/>
      <c r="AG51" s="747"/>
      <c r="AH51" s="763"/>
      <c r="AI51" s="747"/>
      <c r="AJ51" s="763"/>
      <c r="AK51" s="747"/>
      <c r="AL51" s="763"/>
      <c r="AM51" s="747"/>
      <c r="AN51" s="763"/>
      <c r="AO51" s="747"/>
      <c r="AP51" s="763"/>
      <c r="AQ51" s="747"/>
      <c r="AR51" s="763"/>
      <c r="AS51" s="747"/>
      <c r="AT51" s="745"/>
      <c r="AU51" s="745"/>
      <c r="AV51" s="745"/>
      <c r="AW51" s="745"/>
      <c r="AX51" s="745"/>
      <c r="AY51" s="745"/>
    </row>
    <row r="52" spans="1:51" s="741" customFormat="1" ht="22.5" hidden="1" customHeight="1">
      <c r="A52" s="490" t="e">
        <f>A50+1</f>
        <v>#VALUE!</v>
      </c>
      <c r="B52" s="858">
        <v>1</v>
      </c>
      <c r="C52" s="825">
        <f>B52+D52+E52+F52+G52+H52+I52+J52+K52+L52+M52+N52+O52</f>
        <v>1</v>
      </c>
      <c r="D52" s="826"/>
      <c r="E52" s="826"/>
      <c r="F52" s="826"/>
      <c r="G52" s="826"/>
      <c r="H52" s="826"/>
      <c r="I52" s="826"/>
      <c r="J52" s="826"/>
      <c r="K52" s="826"/>
      <c r="L52" s="826"/>
      <c r="M52" s="826"/>
      <c r="N52" s="826"/>
      <c r="O52" s="826"/>
      <c r="P52" s="838" t="s">
        <v>2594</v>
      </c>
      <c r="Q52" s="537" t="s">
        <v>2635</v>
      </c>
      <c r="R52" s="553" t="s">
        <v>2636</v>
      </c>
      <c r="S52" s="828" t="s">
        <v>2637</v>
      </c>
      <c r="T52" s="521" t="s">
        <v>814</v>
      </c>
      <c r="U52" s="522">
        <f t="shared" ref="U52:U53" si="62">BK52/1100000</f>
        <v>0</v>
      </c>
      <c r="V52" s="523" t="s">
        <v>832</v>
      </c>
      <c r="W52" s="524">
        <f t="shared" ref="W52" si="63">U52*0.8-(W53+W54)</f>
        <v>0</v>
      </c>
      <c r="X52" s="299" t="s">
        <v>812</v>
      </c>
      <c r="Y52" s="547" t="s">
        <v>813</v>
      </c>
      <c r="Z52" s="829" t="s">
        <v>2638</v>
      </c>
      <c r="AA52" s="829"/>
      <c r="AB52" s="735" t="s">
        <v>814</v>
      </c>
      <c r="AC52" s="794">
        <v>835756600</v>
      </c>
      <c r="AD52" s="749" t="s">
        <v>35</v>
      </c>
      <c r="AE52" s="738">
        <f>SUM(AF52:AS52)</f>
        <v>0</v>
      </c>
      <c r="AF52" s="830" t="s">
        <v>1078</v>
      </c>
      <c r="AG52" s="740"/>
      <c r="AH52" s="832" t="s">
        <v>1079</v>
      </c>
      <c r="AI52" s="740">
        <f>AG52</f>
        <v>0</v>
      </c>
      <c r="AJ52" s="832" t="s">
        <v>2543</v>
      </c>
      <c r="AK52" s="740">
        <f>AG52</f>
        <v>0</v>
      </c>
      <c r="AL52" s="832" t="s">
        <v>796</v>
      </c>
      <c r="AM52" s="740"/>
      <c r="AN52" s="832" t="s">
        <v>1081</v>
      </c>
      <c r="AO52" s="740"/>
      <c r="AP52" s="832"/>
      <c r="AQ52" s="740"/>
      <c r="AR52" s="832"/>
      <c r="AS52" s="740"/>
    </row>
    <row r="53" spans="1:51" s="741" customFormat="1" ht="22.5" hidden="1" customHeight="1" thickBot="1">
      <c r="A53" s="495"/>
      <c r="B53" s="861"/>
      <c r="C53" s="834"/>
      <c r="D53" s="530" t="e">
        <f>#REF!*D52</f>
        <v>#REF!</v>
      </c>
      <c r="E53" s="530" t="e">
        <f>#REF!*E52</f>
        <v>#REF!</v>
      </c>
      <c r="F53" s="530" t="e">
        <f>#REF!*F52</f>
        <v>#REF!</v>
      </c>
      <c r="G53" s="530" t="e">
        <f>#REF!*G52</f>
        <v>#REF!</v>
      </c>
      <c r="H53" s="530" t="e">
        <f>#REF!*H52</f>
        <v>#REF!</v>
      </c>
      <c r="I53" s="530" t="e">
        <f>#REF!*I52</f>
        <v>#REF!</v>
      </c>
      <c r="J53" s="530" t="e">
        <f>#REF!*J52</f>
        <v>#REF!</v>
      </c>
      <c r="K53" s="530" t="e">
        <f>#REF!*K52</f>
        <v>#REF!</v>
      </c>
      <c r="L53" s="530" t="e">
        <f>#REF!*L52</f>
        <v>#REF!</v>
      </c>
      <c r="M53" s="530" t="e">
        <f>#REF!*M52</f>
        <v>#REF!</v>
      </c>
      <c r="N53" s="530" t="e">
        <f>#REF!*N52</f>
        <v>#REF!</v>
      </c>
      <c r="O53" s="530" t="e">
        <f>#REF!*O52</f>
        <v>#REF!</v>
      </c>
      <c r="P53" s="876"/>
      <c r="Q53" s="531"/>
      <c r="R53" s="557"/>
      <c r="S53" s="840" t="s">
        <v>2639</v>
      </c>
      <c r="T53" s="526" t="s">
        <v>798</v>
      </c>
      <c r="U53" s="527">
        <f t="shared" si="62"/>
        <v>0</v>
      </c>
      <c r="V53" s="528" t="s">
        <v>799</v>
      </c>
      <c r="W53" s="529">
        <f t="shared" ref="W53" si="64">BM52/1000000</f>
        <v>0</v>
      </c>
      <c r="X53" s="548" t="e">
        <f>(C52-B52)*#REF!</f>
        <v>#REF!</v>
      </c>
      <c r="Y53" s="743" t="e">
        <f>(1-C52)*#REF!</f>
        <v>#REF!</v>
      </c>
      <c r="Z53" s="837"/>
      <c r="AA53" s="837"/>
      <c r="AB53" s="735" t="s">
        <v>798</v>
      </c>
      <c r="AC53" s="794">
        <v>835756600</v>
      </c>
      <c r="AD53" s="749" t="s">
        <v>801</v>
      </c>
      <c r="AE53" s="738">
        <f>SUM(AF53:AS53)</f>
        <v>0</v>
      </c>
      <c r="AF53" s="830" t="s">
        <v>815</v>
      </c>
      <c r="AG53" s="740"/>
      <c r="AH53" s="832" t="s">
        <v>890</v>
      </c>
      <c r="AI53" s="740"/>
      <c r="AJ53" s="832" t="s">
        <v>1089</v>
      </c>
      <c r="AK53" s="740"/>
      <c r="AL53" s="832" t="s">
        <v>1090</v>
      </c>
      <c r="AM53" s="740"/>
      <c r="AN53" s="832" t="s">
        <v>1080</v>
      </c>
      <c r="AO53" s="740"/>
      <c r="AP53" s="832"/>
      <c r="AQ53" s="740"/>
      <c r="AR53" s="832"/>
      <c r="AS53" s="740"/>
      <c r="AT53" s="745"/>
      <c r="AU53" s="745"/>
      <c r="AV53" s="745"/>
      <c r="AW53" s="745"/>
      <c r="AX53" s="745"/>
      <c r="AY53" s="745"/>
    </row>
    <row r="54" spans="1:51" s="741" customFormat="1" ht="22.5" hidden="1" customHeight="1">
      <c r="A54" s="495"/>
      <c r="B54" s="861"/>
      <c r="C54" s="834"/>
      <c r="D54" s="560"/>
      <c r="E54" s="560"/>
      <c r="F54" s="560"/>
      <c r="G54" s="560"/>
      <c r="H54" s="560"/>
      <c r="I54" s="560"/>
      <c r="J54" s="560"/>
      <c r="K54" s="560"/>
      <c r="L54" s="560"/>
      <c r="M54" s="560"/>
      <c r="N54" s="560"/>
      <c r="O54" s="560"/>
      <c r="P54" s="870"/>
      <c r="Q54" s="531"/>
      <c r="R54" s="557"/>
      <c r="S54" s="843" t="s">
        <v>816</v>
      </c>
      <c r="T54" s="526" t="s">
        <v>817</v>
      </c>
      <c r="U54" s="527">
        <f t="shared" ref="U54" si="65">U52-U53</f>
        <v>0</v>
      </c>
      <c r="V54" s="532" t="s">
        <v>818</v>
      </c>
      <c r="W54" s="529">
        <f t="shared" ref="W54" si="66">(BM53+BM54)/1100000</f>
        <v>0</v>
      </c>
      <c r="X54" s="89"/>
      <c r="Y54" s="73"/>
      <c r="Z54" s="837"/>
      <c r="AA54" s="837"/>
      <c r="AB54" s="735" t="s">
        <v>817</v>
      </c>
      <c r="AC54" s="744">
        <f>AC52-AC53</f>
        <v>0</v>
      </c>
      <c r="AD54" s="749" t="s">
        <v>824</v>
      </c>
      <c r="AE54" s="738"/>
      <c r="AF54" s="763"/>
      <c r="AG54" s="747"/>
      <c r="AH54" s="763"/>
      <c r="AI54" s="747"/>
      <c r="AJ54" s="763"/>
      <c r="AK54" s="747"/>
      <c r="AL54" s="763"/>
      <c r="AM54" s="747"/>
      <c r="AN54" s="763"/>
      <c r="AO54" s="747"/>
      <c r="AP54" s="763"/>
      <c r="AQ54" s="747"/>
      <c r="AR54" s="763"/>
      <c r="AS54" s="747"/>
      <c r="AT54" s="745"/>
      <c r="AU54" s="745"/>
      <c r="AV54" s="745"/>
      <c r="AW54" s="745"/>
      <c r="AX54" s="745"/>
      <c r="AY54" s="745"/>
    </row>
    <row r="55" spans="1:51" s="741" customFormat="1" ht="22.5" hidden="1" customHeight="1" thickBot="1">
      <c r="A55" s="502"/>
      <c r="B55" s="864"/>
      <c r="C55" s="845"/>
      <c r="D55" s="562"/>
      <c r="E55" s="562"/>
      <c r="F55" s="562"/>
      <c r="G55" s="562"/>
      <c r="H55" s="562"/>
      <c r="I55" s="562"/>
      <c r="J55" s="562"/>
      <c r="K55" s="562"/>
      <c r="L55" s="562"/>
      <c r="M55" s="562"/>
      <c r="N55" s="562"/>
      <c r="O55" s="562"/>
      <c r="P55" s="592" t="e">
        <f>(C52-#REF!)*#REF!</f>
        <v>#REF!</v>
      </c>
      <c r="Q55" s="534"/>
      <c r="R55" s="546" t="s">
        <v>2134</v>
      </c>
      <c r="S55" s="847" t="s">
        <v>2531</v>
      </c>
      <c r="T55" s="535" t="s">
        <v>826</v>
      </c>
      <c r="U55" s="536" t="e">
        <f t="shared" ref="U55" si="67">ROUNDDOWN((U53/U52),3)</f>
        <v>#DIV/0!</v>
      </c>
      <c r="V55" s="535" t="s">
        <v>827</v>
      </c>
      <c r="W55" s="536" t="e">
        <f t="shared" ref="W55" si="68">(U52-(W53+W54)/0.7)/U52</f>
        <v>#DIV/0!</v>
      </c>
      <c r="X55" s="549"/>
      <c r="Y55" s="550"/>
      <c r="Z55" s="848"/>
      <c r="AA55" s="848"/>
      <c r="AB55" s="735"/>
      <c r="AC55" s="748">
        <f>AC53/AC52</f>
        <v>1</v>
      </c>
      <c r="AD55" s="764" t="s">
        <v>828</v>
      </c>
      <c r="AE55" s="750">
        <f>SUM(AE52:AE54)</f>
        <v>0</v>
      </c>
      <c r="AF55" s="763"/>
      <c r="AG55" s="747"/>
      <c r="AH55" s="763"/>
      <c r="AI55" s="747"/>
      <c r="AJ55" s="763"/>
      <c r="AK55" s="747"/>
      <c r="AL55" s="763"/>
      <c r="AM55" s="747"/>
      <c r="AN55" s="763"/>
      <c r="AO55" s="747"/>
      <c r="AP55" s="763"/>
      <c r="AQ55" s="747"/>
      <c r="AR55" s="763"/>
      <c r="AS55" s="747"/>
    </row>
    <row r="56" spans="1:51" s="897" customFormat="1" ht="22.5" customHeight="1" thickBot="1">
      <c r="A56" s="877" t="s">
        <v>2640</v>
      </c>
      <c r="B56" s="878"/>
      <c r="C56" s="879">
        <f>B56+D56+E56+F56+G56+H56+I56+J56+K56+L56+M56+N56+O56</f>
        <v>0</v>
      </c>
      <c r="D56" s="880"/>
      <c r="E56" s="880"/>
      <c r="F56" s="880"/>
      <c r="G56" s="880"/>
      <c r="H56" s="880"/>
      <c r="I56" s="880"/>
      <c r="J56" s="880"/>
      <c r="K56" s="880"/>
      <c r="L56" s="880"/>
      <c r="M56" s="880"/>
      <c r="N56" s="880"/>
      <c r="O56" s="880"/>
      <c r="P56" s="881" t="s">
        <v>2641</v>
      </c>
      <c r="Q56" s="882" t="s">
        <v>2642</v>
      </c>
      <c r="R56" s="883" t="s">
        <v>2643</v>
      </c>
      <c r="S56" s="884" t="s">
        <v>2644</v>
      </c>
      <c r="T56" s="885" t="s">
        <v>814</v>
      </c>
      <c r="U56" s="886">
        <f>BK56/1100000</f>
        <v>0</v>
      </c>
      <c r="V56" s="887" t="s">
        <v>832</v>
      </c>
      <c r="W56" s="888" t="e">
        <f>U56*0.8-(#REF!+W57)</f>
        <v>#REF!</v>
      </c>
      <c r="X56" s="889" t="s">
        <v>812</v>
      </c>
      <c r="Y56" s="890" t="s">
        <v>813</v>
      </c>
      <c r="Z56" s="891" t="s">
        <v>2645</v>
      </c>
      <c r="AA56" s="891"/>
      <c r="AB56" s="892" t="s">
        <v>814</v>
      </c>
      <c r="AC56" s="893">
        <v>1500000000</v>
      </c>
      <c r="AD56" s="894" t="s">
        <v>35</v>
      </c>
      <c r="AE56" s="895">
        <f>SUM(AF56:AS56)</f>
        <v>0</v>
      </c>
      <c r="AF56" s="896" t="s">
        <v>1078</v>
      </c>
      <c r="AG56" s="895"/>
      <c r="AH56" s="894" t="s">
        <v>1079</v>
      </c>
      <c r="AI56" s="895">
        <f>AG56</f>
        <v>0</v>
      </c>
      <c r="AJ56" s="894" t="s">
        <v>2543</v>
      </c>
      <c r="AK56" s="895">
        <f>AG56</f>
        <v>0</v>
      </c>
      <c r="AL56" s="894" t="s">
        <v>796</v>
      </c>
      <c r="AM56" s="895"/>
      <c r="AN56" s="894" t="s">
        <v>1081</v>
      </c>
      <c r="AO56" s="895"/>
      <c r="AP56" s="894"/>
      <c r="AQ56" s="895"/>
      <c r="AR56" s="894"/>
      <c r="AS56" s="895"/>
    </row>
    <row r="57" spans="1:51" s="897" customFormat="1" ht="22.5" customHeight="1" thickBot="1">
      <c r="A57" s="898"/>
      <c r="B57" s="899"/>
      <c r="C57" s="900"/>
      <c r="D57" s="901"/>
      <c r="E57" s="901"/>
      <c r="F57" s="901"/>
      <c r="G57" s="901"/>
      <c r="H57" s="901"/>
      <c r="I57" s="901"/>
      <c r="J57" s="901"/>
      <c r="K57" s="901"/>
      <c r="L57" s="901"/>
      <c r="M57" s="901"/>
      <c r="N57" s="901"/>
      <c r="O57" s="901"/>
      <c r="P57" s="902"/>
      <c r="Q57" s="903"/>
      <c r="R57" s="904"/>
      <c r="S57" s="905" t="s">
        <v>816</v>
      </c>
      <c r="T57" s="906" t="s">
        <v>817</v>
      </c>
      <c r="U57" s="907" t="e">
        <f>U56-#REF!</f>
        <v>#REF!</v>
      </c>
      <c r="V57" s="908" t="s">
        <v>818</v>
      </c>
      <c r="W57" s="909" t="e">
        <f>(#REF!+BM57)/1100000</f>
        <v>#REF!</v>
      </c>
      <c r="X57" s="889"/>
      <c r="Y57" s="890"/>
      <c r="Z57" s="910"/>
      <c r="AA57" s="910"/>
      <c r="AB57" s="892" t="s">
        <v>817</v>
      </c>
      <c r="AC57" s="911" t="e">
        <f>AC56-#REF!</f>
        <v>#REF!</v>
      </c>
      <c r="AD57" s="894" t="s">
        <v>824</v>
      </c>
      <c r="AE57" s="895"/>
      <c r="AF57" s="912"/>
      <c r="AG57" s="913"/>
      <c r="AH57" s="912"/>
      <c r="AI57" s="913"/>
      <c r="AJ57" s="912"/>
      <c r="AK57" s="913"/>
      <c r="AL57" s="912"/>
      <c r="AM57" s="913"/>
      <c r="AN57" s="912"/>
      <c r="AO57" s="913"/>
      <c r="AP57" s="912"/>
      <c r="AQ57" s="913"/>
      <c r="AR57" s="912"/>
      <c r="AS57" s="913"/>
    </row>
    <row r="58" spans="1:51" s="897" customFormat="1" ht="22.5" customHeight="1" thickBot="1">
      <c r="A58" s="877" t="s">
        <v>2646</v>
      </c>
      <c r="B58" s="878">
        <v>0.56200000000000006</v>
      </c>
      <c r="C58" s="879">
        <f>B58+D58+E58+F58+G58+H58+I58+J58+K58+L58+M58+N58+O58</f>
        <v>0.56200000000000006</v>
      </c>
      <c r="D58" s="880"/>
      <c r="E58" s="880"/>
      <c r="F58" s="880"/>
      <c r="G58" s="880"/>
      <c r="H58" s="880"/>
      <c r="I58" s="880"/>
      <c r="J58" s="880"/>
      <c r="K58" s="880"/>
      <c r="L58" s="880"/>
      <c r="M58" s="880"/>
      <c r="N58" s="880"/>
      <c r="O58" s="880"/>
      <c r="P58" s="914" t="s">
        <v>2647</v>
      </c>
      <c r="Q58" s="882" t="s">
        <v>2649</v>
      </c>
      <c r="R58" s="883" t="s">
        <v>2650</v>
      </c>
      <c r="S58" s="884" t="s">
        <v>2651</v>
      </c>
      <c r="T58" s="885" t="s">
        <v>814</v>
      </c>
      <c r="U58" s="886">
        <f>BK58/1100000</f>
        <v>0</v>
      </c>
      <c r="V58" s="887" t="s">
        <v>832</v>
      </c>
      <c r="W58" s="888" t="e">
        <f>U58*0.8-(#REF!+W59)</f>
        <v>#REF!</v>
      </c>
      <c r="X58" s="889" t="s">
        <v>812</v>
      </c>
      <c r="Y58" s="890" t="s">
        <v>813</v>
      </c>
      <c r="Z58" s="891" t="s">
        <v>2652</v>
      </c>
      <c r="AA58" s="891"/>
      <c r="AB58" s="892" t="s">
        <v>814</v>
      </c>
      <c r="AC58" s="893">
        <v>2183000000</v>
      </c>
      <c r="AD58" s="894" t="s">
        <v>35</v>
      </c>
      <c r="AE58" s="895">
        <f>SUM(AF58:AS58)</f>
        <v>0</v>
      </c>
      <c r="AF58" s="896" t="s">
        <v>1078</v>
      </c>
      <c r="AG58" s="895"/>
      <c r="AH58" s="894" t="s">
        <v>1079</v>
      </c>
      <c r="AI58" s="895">
        <f>AG58</f>
        <v>0</v>
      </c>
      <c r="AJ58" s="894" t="s">
        <v>2543</v>
      </c>
      <c r="AK58" s="895">
        <f>AG58</f>
        <v>0</v>
      </c>
      <c r="AL58" s="894" t="s">
        <v>796</v>
      </c>
      <c r="AM58" s="895"/>
      <c r="AN58" s="894" t="s">
        <v>1081</v>
      </c>
      <c r="AO58" s="895"/>
      <c r="AP58" s="894"/>
      <c r="AQ58" s="895"/>
      <c r="AR58" s="894"/>
      <c r="AS58" s="895"/>
    </row>
    <row r="59" spans="1:51" s="897" customFormat="1" ht="22.5" customHeight="1" thickBot="1">
      <c r="A59" s="898"/>
      <c r="B59" s="899"/>
      <c r="C59" s="900"/>
      <c r="D59" s="901"/>
      <c r="E59" s="901"/>
      <c r="F59" s="901"/>
      <c r="G59" s="901"/>
      <c r="H59" s="901"/>
      <c r="I59" s="901"/>
      <c r="J59" s="901"/>
      <c r="K59" s="901"/>
      <c r="L59" s="901"/>
      <c r="M59" s="901"/>
      <c r="N59" s="901"/>
      <c r="O59" s="901"/>
      <c r="P59" s="902"/>
      <c r="Q59" s="903"/>
      <c r="R59" s="904"/>
      <c r="S59" s="836" t="s">
        <v>2653</v>
      </c>
      <c r="T59" s="906" t="s">
        <v>817</v>
      </c>
      <c r="U59" s="907" t="e">
        <f>U58-#REF!</f>
        <v>#REF!</v>
      </c>
      <c r="V59" s="908" t="s">
        <v>818</v>
      </c>
      <c r="W59" s="909" t="e">
        <f>(#REF!+BM59)/1100000</f>
        <v>#REF!</v>
      </c>
      <c r="X59" s="889"/>
      <c r="Y59" s="890"/>
      <c r="Z59" s="910"/>
      <c r="AA59" s="910"/>
      <c r="AB59" s="892" t="s">
        <v>817</v>
      </c>
      <c r="AC59" s="911" t="e">
        <f>AC58-#REF!</f>
        <v>#REF!</v>
      </c>
      <c r="AD59" s="894" t="s">
        <v>824</v>
      </c>
      <c r="AE59" s="895"/>
      <c r="AF59" s="912"/>
      <c r="AG59" s="913"/>
      <c r="AH59" s="912"/>
      <c r="AI59" s="913"/>
      <c r="AJ59" s="912"/>
      <c r="AK59" s="913"/>
      <c r="AL59" s="912"/>
      <c r="AM59" s="913"/>
      <c r="AN59" s="912"/>
      <c r="AO59" s="913"/>
      <c r="AP59" s="912"/>
      <c r="AQ59" s="913"/>
      <c r="AR59" s="912"/>
      <c r="AS59" s="913"/>
    </row>
    <row r="60" spans="1:51" s="741" customFormat="1" ht="22.5" hidden="1" customHeight="1">
      <c r="A60" s="490" t="e">
        <f>A58+1</f>
        <v>#VALUE!</v>
      </c>
      <c r="B60" s="824">
        <v>0.5</v>
      </c>
      <c r="C60" s="825">
        <f>B60+D60+E60+F60+G60+H60+I60+J60+K60+L60+M60+N60+O60</f>
        <v>0.5</v>
      </c>
      <c r="D60" s="826"/>
      <c r="E60" s="826"/>
      <c r="F60" s="826"/>
      <c r="G60" s="826"/>
      <c r="H60" s="826"/>
      <c r="I60" s="826"/>
      <c r="J60" s="826"/>
      <c r="K60" s="826"/>
      <c r="L60" s="826"/>
      <c r="M60" s="826"/>
      <c r="N60" s="826"/>
      <c r="O60" s="826"/>
      <c r="P60" s="838" t="s">
        <v>2654</v>
      </c>
      <c r="Q60" s="537"/>
      <c r="R60" s="553" t="s">
        <v>2655</v>
      </c>
      <c r="S60" s="828" t="s">
        <v>2656</v>
      </c>
      <c r="T60" s="521" t="s">
        <v>814</v>
      </c>
      <c r="U60" s="522">
        <f t="shared" ref="U60:U61" si="69">BK60/1100000</f>
        <v>0</v>
      </c>
      <c r="V60" s="523" t="s">
        <v>832</v>
      </c>
      <c r="W60" s="524">
        <f t="shared" ref="W60" si="70">U60*0.8-(W61+W62)</f>
        <v>0</v>
      </c>
      <c r="X60" s="299" t="s">
        <v>812</v>
      </c>
      <c r="Y60" s="547" t="s">
        <v>813</v>
      </c>
      <c r="Z60" s="829" t="s">
        <v>1111</v>
      </c>
      <c r="AA60" s="829"/>
      <c r="AB60" s="735" t="s">
        <v>814</v>
      </c>
      <c r="AC60" s="794">
        <v>77000000</v>
      </c>
      <c r="AD60" s="749" t="s">
        <v>35</v>
      </c>
      <c r="AE60" s="738">
        <f>SUM(AF60:AS60)*0.5</f>
        <v>26250000</v>
      </c>
      <c r="AF60" s="830" t="s">
        <v>1078</v>
      </c>
      <c r="AG60" s="740">
        <v>52500000</v>
      </c>
      <c r="AH60" s="832" t="s">
        <v>1079</v>
      </c>
      <c r="AI60" s="740"/>
      <c r="AJ60" s="832" t="s">
        <v>2512</v>
      </c>
      <c r="AK60" s="740"/>
      <c r="AL60" s="832" t="s">
        <v>1080</v>
      </c>
      <c r="AM60" s="740"/>
      <c r="AN60" s="832" t="s">
        <v>1081</v>
      </c>
      <c r="AO60" s="740"/>
      <c r="AP60" s="832"/>
      <c r="AQ60" s="740"/>
      <c r="AR60" s="832"/>
      <c r="AS60" s="740"/>
    </row>
    <row r="61" spans="1:51" s="741" customFormat="1" ht="22.5" hidden="1" customHeight="1" thickBot="1">
      <c r="A61" s="495"/>
      <c r="B61" s="833"/>
      <c r="C61" s="834"/>
      <c r="D61" s="530"/>
      <c r="E61" s="530"/>
      <c r="F61" s="530"/>
      <c r="G61" s="530"/>
      <c r="H61" s="530"/>
      <c r="I61" s="530" t="e">
        <f>#REF!*I60</f>
        <v>#REF!</v>
      </c>
      <c r="J61" s="530" t="e">
        <f>#REF!*J60</f>
        <v>#REF!</v>
      </c>
      <c r="K61" s="530" t="e">
        <f>#REF!*K60</f>
        <v>#REF!</v>
      </c>
      <c r="L61" s="530" t="e">
        <f>#REF!*L60</f>
        <v>#REF!</v>
      </c>
      <c r="M61" s="530" t="e">
        <f>#REF!*M60</f>
        <v>#REF!</v>
      </c>
      <c r="N61" s="530" t="e">
        <f>#REF!*N60</f>
        <v>#REF!</v>
      </c>
      <c r="O61" s="530" t="e">
        <f>#REF!*O60</f>
        <v>#REF!</v>
      </c>
      <c r="P61" s="839"/>
      <c r="Q61" s="531"/>
      <c r="R61" s="557"/>
      <c r="S61" s="840" t="s">
        <v>2657</v>
      </c>
      <c r="T61" s="526" t="s">
        <v>798</v>
      </c>
      <c r="U61" s="527">
        <f t="shared" si="69"/>
        <v>0</v>
      </c>
      <c r="V61" s="528" t="s">
        <v>799</v>
      </c>
      <c r="W61" s="529">
        <f t="shared" ref="W61" si="71">BM60/1000000</f>
        <v>0</v>
      </c>
      <c r="X61" s="548" t="e">
        <f>(C60-B60)*#REF!</f>
        <v>#REF!</v>
      </c>
      <c r="Y61" s="743" t="e">
        <f>(1-C60)*#REF!</f>
        <v>#REF!</v>
      </c>
      <c r="Z61" s="837"/>
      <c r="AA61" s="837"/>
      <c r="AB61" s="735" t="s">
        <v>798</v>
      </c>
      <c r="AC61" s="794">
        <v>38500000</v>
      </c>
      <c r="AD61" s="749" t="s">
        <v>801</v>
      </c>
      <c r="AE61" s="738">
        <f>SUM(AF61:AS61)</f>
        <v>0</v>
      </c>
      <c r="AF61" s="830" t="s">
        <v>815</v>
      </c>
      <c r="AG61" s="740"/>
      <c r="AH61" s="832" t="s">
        <v>890</v>
      </c>
      <c r="AI61" s="740"/>
      <c r="AJ61" s="832" t="s">
        <v>1089</v>
      </c>
      <c r="AK61" s="740"/>
      <c r="AL61" s="832" t="s">
        <v>1090</v>
      </c>
      <c r="AM61" s="740"/>
      <c r="AN61" s="832" t="s">
        <v>1080</v>
      </c>
      <c r="AO61" s="740"/>
      <c r="AP61" s="832"/>
      <c r="AQ61" s="740"/>
      <c r="AR61" s="832"/>
      <c r="AS61" s="740"/>
      <c r="AT61" s="745"/>
      <c r="AU61" s="745"/>
      <c r="AV61" s="745"/>
      <c r="AW61" s="745"/>
      <c r="AX61" s="745"/>
      <c r="AY61" s="745"/>
    </row>
    <row r="62" spans="1:51" s="741" customFormat="1" ht="22.5" hidden="1" customHeight="1">
      <c r="A62" s="495"/>
      <c r="B62" s="833"/>
      <c r="C62" s="834"/>
      <c r="D62" s="560"/>
      <c r="E62" s="560"/>
      <c r="F62" s="560"/>
      <c r="G62" s="560"/>
      <c r="H62" s="560"/>
      <c r="I62" s="560"/>
      <c r="J62" s="560"/>
      <c r="K62" s="560"/>
      <c r="L62" s="560"/>
      <c r="M62" s="560"/>
      <c r="N62" s="560"/>
      <c r="O62" s="560"/>
      <c r="P62" s="842"/>
      <c r="Q62" s="531"/>
      <c r="R62" s="557"/>
      <c r="S62" s="843" t="s">
        <v>816</v>
      </c>
      <c r="T62" s="526" t="s">
        <v>817</v>
      </c>
      <c r="U62" s="527">
        <f t="shared" ref="U62" si="72">U60-U61</f>
        <v>0</v>
      </c>
      <c r="V62" s="532" t="s">
        <v>818</v>
      </c>
      <c r="W62" s="529">
        <f t="shared" ref="W62" si="73">(BM61+BM62)/1100000</f>
        <v>0</v>
      </c>
      <c r="X62" s="89"/>
      <c r="Y62" s="73"/>
      <c r="Z62" s="837"/>
      <c r="AA62" s="837"/>
      <c r="AB62" s="735" t="s">
        <v>817</v>
      </c>
      <c r="AC62" s="744">
        <f>AC60-AC61</f>
        <v>38500000</v>
      </c>
      <c r="AD62" s="749" t="s">
        <v>824</v>
      </c>
      <c r="AE62" s="738"/>
      <c r="AF62" s="763"/>
      <c r="AG62" s="747"/>
      <c r="AH62" s="763"/>
      <c r="AI62" s="747"/>
      <c r="AJ62" s="763"/>
      <c r="AK62" s="747"/>
      <c r="AL62" s="763"/>
      <c r="AM62" s="747"/>
      <c r="AN62" s="763"/>
      <c r="AO62" s="747"/>
      <c r="AP62" s="763"/>
      <c r="AQ62" s="747"/>
      <c r="AR62" s="763"/>
      <c r="AS62" s="747"/>
      <c r="AT62" s="745"/>
      <c r="AU62" s="745"/>
      <c r="AV62" s="745"/>
      <c r="AW62" s="745"/>
      <c r="AX62" s="745"/>
      <c r="AY62" s="745"/>
    </row>
    <row r="63" spans="1:51" s="741" customFormat="1" ht="22.5" hidden="1" customHeight="1" thickBot="1">
      <c r="A63" s="502"/>
      <c r="B63" s="844"/>
      <c r="C63" s="845"/>
      <c r="D63" s="562"/>
      <c r="E63" s="562"/>
      <c r="F63" s="562"/>
      <c r="G63" s="562"/>
      <c r="H63" s="562"/>
      <c r="I63" s="562"/>
      <c r="J63" s="562"/>
      <c r="K63" s="562"/>
      <c r="L63" s="562"/>
      <c r="M63" s="562"/>
      <c r="N63" s="562"/>
      <c r="O63" s="562"/>
      <c r="P63" s="592" t="e">
        <f>(C60-#REF!)*#REF!</f>
        <v>#REF!</v>
      </c>
      <c r="Q63" s="534"/>
      <c r="R63" s="546" t="s">
        <v>2658</v>
      </c>
      <c r="S63" s="847" t="s">
        <v>2659</v>
      </c>
      <c r="T63" s="535" t="s">
        <v>826</v>
      </c>
      <c r="U63" s="536" t="e">
        <f t="shared" ref="U63" si="74">ROUNDDOWN((U61/U60),3)</f>
        <v>#DIV/0!</v>
      </c>
      <c r="V63" s="535" t="s">
        <v>827</v>
      </c>
      <c r="W63" s="536" t="e">
        <f t="shared" ref="W63" si="75">(U60-(W61+W62)/0.7)/U60</f>
        <v>#DIV/0!</v>
      </c>
      <c r="X63" s="549"/>
      <c r="Y63" s="550"/>
      <c r="Z63" s="848"/>
      <c r="AA63" s="848"/>
      <c r="AB63" s="735"/>
      <c r="AC63" s="748">
        <f>AC61/AC60</f>
        <v>0.5</v>
      </c>
      <c r="AD63" s="764" t="s">
        <v>828</v>
      </c>
      <c r="AE63" s="750">
        <f>SUM(AE60:AE62)</f>
        <v>26250000</v>
      </c>
      <c r="AF63" s="763"/>
      <c r="AG63" s="747"/>
      <c r="AH63" s="763"/>
      <c r="AI63" s="747"/>
      <c r="AJ63" s="763"/>
      <c r="AK63" s="747"/>
      <c r="AL63" s="763"/>
      <c r="AM63" s="747"/>
      <c r="AN63" s="763"/>
      <c r="AO63" s="747"/>
      <c r="AP63" s="763"/>
      <c r="AQ63" s="747"/>
      <c r="AR63" s="763"/>
      <c r="AS63" s="747"/>
    </row>
    <row r="64" spans="1:51" s="741" customFormat="1" ht="22.5" hidden="1" customHeight="1">
      <c r="A64" s="490" t="e">
        <f t="shared" ref="A64" si="76">A60+1</f>
        <v>#VALUE!</v>
      </c>
      <c r="B64" s="824">
        <v>1</v>
      </c>
      <c r="C64" s="825">
        <f>B64+D64+E64+F64+G64+H64+I64+J64+K64+L64+M64+N64+O64</f>
        <v>1</v>
      </c>
      <c r="D64" s="826"/>
      <c r="E64" s="826"/>
      <c r="F64" s="826"/>
      <c r="G64" s="826"/>
      <c r="H64" s="826"/>
      <c r="I64" s="826"/>
      <c r="J64" s="826"/>
      <c r="K64" s="826"/>
      <c r="L64" s="826"/>
      <c r="M64" s="826"/>
      <c r="N64" s="826"/>
      <c r="O64" s="826"/>
      <c r="P64" s="838"/>
      <c r="Q64" s="537" t="s">
        <v>2660</v>
      </c>
      <c r="R64" s="553" t="s">
        <v>2661</v>
      </c>
      <c r="S64" s="828" t="s">
        <v>2662</v>
      </c>
      <c r="T64" s="521" t="s">
        <v>814</v>
      </c>
      <c r="U64" s="522">
        <f t="shared" ref="U64:U65" si="77">BK64/1100000</f>
        <v>0</v>
      </c>
      <c r="V64" s="523" t="s">
        <v>832</v>
      </c>
      <c r="W64" s="524">
        <f t="shared" ref="W64" si="78">U64*0.8-(W65+W66)</f>
        <v>0</v>
      </c>
      <c r="X64" s="299" t="s">
        <v>812</v>
      </c>
      <c r="Y64" s="547" t="s">
        <v>813</v>
      </c>
      <c r="Z64" s="829" t="s">
        <v>1111</v>
      </c>
      <c r="AA64" s="829"/>
      <c r="AB64" s="735" t="s">
        <v>814</v>
      </c>
      <c r="AC64" s="794">
        <v>62525400</v>
      </c>
      <c r="AD64" s="749" t="s">
        <v>35</v>
      </c>
      <c r="AE64" s="738">
        <f>SUM(AF64:AS64)</f>
        <v>3731477</v>
      </c>
      <c r="AF64" s="830" t="s">
        <v>1078</v>
      </c>
      <c r="AG64" s="740">
        <v>3731477</v>
      </c>
      <c r="AH64" s="832" t="s">
        <v>1079</v>
      </c>
      <c r="AI64" s="740"/>
      <c r="AJ64" s="832" t="s">
        <v>2512</v>
      </c>
      <c r="AK64" s="740"/>
      <c r="AL64" s="832" t="s">
        <v>1080</v>
      </c>
      <c r="AM64" s="740"/>
      <c r="AN64" s="832" t="s">
        <v>1081</v>
      </c>
      <c r="AO64" s="740"/>
      <c r="AP64" s="832"/>
      <c r="AQ64" s="740"/>
      <c r="AR64" s="832"/>
      <c r="AS64" s="740"/>
    </row>
    <row r="65" spans="1:51" s="741" customFormat="1" ht="22.5" hidden="1" customHeight="1" thickBot="1">
      <c r="A65" s="495"/>
      <c r="B65" s="833"/>
      <c r="C65" s="834"/>
      <c r="D65" s="530"/>
      <c r="E65" s="530"/>
      <c r="F65" s="530"/>
      <c r="G65" s="530"/>
      <c r="H65" s="530"/>
      <c r="I65" s="530" t="e">
        <f>#REF!*I64</f>
        <v>#REF!</v>
      </c>
      <c r="J65" s="530" t="e">
        <f>#REF!*J64</f>
        <v>#REF!</v>
      </c>
      <c r="K65" s="530" t="e">
        <f>#REF!*K64</f>
        <v>#REF!</v>
      </c>
      <c r="L65" s="530" t="e">
        <f>#REF!*L64</f>
        <v>#REF!</v>
      </c>
      <c r="M65" s="530" t="e">
        <f>#REF!*M64</f>
        <v>#REF!</v>
      </c>
      <c r="N65" s="530" t="e">
        <f>#REF!*N64</f>
        <v>#REF!</v>
      </c>
      <c r="O65" s="530" t="e">
        <f>#REF!*O64</f>
        <v>#REF!</v>
      </c>
      <c r="P65" s="839"/>
      <c r="Q65" s="531"/>
      <c r="R65" s="557"/>
      <c r="S65" s="840" t="s">
        <v>2663</v>
      </c>
      <c r="T65" s="526" t="s">
        <v>798</v>
      </c>
      <c r="U65" s="527">
        <f t="shared" si="77"/>
        <v>0</v>
      </c>
      <c r="V65" s="528" t="s">
        <v>799</v>
      </c>
      <c r="W65" s="529">
        <f t="shared" ref="W65" si="79">BM64/1000000</f>
        <v>0</v>
      </c>
      <c r="X65" s="548" t="e">
        <f>(C64-B64)*#REF!</f>
        <v>#REF!</v>
      </c>
      <c r="Y65" s="743" t="e">
        <f>(1-C64)*#REF!</f>
        <v>#REF!</v>
      </c>
      <c r="Z65" s="837"/>
      <c r="AA65" s="837"/>
      <c r="AB65" s="735" t="s">
        <v>798</v>
      </c>
      <c r="AC65" s="794">
        <v>62525400</v>
      </c>
      <c r="AD65" s="749" t="s">
        <v>801</v>
      </c>
      <c r="AE65" s="738">
        <f>SUM(AF65:AS65)</f>
        <v>14080000</v>
      </c>
      <c r="AF65" s="830" t="s">
        <v>815</v>
      </c>
      <c r="AG65" s="740"/>
      <c r="AH65" s="832" t="s">
        <v>890</v>
      </c>
      <c r="AI65" s="740"/>
      <c r="AJ65" s="832" t="s">
        <v>1089</v>
      </c>
      <c r="AK65" s="740"/>
      <c r="AL65" s="832" t="s">
        <v>1090</v>
      </c>
      <c r="AM65" s="740"/>
      <c r="AN65" s="832" t="s">
        <v>1080</v>
      </c>
      <c r="AO65" s="740">
        <v>14080000</v>
      </c>
      <c r="AP65" s="832"/>
      <c r="AQ65" s="740"/>
      <c r="AR65" s="832"/>
      <c r="AS65" s="740"/>
      <c r="AT65" s="745"/>
      <c r="AU65" s="745"/>
      <c r="AV65" s="745"/>
      <c r="AW65" s="745"/>
      <c r="AX65" s="745"/>
      <c r="AY65" s="745"/>
    </row>
    <row r="66" spans="1:51" s="741" customFormat="1" ht="22.5" hidden="1" customHeight="1">
      <c r="A66" s="495"/>
      <c r="B66" s="833"/>
      <c r="C66" s="834"/>
      <c r="D66" s="560"/>
      <c r="E66" s="560"/>
      <c r="F66" s="560"/>
      <c r="G66" s="560"/>
      <c r="H66" s="560"/>
      <c r="I66" s="560"/>
      <c r="J66" s="560"/>
      <c r="K66" s="560"/>
      <c r="L66" s="560"/>
      <c r="M66" s="560"/>
      <c r="N66" s="560"/>
      <c r="O66" s="560"/>
      <c r="P66" s="842"/>
      <c r="Q66" s="531"/>
      <c r="R66" s="557"/>
      <c r="S66" s="843" t="s">
        <v>816</v>
      </c>
      <c r="T66" s="526" t="s">
        <v>817</v>
      </c>
      <c r="U66" s="527">
        <f t="shared" ref="U66" si="80">U64-U65</f>
        <v>0</v>
      </c>
      <c r="V66" s="532" t="s">
        <v>818</v>
      </c>
      <c r="W66" s="529">
        <f t="shared" ref="W66" si="81">(BM65+BM66)/1100000</f>
        <v>0</v>
      </c>
      <c r="X66" s="89"/>
      <c r="Y66" s="73"/>
      <c r="Z66" s="837"/>
      <c r="AA66" s="837"/>
      <c r="AB66" s="735" t="s">
        <v>817</v>
      </c>
      <c r="AC66" s="744">
        <f>AC64-AC65</f>
        <v>0</v>
      </c>
      <c r="AD66" s="749" t="s">
        <v>824</v>
      </c>
      <c r="AE66" s="738"/>
      <c r="AF66" s="763"/>
      <c r="AG66" s="747"/>
      <c r="AH66" s="763"/>
      <c r="AI66" s="747"/>
      <c r="AJ66" s="763"/>
      <c r="AK66" s="747"/>
      <c r="AL66" s="763"/>
      <c r="AM66" s="747"/>
      <c r="AN66" s="763"/>
      <c r="AO66" s="747"/>
      <c r="AP66" s="763"/>
      <c r="AQ66" s="747"/>
      <c r="AR66" s="763"/>
      <c r="AS66" s="747"/>
      <c r="AT66" s="745"/>
      <c r="AU66" s="745"/>
      <c r="AV66" s="745"/>
      <c r="AW66" s="745"/>
      <c r="AX66" s="745"/>
      <c r="AY66" s="745"/>
    </row>
    <row r="67" spans="1:51" s="741" customFormat="1" ht="22.5" hidden="1" customHeight="1" thickBot="1">
      <c r="A67" s="502"/>
      <c r="B67" s="844"/>
      <c r="C67" s="845"/>
      <c r="D67" s="562"/>
      <c r="E67" s="562"/>
      <c r="F67" s="562"/>
      <c r="G67" s="562"/>
      <c r="H67" s="562"/>
      <c r="I67" s="562"/>
      <c r="J67" s="562"/>
      <c r="K67" s="562"/>
      <c r="L67" s="562"/>
      <c r="M67" s="562"/>
      <c r="N67" s="562"/>
      <c r="O67" s="562"/>
      <c r="P67" s="592" t="e">
        <f>(C64-#REF!)*#REF!</f>
        <v>#REF!</v>
      </c>
      <c r="Q67" s="534"/>
      <c r="R67" s="546" t="s">
        <v>2664</v>
      </c>
      <c r="S67" s="847" t="s">
        <v>2531</v>
      </c>
      <c r="T67" s="535" t="s">
        <v>826</v>
      </c>
      <c r="U67" s="536" t="e">
        <f t="shared" ref="U67" si="82">ROUNDDOWN((U65/U64),3)</f>
        <v>#DIV/0!</v>
      </c>
      <c r="V67" s="535" t="s">
        <v>827</v>
      </c>
      <c r="W67" s="536" t="e">
        <f t="shared" ref="W67" si="83">(U64-(W65+W66)/0.7)/U64</f>
        <v>#DIV/0!</v>
      </c>
      <c r="X67" s="549"/>
      <c r="Y67" s="550"/>
      <c r="Z67" s="848"/>
      <c r="AA67" s="848"/>
      <c r="AB67" s="735"/>
      <c r="AC67" s="748">
        <f>AC65/AC64</f>
        <v>1</v>
      </c>
      <c r="AD67" s="764" t="s">
        <v>828</v>
      </c>
      <c r="AE67" s="750">
        <f>SUM(AE64:AE66)</f>
        <v>17811477</v>
      </c>
      <c r="AF67" s="763"/>
      <c r="AG67" s="747"/>
      <c r="AH67" s="763"/>
      <c r="AI67" s="747"/>
      <c r="AJ67" s="763"/>
      <c r="AK67" s="747"/>
      <c r="AL67" s="763"/>
      <c r="AM67" s="747"/>
      <c r="AN67" s="763"/>
      <c r="AO67" s="747"/>
      <c r="AP67" s="763"/>
      <c r="AQ67" s="747"/>
      <c r="AR67" s="763"/>
      <c r="AS67" s="747"/>
    </row>
    <row r="68" spans="1:51" s="741" customFormat="1" ht="22.5" customHeight="1" thickBot="1">
      <c r="A68" s="490" t="s">
        <v>2665</v>
      </c>
      <c r="B68" s="858">
        <v>0.81340000000000001</v>
      </c>
      <c r="C68" s="825">
        <f>B68+D68+E68+F68+G68+H68+I68+J68+K68+L68+M68+N68+O68</f>
        <v>0.99840000000000018</v>
      </c>
      <c r="D68" s="915"/>
      <c r="E68" s="915"/>
      <c r="F68" s="915">
        <v>2.5000000000000001E-2</v>
      </c>
      <c r="G68" s="915">
        <v>2.5000000000000001E-2</v>
      </c>
      <c r="H68" s="915">
        <v>2.5000000000000001E-2</v>
      </c>
      <c r="I68" s="915">
        <v>3.1E-2</v>
      </c>
      <c r="J68" s="826">
        <v>3.1E-2</v>
      </c>
      <c r="K68" s="826">
        <v>1.2E-2</v>
      </c>
      <c r="L68" s="826">
        <v>1.2E-2</v>
      </c>
      <c r="M68" s="826">
        <v>1.2E-2</v>
      </c>
      <c r="N68" s="826">
        <v>1.2E-2</v>
      </c>
      <c r="O68" s="826"/>
      <c r="P68" s="869" t="s">
        <v>2666</v>
      </c>
      <c r="Q68" s="537" t="s">
        <v>2667</v>
      </c>
      <c r="R68" s="254" t="s">
        <v>2668</v>
      </c>
      <c r="S68" s="828" t="s">
        <v>2669</v>
      </c>
      <c r="T68" s="521" t="s">
        <v>814</v>
      </c>
      <c r="U68" s="522">
        <f>BK68/1100000</f>
        <v>0</v>
      </c>
      <c r="V68" s="523" t="s">
        <v>832</v>
      </c>
      <c r="W68" s="524" t="e">
        <f>U68*0.8-(#REF!+W69)</f>
        <v>#REF!</v>
      </c>
      <c r="X68" s="299" t="s">
        <v>812</v>
      </c>
      <c r="Y68" s="547" t="s">
        <v>813</v>
      </c>
      <c r="Z68" s="829" t="s">
        <v>2670</v>
      </c>
      <c r="AA68" s="829"/>
      <c r="AB68" s="735" t="s">
        <v>814</v>
      </c>
      <c r="AC68" s="794">
        <f>2686700000*0.3</f>
        <v>806010000</v>
      </c>
      <c r="AD68" s="749" t="s">
        <v>35</v>
      </c>
      <c r="AE68" s="738">
        <f>SUM(AF68:AS68)</f>
        <v>14871537</v>
      </c>
      <c r="AF68" s="830" t="s">
        <v>1078</v>
      </c>
      <c r="AG68" s="740">
        <v>14871537</v>
      </c>
      <c r="AH68" s="832" t="s">
        <v>1079</v>
      </c>
      <c r="AI68" s="740"/>
      <c r="AJ68" s="832" t="s">
        <v>2512</v>
      </c>
      <c r="AK68" s="740"/>
      <c r="AL68" s="832" t="s">
        <v>796</v>
      </c>
      <c r="AM68" s="740"/>
      <c r="AN68" s="832" t="s">
        <v>1081</v>
      </c>
      <c r="AO68" s="740"/>
      <c r="AP68" s="832"/>
      <c r="AQ68" s="740"/>
      <c r="AR68" s="832"/>
      <c r="AS68" s="740"/>
    </row>
    <row r="69" spans="1:51" s="741" customFormat="1" ht="22.5" customHeight="1" thickBot="1">
      <c r="A69" s="495"/>
      <c r="B69" s="861"/>
      <c r="C69" s="834"/>
      <c r="D69" s="560" t="s">
        <v>2567</v>
      </c>
      <c r="E69" s="560" t="s">
        <v>2567</v>
      </c>
      <c r="F69" s="560" t="s">
        <v>2671</v>
      </c>
      <c r="G69" s="560" t="s">
        <v>2672</v>
      </c>
      <c r="H69" s="560" t="s">
        <v>2673</v>
      </c>
      <c r="I69" s="560" t="s">
        <v>2674</v>
      </c>
      <c r="J69" s="841" t="s">
        <v>2675</v>
      </c>
      <c r="K69" s="841" t="s">
        <v>2676</v>
      </c>
      <c r="L69" s="560" t="s">
        <v>2677</v>
      </c>
      <c r="M69" s="560" t="s">
        <v>2678</v>
      </c>
      <c r="N69" s="560" t="s">
        <v>2679</v>
      </c>
      <c r="O69" s="560"/>
      <c r="P69" s="870"/>
      <c r="Q69" s="531"/>
      <c r="R69" s="255"/>
      <c r="S69" s="843" t="s">
        <v>816</v>
      </c>
      <c r="T69" s="526" t="s">
        <v>817</v>
      </c>
      <c r="U69" s="527" t="e">
        <f>U68-#REF!</f>
        <v>#REF!</v>
      </c>
      <c r="V69" s="532" t="s">
        <v>818</v>
      </c>
      <c r="W69" s="529" t="e">
        <f>(#REF!+BM69)/1100000</f>
        <v>#REF!</v>
      </c>
      <c r="X69" s="89"/>
      <c r="Y69" s="73"/>
      <c r="Z69" s="837"/>
      <c r="AA69" s="837"/>
      <c r="AB69" s="735" t="s">
        <v>817</v>
      </c>
      <c r="AC69" s="744" t="e">
        <f>AC68-#REF!</f>
        <v>#REF!</v>
      </c>
      <c r="AD69" s="749" t="s">
        <v>824</v>
      </c>
      <c r="AE69" s="738"/>
      <c r="AF69" s="763"/>
      <c r="AG69" s="747"/>
      <c r="AH69" s="763"/>
      <c r="AI69" s="747"/>
      <c r="AJ69" s="763"/>
      <c r="AK69" s="747"/>
      <c r="AL69" s="763"/>
      <c r="AM69" s="747"/>
      <c r="AN69" s="763"/>
      <c r="AO69" s="747"/>
      <c r="AP69" s="763"/>
      <c r="AQ69" s="747"/>
      <c r="AR69" s="763"/>
      <c r="AS69" s="747"/>
      <c r="AT69" s="745"/>
      <c r="AU69" s="745"/>
      <c r="AV69" s="745"/>
      <c r="AW69" s="745"/>
      <c r="AX69" s="745"/>
      <c r="AY69" s="745"/>
    </row>
    <row r="70" spans="1:51" s="897" customFormat="1" ht="22.5" customHeight="1" thickBot="1">
      <c r="A70" s="877" t="s">
        <v>2680</v>
      </c>
      <c r="B70" s="878"/>
      <c r="C70" s="879">
        <f>B70+D70+E70+F70+G70+H70+I70+J70+K70+L70+M70+N70+O70</f>
        <v>0</v>
      </c>
      <c r="D70" s="880"/>
      <c r="E70" s="880"/>
      <c r="F70" s="880"/>
      <c r="G70" s="880"/>
      <c r="H70" s="880"/>
      <c r="I70" s="880"/>
      <c r="J70" s="880"/>
      <c r="K70" s="880"/>
      <c r="L70" s="880"/>
      <c r="M70" s="880"/>
      <c r="N70" s="880"/>
      <c r="O70" s="880"/>
      <c r="P70" s="881" t="s">
        <v>2641</v>
      </c>
      <c r="Q70" s="882" t="s">
        <v>2681</v>
      </c>
      <c r="R70" s="883" t="s">
        <v>2682</v>
      </c>
      <c r="S70" s="884" t="s">
        <v>2683</v>
      </c>
      <c r="T70" s="885" t="s">
        <v>814</v>
      </c>
      <c r="U70" s="886">
        <f>BK70/1100000</f>
        <v>0</v>
      </c>
      <c r="V70" s="887" t="s">
        <v>832</v>
      </c>
      <c r="W70" s="888" t="e">
        <f>U70*0.8-(#REF!+W71)</f>
        <v>#REF!</v>
      </c>
      <c r="X70" s="889" t="s">
        <v>812</v>
      </c>
      <c r="Y70" s="890" t="s">
        <v>813</v>
      </c>
      <c r="Z70" s="891" t="s">
        <v>2684</v>
      </c>
      <c r="AA70" s="891"/>
      <c r="AB70" s="892" t="s">
        <v>814</v>
      </c>
      <c r="AC70" s="893">
        <v>84700000</v>
      </c>
      <c r="AD70" s="894" t="s">
        <v>35</v>
      </c>
      <c r="AE70" s="895">
        <f>SUM(AF70:AS70)</f>
        <v>0</v>
      </c>
      <c r="AF70" s="896" t="s">
        <v>1078</v>
      </c>
      <c r="AG70" s="895"/>
      <c r="AH70" s="894" t="s">
        <v>1079</v>
      </c>
      <c r="AI70" s="895">
        <f>AG70</f>
        <v>0</v>
      </c>
      <c r="AJ70" s="894" t="s">
        <v>2543</v>
      </c>
      <c r="AK70" s="895">
        <f>AG70</f>
        <v>0</v>
      </c>
      <c r="AL70" s="894" t="s">
        <v>55</v>
      </c>
      <c r="AM70" s="895"/>
      <c r="AN70" s="894" t="s">
        <v>52</v>
      </c>
      <c r="AO70" s="895"/>
      <c r="AP70" s="894"/>
      <c r="AQ70" s="895"/>
      <c r="AR70" s="894"/>
      <c r="AS70" s="895"/>
    </row>
    <row r="71" spans="1:51" s="897" customFormat="1" ht="22.5" customHeight="1" thickBot="1">
      <c r="A71" s="898"/>
      <c r="B71" s="899"/>
      <c r="C71" s="900"/>
      <c r="D71" s="901"/>
      <c r="E71" s="901"/>
      <c r="F71" s="901"/>
      <c r="G71" s="901"/>
      <c r="H71" s="901"/>
      <c r="I71" s="901"/>
      <c r="J71" s="901"/>
      <c r="K71" s="901"/>
      <c r="L71" s="901"/>
      <c r="M71" s="901"/>
      <c r="N71" s="901"/>
      <c r="O71" s="901"/>
      <c r="P71" s="902"/>
      <c r="Q71" s="903"/>
      <c r="R71" s="904"/>
      <c r="S71" s="905" t="s">
        <v>67</v>
      </c>
      <c r="T71" s="906" t="s">
        <v>196</v>
      </c>
      <c r="U71" s="907" t="e">
        <f>U70-#REF!</f>
        <v>#REF!</v>
      </c>
      <c r="V71" s="908" t="s">
        <v>15</v>
      </c>
      <c r="W71" s="909" t="e">
        <f>(#REF!+BM71)/1100000</f>
        <v>#REF!</v>
      </c>
      <c r="X71" s="889"/>
      <c r="Y71" s="890"/>
      <c r="Z71" s="910"/>
      <c r="AA71" s="910"/>
      <c r="AB71" s="892" t="s">
        <v>196</v>
      </c>
      <c r="AC71" s="911" t="e">
        <f>AC70-#REF!</f>
        <v>#REF!</v>
      </c>
      <c r="AD71" s="894" t="s">
        <v>100</v>
      </c>
      <c r="AE71" s="895"/>
      <c r="AF71" s="912"/>
      <c r="AG71" s="913"/>
      <c r="AH71" s="912"/>
      <c r="AI71" s="913"/>
      <c r="AJ71" s="912"/>
      <c r="AK71" s="913"/>
      <c r="AL71" s="912"/>
      <c r="AM71" s="913"/>
      <c r="AN71" s="912"/>
      <c r="AO71" s="913"/>
      <c r="AP71" s="912"/>
      <c r="AQ71" s="913"/>
      <c r="AR71" s="912"/>
      <c r="AS71" s="913"/>
    </row>
    <row r="72" spans="1:51" s="741" customFormat="1" ht="22.5" customHeight="1" thickBot="1">
      <c r="A72" s="490" t="s">
        <v>2685</v>
      </c>
      <c r="B72" s="824">
        <v>0.94399999999999995</v>
      </c>
      <c r="C72" s="825">
        <f>B72+D72+E72+F72+G72+H72+I72+J72+K72+L72+M72+N72+O72</f>
        <v>0.94399999999999995</v>
      </c>
      <c r="D72" s="826"/>
      <c r="E72" s="826"/>
      <c r="F72" s="826"/>
      <c r="G72" s="826"/>
      <c r="H72" s="826"/>
      <c r="I72" s="826"/>
      <c r="J72" s="826"/>
      <c r="K72" s="826"/>
      <c r="L72" s="826"/>
      <c r="M72" s="826"/>
      <c r="N72" s="826"/>
      <c r="O72" s="826"/>
      <c r="P72" s="827" t="s">
        <v>2686</v>
      </c>
      <c r="Q72" s="537" t="s">
        <v>2687</v>
      </c>
      <c r="R72" s="553" t="s">
        <v>2688</v>
      </c>
      <c r="S72" s="828" t="s">
        <v>2689</v>
      </c>
      <c r="T72" s="521" t="s">
        <v>89</v>
      </c>
      <c r="U72" s="522">
        <f>BK72/1100000</f>
        <v>0</v>
      </c>
      <c r="V72" s="523" t="s">
        <v>7</v>
      </c>
      <c r="W72" s="524" t="e">
        <f>U72*0.8-(#REF!+W73)</f>
        <v>#REF!</v>
      </c>
      <c r="X72" s="299" t="s">
        <v>90</v>
      </c>
      <c r="Y72" s="547" t="s">
        <v>34</v>
      </c>
      <c r="Z72" s="829" t="s">
        <v>2690</v>
      </c>
      <c r="AA72" s="829"/>
      <c r="AB72" s="735" t="s">
        <v>89</v>
      </c>
      <c r="AC72" s="794">
        <v>167343000</v>
      </c>
      <c r="AD72" s="749" t="s">
        <v>98</v>
      </c>
      <c r="AE72" s="738">
        <f>SUM(AF72:AS72)</f>
        <v>3470248</v>
      </c>
      <c r="AF72" s="830" t="s">
        <v>1104</v>
      </c>
      <c r="AG72" s="740"/>
      <c r="AH72" s="832" t="s">
        <v>1105</v>
      </c>
      <c r="AI72" s="740"/>
      <c r="AJ72" s="832" t="s">
        <v>2543</v>
      </c>
      <c r="AK72" s="740"/>
      <c r="AL72" s="832" t="s">
        <v>55</v>
      </c>
      <c r="AM72" s="740"/>
      <c r="AN72" s="832" t="s">
        <v>52</v>
      </c>
      <c r="AO72" s="740">
        <v>3470248</v>
      </c>
      <c r="AP72" s="832"/>
      <c r="AQ72" s="740"/>
      <c r="AR72" s="832"/>
      <c r="AS72" s="740"/>
    </row>
    <row r="73" spans="1:51" s="741" customFormat="1" ht="22.5" customHeight="1" thickBot="1">
      <c r="A73" s="495"/>
      <c r="B73" s="833"/>
      <c r="C73" s="834"/>
      <c r="D73" s="560"/>
      <c r="E73" s="560"/>
      <c r="F73" s="560"/>
      <c r="G73" s="560"/>
      <c r="H73" s="560"/>
      <c r="I73" s="560"/>
      <c r="J73" s="560"/>
      <c r="K73" s="560"/>
      <c r="L73" s="560"/>
      <c r="M73" s="560"/>
      <c r="N73" s="560"/>
      <c r="O73" s="560"/>
      <c r="P73" s="916" t="s">
        <v>2691</v>
      </c>
      <c r="Q73" s="531"/>
      <c r="R73" s="557"/>
      <c r="S73" s="836" t="s">
        <v>2692</v>
      </c>
      <c r="T73" s="526" t="s">
        <v>196</v>
      </c>
      <c r="U73" s="527" t="e">
        <f>U72-#REF!</f>
        <v>#REF!</v>
      </c>
      <c r="V73" s="532" t="s">
        <v>15</v>
      </c>
      <c r="W73" s="529" t="e">
        <f>(#REF!+BM73)/1100000</f>
        <v>#REF!</v>
      </c>
      <c r="X73" s="89"/>
      <c r="Y73" s="73"/>
      <c r="Z73" s="837"/>
      <c r="AA73" s="837"/>
      <c r="AB73" s="735" t="s">
        <v>196</v>
      </c>
      <c r="AC73" s="744" t="e">
        <f>AC72-#REF!</f>
        <v>#REF!</v>
      </c>
      <c r="AD73" s="749" t="s">
        <v>100</v>
      </c>
      <c r="AE73" s="738"/>
      <c r="AF73" s="763"/>
      <c r="AG73" s="747"/>
      <c r="AH73" s="763"/>
      <c r="AI73" s="747"/>
      <c r="AJ73" s="763"/>
      <c r="AK73" s="747"/>
      <c r="AL73" s="763"/>
      <c r="AM73" s="747"/>
      <c r="AN73" s="763"/>
      <c r="AO73" s="747"/>
      <c r="AP73" s="763"/>
      <c r="AQ73" s="747"/>
      <c r="AR73" s="763"/>
      <c r="AS73" s="747"/>
      <c r="AT73" s="745"/>
      <c r="AU73" s="745"/>
      <c r="AV73" s="745"/>
      <c r="AW73" s="745"/>
      <c r="AX73" s="745"/>
      <c r="AY73" s="745"/>
    </row>
    <row r="74" spans="1:51" s="741" customFormat="1" ht="22.5" hidden="1" customHeight="1">
      <c r="A74" s="490" t="e">
        <f>A72+1</f>
        <v>#VALUE!</v>
      </c>
      <c r="B74" s="824">
        <v>1</v>
      </c>
      <c r="C74" s="825">
        <f>B74+D74+E74+F74+G74+H74+I74+J74+K74+L74+M74+N74+O74</f>
        <v>1</v>
      </c>
      <c r="D74" s="826"/>
      <c r="E74" s="826"/>
      <c r="F74" s="826"/>
      <c r="G74" s="826"/>
      <c r="H74" s="826"/>
      <c r="I74" s="826"/>
      <c r="J74" s="826"/>
      <c r="K74" s="826"/>
      <c r="L74" s="826"/>
      <c r="M74" s="826"/>
      <c r="N74" s="826"/>
      <c r="O74" s="826"/>
      <c r="P74" s="838" t="s">
        <v>2693</v>
      </c>
      <c r="Q74" s="537" t="s">
        <v>2694</v>
      </c>
      <c r="R74" s="254" t="s">
        <v>2695</v>
      </c>
      <c r="S74" s="828" t="s">
        <v>2696</v>
      </c>
      <c r="T74" s="521" t="s">
        <v>89</v>
      </c>
      <c r="U74" s="522">
        <f t="shared" ref="U74:U75" si="84">BK74/1100000</f>
        <v>0</v>
      </c>
      <c r="V74" s="523" t="s">
        <v>7</v>
      </c>
      <c r="W74" s="524">
        <f t="shared" ref="W74" si="85">U74*0.8-(W75+W76)</f>
        <v>0</v>
      </c>
      <c r="X74" s="299" t="s">
        <v>90</v>
      </c>
      <c r="Y74" s="547" t="s">
        <v>34</v>
      </c>
      <c r="Z74" s="829" t="s">
        <v>2697</v>
      </c>
      <c r="AA74" s="829"/>
      <c r="AB74" s="735" t="s">
        <v>89</v>
      </c>
      <c r="AC74" s="794">
        <v>288316000</v>
      </c>
      <c r="AD74" s="749" t="s">
        <v>98</v>
      </c>
      <c r="AE74" s="738">
        <f>SUM(AF74:AS74)</f>
        <v>4102284</v>
      </c>
      <c r="AF74" s="830" t="s">
        <v>1104</v>
      </c>
      <c r="AG74" s="740"/>
      <c r="AH74" s="832" t="s">
        <v>1105</v>
      </c>
      <c r="AI74" s="740">
        <v>4102284</v>
      </c>
      <c r="AJ74" s="832" t="s">
        <v>2543</v>
      </c>
      <c r="AK74" s="740">
        <f>AG74</f>
        <v>0</v>
      </c>
      <c r="AL74" s="832" t="s">
        <v>796</v>
      </c>
      <c r="AM74" s="740"/>
      <c r="AN74" s="832" t="s">
        <v>1081</v>
      </c>
      <c r="AO74" s="740"/>
      <c r="AP74" s="832"/>
      <c r="AQ74" s="740"/>
      <c r="AR74" s="832"/>
      <c r="AS74" s="740"/>
    </row>
    <row r="75" spans="1:51" s="741" customFormat="1" ht="22.5" hidden="1" customHeight="1" thickBot="1">
      <c r="A75" s="495"/>
      <c r="B75" s="833"/>
      <c r="C75" s="834"/>
      <c r="D75" s="530" t="e">
        <f>#REF!*D74</f>
        <v>#REF!</v>
      </c>
      <c r="E75" s="530" t="e">
        <f>#REF!*E74</f>
        <v>#REF!</v>
      </c>
      <c r="F75" s="530" t="e">
        <f>#REF!*F74</f>
        <v>#REF!</v>
      </c>
      <c r="G75" s="530" t="e">
        <f>#REF!*G74</f>
        <v>#REF!</v>
      </c>
      <c r="H75" s="530" t="e">
        <f>#REF!*H74</f>
        <v>#REF!</v>
      </c>
      <c r="I75" s="530" t="e">
        <f>#REF!*I74</f>
        <v>#REF!</v>
      </c>
      <c r="J75" s="530" t="e">
        <f>#REF!*J74</f>
        <v>#REF!</v>
      </c>
      <c r="K75" s="530" t="e">
        <f>#REF!*K74</f>
        <v>#REF!</v>
      </c>
      <c r="L75" s="530" t="e">
        <f>#REF!*L74</f>
        <v>#REF!</v>
      </c>
      <c r="M75" s="530" t="e">
        <f>#REF!*M74</f>
        <v>#REF!</v>
      </c>
      <c r="N75" s="530" t="e">
        <f>#REF!*N74</f>
        <v>#REF!</v>
      </c>
      <c r="O75" s="530" t="e">
        <f>#REF!*O74</f>
        <v>#REF!</v>
      </c>
      <c r="P75" s="856" t="s">
        <v>2698</v>
      </c>
      <c r="Q75" s="531"/>
      <c r="R75" s="255"/>
      <c r="S75" s="840" t="s">
        <v>2699</v>
      </c>
      <c r="T75" s="526" t="s">
        <v>798</v>
      </c>
      <c r="U75" s="527">
        <f t="shared" si="84"/>
        <v>0</v>
      </c>
      <c r="V75" s="528" t="s">
        <v>799</v>
      </c>
      <c r="W75" s="529">
        <f>BM74/1000000</f>
        <v>0</v>
      </c>
      <c r="X75" s="548" t="e">
        <f>(C74-B74)*#REF!</f>
        <v>#REF!</v>
      </c>
      <c r="Y75" s="743" t="e">
        <f>(1-C74)*#REF!</f>
        <v>#REF!</v>
      </c>
      <c r="Z75" s="837"/>
      <c r="AA75" s="837"/>
      <c r="AB75" s="735" t="s">
        <v>798</v>
      </c>
      <c r="AC75" s="794">
        <v>288316000</v>
      </c>
      <c r="AD75" s="749" t="s">
        <v>801</v>
      </c>
      <c r="AE75" s="738">
        <f>SUM(AF75:AS75)</f>
        <v>13640000.000000002</v>
      </c>
      <c r="AF75" s="830" t="s">
        <v>815</v>
      </c>
      <c r="AG75" s="740"/>
      <c r="AH75" s="832" t="s">
        <v>890</v>
      </c>
      <c r="AI75" s="740"/>
      <c r="AJ75" s="832" t="s">
        <v>1089</v>
      </c>
      <c r="AK75" s="740"/>
      <c r="AL75" s="832" t="s">
        <v>1090</v>
      </c>
      <c r="AM75" s="740"/>
      <c r="AN75" s="832" t="s">
        <v>1080</v>
      </c>
      <c r="AO75" s="740"/>
      <c r="AP75" s="832" t="s">
        <v>2700</v>
      </c>
      <c r="AQ75" s="740">
        <f>12400000*1.1</f>
        <v>13640000.000000002</v>
      </c>
      <c r="AR75" s="832"/>
      <c r="AS75" s="740"/>
      <c r="AT75" s="745"/>
      <c r="AU75" s="745"/>
      <c r="AV75" s="745"/>
      <c r="AW75" s="745"/>
      <c r="AX75" s="745"/>
      <c r="AY75" s="745"/>
    </row>
    <row r="76" spans="1:51" s="741" customFormat="1" ht="22.5" hidden="1" customHeight="1">
      <c r="A76" s="495"/>
      <c r="B76" s="833"/>
      <c r="C76" s="834"/>
      <c r="D76" s="560" t="s">
        <v>2701</v>
      </c>
      <c r="E76" s="560" t="s">
        <v>2702</v>
      </c>
      <c r="F76" s="560" t="s">
        <v>2703</v>
      </c>
      <c r="G76" s="560" t="s">
        <v>2704</v>
      </c>
      <c r="H76" s="560" t="s">
        <v>2705</v>
      </c>
      <c r="I76" s="560" t="s">
        <v>2706</v>
      </c>
      <c r="J76" s="841" t="s">
        <v>2707</v>
      </c>
      <c r="K76" s="841" t="s">
        <v>2708</v>
      </c>
      <c r="L76" s="560" t="s">
        <v>2709</v>
      </c>
      <c r="M76" s="560" t="s">
        <v>2710</v>
      </c>
      <c r="N76" s="560"/>
      <c r="O76" s="560"/>
      <c r="P76" s="870"/>
      <c r="Q76" s="531"/>
      <c r="R76" s="255"/>
      <c r="S76" s="843" t="s">
        <v>816</v>
      </c>
      <c r="T76" s="526" t="s">
        <v>817</v>
      </c>
      <c r="U76" s="527">
        <f t="shared" ref="U76" si="86">U74-U75</f>
        <v>0</v>
      </c>
      <c r="V76" s="532" t="s">
        <v>818</v>
      </c>
      <c r="W76" s="529">
        <f t="shared" ref="W76" si="87">(BM75+BM76)/1100000</f>
        <v>0</v>
      </c>
      <c r="X76" s="89"/>
      <c r="Y76" s="73"/>
      <c r="Z76" s="837"/>
      <c r="AA76" s="837"/>
      <c r="AB76" s="735" t="s">
        <v>817</v>
      </c>
      <c r="AC76" s="744">
        <f>AC74-AC75</f>
        <v>0</v>
      </c>
      <c r="AD76" s="749" t="s">
        <v>824</v>
      </c>
      <c r="AE76" s="738"/>
      <c r="AF76" s="763"/>
      <c r="AG76" s="747"/>
      <c r="AH76" s="763"/>
      <c r="AI76" s="747"/>
      <c r="AJ76" s="763"/>
      <c r="AK76" s="747"/>
      <c r="AL76" s="763"/>
      <c r="AM76" s="747"/>
      <c r="AN76" s="763"/>
      <c r="AO76" s="747"/>
      <c r="AP76" s="763"/>
      <c r="AQ76" s="747"/>
      <c r="AR76" s="763"/>
      <c r="AS76" s="747"/>
      <c r="AT76" s="745"/>
      <c r="AU76" s="745"/>
      <c r="AV76" s="745"/>
      <c r="AW76" s="745"/>
      <c r="AX76" s="745"/>
      <c r="AY76" s="745"/>
    </row>
    <row r="77" spans="1:51" s="741" customFormat="1" ht="22.5" hidden="1" customHeight="1" thickBot="1">
      <c r="A77" s="502"/>
      <c r="B77" s="844"/>
      <c r="C77" s="845"/>
      <c r="D77" s="562"/>
      <c r="E77" s="562"/>
      <c r="F77" s="562"/>
      <c r="G77" s="562"/>
      <c r="H77" s="562"/>
      <c r="I77" s="562"/>
      <c r="J77" s="846"/>
      <c r="K77" s="846"/>
      <c r="L77" s="562"/>
      <c r="M77" s="562"/>
      <c r="N77" s="562"/>
      <c r="O77" s="562"/>
      <c r="P77" s="592" t="e">
        <f>(C74-#REF!)*#REF!</f>
        <v>#REF!</v>
      </c>
      <c r="Q77" s="534"/>
      <c r="R77" s="546" t="s">
        <v>2711</v>
      </c>
      <c r="S77" s="847" t="s">
        <v>2531</v>
      </c>
      <c r="T77" s="535" t="s">
        <v>826</v>
      </c>
      <c r="U77" s="536" t="e">
        <f t="shared" ref="U77" si="88">ROUNDDOWN((U75/U74),3)</f>
        <v>#DIV/0!</v>
      </c>
      <c r="V77" s="535" t="s">
        <v>827</v>
      </c>
      <c r="W77" s="536" t="e">
        <f t="shared" ref="W77" si="89">(U74-(W75+W76)/0.7)/U74</f>
        <v>#DIV/0!</v>
      </c>
      <c r="X77" s="549"/>
      <c r="Y77" s="550"/>
      <c r="Z77" s="848"/>
      <c r="AA77" s="848"/>
      <c r="AB77" s="735"/>
      <c r="AC77" s="748">
        <f>AC75/AC74</f>
        <v>1</v>
      </c>
      <c r="AD77" s="764" t="s">
        <v>828</v>
      </c>
      <c r="AE77" s="750">
        <f>SUM(AE74:AE76)</f>
        <v>17742284</v>
      </c>
      <c r="AF77" s="763"/>
      <c r="AG77" s="747"/>
      <c r="AH77" s="763"/>
      <c r="AI77" s="747"/>
      <c r="AJ77" s="763"/>
      <c r="AK77" s="747"/>
      <c r="AL77" s="763"/>
      <c r="AM77" s="747"/>
      <c r="AN77" s="763"/>
      <c r="AO77" s="747"/>
      <c r="AP77" s="763"/>
      <c r="AQ77" s="747"/>
      <c r="AR77" s="763"/>
      <c r="AS77" s="747"/>
    </row>
    <row r="78" spans="1:51" s="741" customFormat="1" ht="22.5" hidden="1" customHeight="1">
      <c r="A78" s="490" t="e">
        <f t="shared" ref="A78" si="90">A74+1</f>
        <v>#VALUE!</v>
      </c>
      <c r="B78" s="858">
        <v>1</v>
      </c>
      <c r="C78" s="825">
        <f>B78+D78+E78+F78+G78+H78+I78+J78+K78+L78+M78+N78+O78</f>
        <v>1</v>
      </c>
      <c r="D78" s="826"/>
      <c r="E78" s="826"/>
      <c r="F78" s="826"/>
      <c r="G78" s="826"/>
      <c r="H78" s="826"/>
      <c r="I78" s="826"/>
      <c r="J78" s="826"/>
      <c r="K78" s="826"/>
      <c r="L78" s="826"/>
      <c r="M78" s="826"/>
      <c r="N78" s="826"/>
      <c r="O78" s="826"/>
      <c r="P78" s="838" t="s">
        <v>2712</v>
      </c>
      <c r="Q78" s="537" t="s">
        <v>2713</v>
      </c>
      <c r="R78" s="553" t="s">
        <v>2714</v>
      </c>
      <c r="S78" s="828" t="s">
        <v>2715</v>
      </c>
      <c r="T78" s="521" t="s">
        <v>814</v>
      </c>
      <c r="U78" s="522">
        <f t="shared" ref="U78:U79" si="91">BK78/1100000</f>
        <v>0</v>
      </c>
      <c r="V78" s="523" t="s">
        <v>832</v>
      </c>
      <c r="W78" s="524">
        <f t="shared" ref="W78" si="92">U78*0.8-(W79+W80)</f>
        <v>0</v>
      </c>
      <c r="X78" s="299" t="s">
        <v>812</v>
      </c>
      <c r="Y78" s="547" t="s">
        <v>813</v>
      </c>
      <c r="Z78" s="829" t="s">
        <v>2716</v>
      </c>
      <c r="AA78" s="829"/>
      <c r="AB78" s="735" t="s">
        <v>814</v>
      </c>
      <c r="AC78" s="794">
        <v>327266875</v>
      </c>
      <c r="AD78" s="749" t="s">
        <v>35</v>
      </c>
      <c r="AE78" s="738">
        <f>SUM(AF78:AS78)</f>
        <v>6143942</v>
      </c>
      <c r="AF78" s="830" t="s">
        <v>1078</v>
      </c>
      <c r="AG78" s="740"/>
      <c r="AH78" s="832" t="s">
        <v>1079</v>
      </c>
      <c r="AI78" s="740"/>
      <c r="AJ78" s="832" t="s">
        <v>2512</v>
      </c>
      <c r="AK78" s="740">
        <v>6143942</v>
      </c>
      <c r="AL78" s="832" t="s">
        <v>796</v>
      </c>
      <c r="AM78" s="740"/>
      <c r="AN78" s="832" t="s">
        <v>1081</v>
      </c>
      <c r="AO78" s="740"/>
      <c r="AP78" s="832"/>
      <c r="AQ78" s="740"/>
      <c r="AR78" s="832"/>
      <c r="AS78" s="740"/>
    </row>
    <row r="79" spans="1:51" s="741" customFormat="1" ht="22.5" hidden="1" customHeight="1" thickBot="1">
      <c r="A79" s="495"/>
      <c r="B79" s="861"/>
      <c r="C79" s="834"/>
      <c r="D79" s="530" t="e">
        <f>#REF!*D78</f>
        <v>#REF!</v>
      </c>
      <c r="E79" s="530" t="e">
        <f>#REF!*E78</f>
        <v>#REF!</v>
      </c>
      <c r="F79" s="530" t="e">
        <f>#REF!*F78</f>
        <v>#REF!</v>
      </c>
      <c r="G79" s="530" t="e">
        <f>#REF!*G78</f>
        <v>#REF!</v>
      </c>
      <c r="H79" s="530" t="e">
        <f>#REF!*H78</f>
        <v>#REF!</v>
      </c>
      <c r="I79" s="530" t="e">
        <f>#REF!*I78</f>
        <v>#REF!</v>
      </c>
      <c r="J79" s="530" t="e">
        <f>#REF!*J78</f>
        <v>#REF!</v>
      </c>
      <c r="K79" s="530" t="e">
        <f>#REF!*K78</f>
        <v>#REF!</v>
      </c>
      <c r="L79" s="530" t="e">
        <f>#REF!*L78</f>
        <v>#REF!</v>
      </c>
      <c r="M79" s="530" t="e">
        <f>#REF!*M78</f>
        <v>#REF!</v>
      </c>
      <c r="N79" s="530" t="e">
        <f>#REF!*N78</f>
        <v>#REF!</v>
      </c>
      <c r="O79" s="530" t="e">
        <f>#REF!*O78</f>
        <v>#REF!</v>
      </c>
      <c r="P79" s="917"/>
      <c r="Q79" s="531"/>
      <c r="R79" s="557"/>
      <c r="S79" s="840" t="s">
        <v>2717</v>
      </c>
      <c r="T79" s="526" t="s">
        <v>798</v>
      </c>
      <c r="U79" s="527">
        <f t="shared" si="91"/>
        <v>0</v>
      </c>
      <c r="V79" s="528" t="s">
        <v>799</v>
      </c>
      <c r="W79" s="529">
        <f>BM78/1000000</f>
        <v>0</v>
      </c>
      <c r="X79" s="548" t="e">
        <f>(C78-B78)*#REF!</f>
        <v>#REF!</v>
      </c>
      <c r="Y79" s="743" t="e">
        <f>(1-C78)*#REF!</f>
        <v>#REF!</v>
      </c>
      <c r="Z79" s="837"/>
      <c r="AA79" s="837"/>
      <c r="AB79" s="735" t="s">
        <v>798</v>
      </c>
      <c r="AC79" s="794">
        <v>327266875</v>
      </c>
      <c r="AD79" s="749" t="s">
        <v>801</v>
      </c>
      <c r="AE79" s="738">
        <f>SUM(AF79:AS79)</f>
        <v>0</v>
      </c>
      <c r="AF79" s="830" t="s">
        <v>815</v>
      </c>
      <c r="AG79" s="740"/>
      <c r="AH79" s="832" t="s">
        <v>890</v>
      </c>
      <c r="AI79" s="740"/>
      <c r="AJ79" s="832" t="s">
        <v>1089</v>
      </c>
      <c r="AK79" s="740"/>
      <c r="AL79" s="832" t="s">
        <v>1090</v>
      </c>
      <c r="AM79" s="740"/>
      <c r="AN79" s="832" t="s">
        <v>1080</v>
      </c>
      <c r="AO79" s="740"/>
      <c r="AP79" s="832"/>
      <c r="AQ79" s="740"/>
      <c r="AR79" s="832"/>
      <c r="AS79" s="740"/>
      <c r="AT79" s="745"/>
      <c r="AU79" s="745"/>
      <c r="AV79" s="745"/>
      <c r="AW79" s="745"/>
      <c r="AX79" s="745"/>
      <c r="AY79" s="745"/>
    </row>
    <row r="80" spans="1:51" s="741" customFormat="1" ht="22.5" hidden="1" customHeight="1">
      <c r="A80" s="495"/>
      <c r="B80" s="861"/>
      <c r="C80" s="834"/>
      <c r="D80" s="560" t="s">
        <v>2718</v>
      </c>
      <c r="E80" s="560" t="s">
        <v>2719</v>
      </c>
      <c r="F80" s="560" t="s">
        <v>2720</v>
      </c>
      <c r="G80" s="560"/>
      <c r="H80" s="560"/>
      <c r="I80" s="560"/>
      <c r="J80" s="560"/>
      <c r="K80" s="560"/>
      <c r="L80" s="560"/>
      <c r="M80" s="560"/>
      <c r="N80" s="560"/>
      <c r="O80" s="560"/>
      <c r="P80" s="870"/>
      <c r="Q80" s="531"/>
      <c r="R80" s="557"/>
      <c r="S80" s="843" t="s">
        <v>816</v>
      </c>
      <c r="T80" s="526" t="s">
        <v>817</v>
      </c>
      <c r="U80" s="527">
        <f t="shared" ref="U80" si="93">U78-U79</f>
        <v>0</v>
      </c>
      <c r="V80" s="532" t="s">
        <v>818</v>
      </c>
      <c r="W80" s="529">
        <f t="shared" ref="W80" si="94">(BM79+BM80)/1100000</f>
        <v>0</v>
      </c>
      <c r="X80" s="89"/>
      <c r="Y80" s="73"/>
      <c r="Z80" s="837"/>
      <c r="AA80" s="837"/>
      <c r="AB80" s="735" t="s">
        <v>817</v>
      </c>
      <c r="AC80" s="744">
        <f>AC78-AC79</f>
        <v>0</v>
      </c>
      <c r="AD80" s="749" t="s">
        <v>824</v>
      </c>
      <c r="AE80" s="738"/>
      <c r="AF80" s="763"/>
      <c r="AG80" s="747"/>
      <c r="AH80" s="763"/>
      <c r="AI80" s="747"/>
      <c r="AJ80" s="763"/>
      <c r="AK80" s="747"/>
      <c r="AL80" s="763"/>
      <c r="AM80" s="747"/>
      <c r="AN80" s="763"/>
      <c r="AO80" s="747"/>
      <c r="AP80" s="763"/>
      <c r="AQ80" s="747"/>
      <c r="AR80" s="763"/>
      <c r="AS80" s="747"/>
      <c r="AT80" s="745"/>
      <c r="AU80" s="745"/>
      <c r="AV80" s="745"/>
      <c r="AW80" s="745"/>
      <c r="AX80" s="745"/>
      <c r="AY80" s="745"/>
    </row>
    <row r="81" spans="1:51" s="741" customFormat="1" ht="22.5" hidden="1" customHeight="1" thickBot="1">
      <c r="A81" s="502"/>
      <c r="B81" s="864"/>
      <c r="C81" s="845"/>
      <c r="D81" s="562"/>
      <c r="E81" s="562"/>
      <c r="F81" s="562"/>
      <c r="G81" s="562"/>
      <c r="H81" s="562"/>
      <c r="I81" s="562"/>
      <c r="J81" s="562"/>
      <c r="K81" s="562"/>
      <c r="L81" s="562"/>
      <c r="M81" s="562"/>
      <c r="N81" s="562"/>
      <c r="O81" s="562"/>
      <c r="P81" s="592" t="e">
        <f>(C78-#REF!)*#REF!</f>
        <v>#REF!</v>
      </c>
      <c r="Q81" s="534"/>
      <c r="R81" s="546" t="s">
        <v>2721</v>
      </c>
      <c r="S81" s="847" t="s">
        <v>2722</v>
      </c>
      <c r="T81" s="535" t="s">
        <v>826</v>
      </c>
      <c r="U81" s="536" t="e">
        <f t="shared" ref="U81" si="95">ROUNDDOWN((U79/U78),3)</f>
        <v>#DIV/0!</v>
      </c>
      <c r="V81" s="535" t="s">
        <v>827</v>
      </c>
      <c r="W81" s="536" t="e">
        <f t="shared" ref="W81" si="96">(U78-(W79+W80)/0.7)/U78</f>
        <v>#DIV/0!</v>
      </c>
      <c r="X81" s="549"/>
      <c r="Y81" s="550"/>
      <c r="Z81" s="848"/>
      <c r="AA81" s="848"/>
      <c r="AB81" s="735"/>
      <c r="AC81" s="748">
        <f>AC79/AC78</f>
        <v>1</v>
      </c>
      <c r="AD81" s="764" t="s">
        <v>828</v>
      </c>
      <c r="AE81" s="750">
        <f>SUM(AE78:AE80)</f>
        <v>6143942</v>
      </c>
      <c r="AF81" s="763"/>
      <c r="AG81" s="747"/>
      <c r="AH81" s="763"/>
      <c r="AI81" s="747"/>
      <c r="AJ81" s="763"/>
      <c r="AK81" s="747"/>
      <c r="AL81" s="763"/>
      <c r="AM81" s="747"/>
      <c r="AN81" s="763"/>
      <c r="AO81" s="747"/>
      <c r="AP81" s="763"/>
      <c r="AQ81" s="747"/>
      <c r="AR81" s="763"/>
      <c r="AS81" s="747"/>
    </row>
    <row r="82" spans="1:51" s="741" customFormat="1" ht="22.5" hidden="1" customHeight="1">
      <c r="A82" s="490" t="e">
        <f t="shared" ref="A82" si="97">A78+1</f>
        <v>#VALUE!</v>
      </c>
      <c r="B82" s="824">
        <v>0</v>
      </c>
      <c r="C82" s="825">
        <f>B82+D82+E82+F82+G82+H82+I82+J82+K82+L82+M82+N82+O82</f>
        <v>0</v>
      </c>
      <c r="D82" s="826"/>
      <c r="E82" s="826"/>
      <c r="F82" s="826"/>
      <c r="G82" s="826"/>
      <c r="H82" s="826"/>
      <c r="I82" s="826"/>
      <c r="J82" s="826"/>
      <c r="K82" s="826"/>
      <c r="L82" s="826"/>
      <c r="M82" s="826"/>
      <c r="N82" s="826"/>
      <c r="O82" s="826"/>
      <c r="P82" s="918" t="s">
        <v>2723</v>
      </c>
      <c r="Q82" s="537" t="s">
        <v>2724</v>
      </c>
      <c r="R82" s="553" t="s">
        <v>2725</v>
      </c>
      <c r="S82" s="828" t="s">
        <v>2726</v>
      </c>
      <c r="T82" s="521" t="s">
        <v>89</v>
      </c>
      <c r="U82" s="522">
        <f t="shared" ref="U82:U83" si="98">BK82/1100000</f>
        <v>0</v>
      </c>
      <c r="V82" s="523" t="s">
        <v>7</v>
      </c>
      <c r="W82" s="524">
        <f t="shared" ref="W82" si="99">U82*0.8-(W83+W84)</f>
        <v>0</v>
      </c>
      <c r="X82" s="299" t="s">
        <v>90</v>
      </c>
      <c r="Y82" s="547" t="s">
        <v>34</v>
      </c>
      <c r="Z82" s="829" t="s">
        <v>110</v>
      </c>
      <c r="AA82" s="829"/>
      <c r="AB82" s="735" t="s">
        <v>89</v>
      </c>
      <c r="AC82" s="794">
        <v>9766000</v>
      </c>
      <c r="AD82" s="749" t="s">
        <v>98</v>
      </c>
      <c r="AE82" s="738">
        <f>SUM(AF82:AS82)</f>
        <v>0</v>
      </c>
      <c r="AF82" s="830" t="s">
        <v>1104</v>
      </c>
      <c r="AG82" s="740"/>
      <c r="AH82" s="832" t="s">
        <v>1105</v>
      </c>
      <c r="AI82" s="740">
        <f>AG82</f>
        <v>0</v>
      </c>
      <c r="AJ82" s="832" t="s">
        <v>2543</v>
      </c>
      <c r="AK82" s="740">
        <f>AG82</f>
        <v>0</v>
      </c>
      <c r="AL82" s="832" t="s">
        <v>796</v>
      </c>
      <c r="AM82" s="740"/>
      <c r="AN82" s="832" t="s">
        <v>1081</v>
      </c>
      <c r="AO82" s="740"/>
      <c r="AP82" s="832"/>
      <c r="AQ82" s="740"/>
      <c r="AR82" s="832"/>
      <c r="AS82" s="740"/>
    </row>
    <row r="83" spans="1:51" s="741" customFormat="1" ht="22.5" hidden="1" customHeight="1" thickBot="1">
      <c r="A83" s="495"/>
      <c r="B83" s="833"/>
      <c r="C83" s="834"/>
      <c r="D83" s="530" t="e">
        <f>#REF!*D82</f>
        <v>#REF!</v>
      </c>
      <c r="E83" s="530" t="e">
        <f>#REF!*E82</f>
        <v>#REF!</v>
      </c>
      <c r="F83" s="530" t="e">
        <f>#REF!*F82</f>
        <v>#REF!</v>
      </c>
      <c r="G83" s="530" t="e">
        <f>#REF!*G82</f>
        <v>#REF!</v>
      </c>
      <c r="H83" s="530" t="e">
        <f>#REF!*H82</f>
        <v>#REF!</v>
      </c>
      <c r="I83" s="530" t="e">
        <f>#REF!*I82</f>
        <v>#REF!</v>
      </c>
      <c r="J83" s="530" t="e">
        <f>#REF!*J82</f>
        <v>#REF!</v>
      </c>
      <c r="K83" s="530" t="e">
        <f>#REF!*K82</f>
        <v>#REF!</v>
      </c>
      <c r="L83" s="530" t="e">
        <f>#REF!*L82</f>
        <v>#REF!</v>
      </c>
      <c r="M83" s="530" t="e">
        <f>#REF!*M82</f>
        <v>#REF!</v>
      </c>
      <c r="N83" s="530" t="e">
        <f>#REF!*N82</f>
        <v>#REF!</v>
      </c>
      <c r="O83" s="530" t="e">
        <f>#REF!*O82</f>
        <v>#REF!</v>
      </c>
      <c r="P83" s="919"/>
      <c r="Q83" s="531"/>
      <c r="R83" s="557"/>
      <c r="S83" s="840" t="s">
        <v>2727</v>
      </c>
      <c r="T83" s="526" t="s">
        <v>798</v>
      </c>
      <c r="U83" s="527">
        <f t="shared" si="98"/>
        <v>0</v>
      </c>
      <c r="V83" s="528" t="s">
        <v>799</v>
      </c>
      <c r="W83" s="529">
        <f t="shared" ref="W83" si="100">BM82/1000000</f>
        <v>0</v>
      </c>
      <c r="X83" s="548" t="e">
        <f>(C82-B82)*#REF!</f>
        <v>#REF!</v>
      </c>
      <c r="Y83" s="743" t="e">
        <f>(1-C82)*#REF!</f>
        <v>#REF!</v>
      </c>
      <c r="Z83" s="837"/>
      <c r="AA83" s="837"/>
      <c r="AB83" s="735" t="s">
        <v>798</v>
      </c>
      <c r="AC83" s="794">
        <v>0</v>
      </c>
      <c r="AD83" s="749" t="s">
        <v>801</v>
      </c>
      <c r="AE83" s="738">
        <f>SUM(AF83:AS83)</f>
        <v>0</v>
      </c>
      <c r="AF83" s="830" t="s">
        <v>815</v>
      </c>
      <c r="AG83" s="740"/>
      <c r="AH83" s="832" t="s">
        <v>890</v>
      </c>
      <c r="AI83" s="740"/>
      <c r="AJ83" s="832" t="s">
        <v>1089</v>
      </c>
      <c r="AK83" s="740"/>
      <c r="AL83" s="832" t="s">
        <v>1090</v>
      </c>
      <c r="AM83" s="740"/>
      <c r="AN83" s="832" t="s">
        <v>1080</v>
      </c>
      <c r="AO83" s="740"/>
      <c r="AP83" s="832"/>
      <c r="AQ83" s="740"/>
      <c r="AR83" s="832"/>
      <c r="AS83" s="740"/>
      <c r="AT83" s="745"/>
      <c r="AU83" s="745"/>
      <c r="AV83" s="745"/>
      <c r="AW83" s="745"/>
      <c r="AX83" s="745"/>
      <c r="AY83" s="745"/>
    </row>
    <row r="84" spans="1:51" s="741" customFormat="1" ht="22.5" hidden="1" customHeight="1">
      <c r="A84" s="495"/>
      <c r="B84" s="833"/>
      <c r="C84" s="834"/>
      <c r="D84" s="560"/>
      <c r="E84" s="560"/>
      <c r="F84" s="560"/>
      <c r="G84" s="560"/>
      <c r="H84" s="560"/>
      <c r="I84" s="560"/>
      <c r="J84" s="560"/>
      <c r="K84" s="560"/>
      <c r="L84" s="560"/>
      <c r="M84" s="560"/>
      <c r="N84" s="560"/>
      <c r="O84" s="560"/>
      <c r="P84" s="842"/>
      <c r="Q84" s="531"/>
      <c r="R84" s="557"/>
      <c r="S84" s="843" t="s">
        <v>816</v>
      </c>
      <c r="T84" s="526" t="s">
        <v>817</v>
      </c>
      <c r="U84" s="527">
        <f t="shared" ref="U84" si="101">U82-U83</f>
        <v>0</v>
      </c>
      <c r="V84" s="532" t="s">
        <v>818</v>
      </c>
      <c r="W84" s="529">
        <f t="shared" ref="W84" si="102">(BM83+BM84)/1100000</f>
        <v>0</v>
      </c>
      <c r="X84" s="89"/>
      <c r="Y84" s="73"/>
      <c r="Z84" s="837"/>
      <c r="AA84" s="837"/>
      <c r="AB84" s="735" t="s">
        <v>817</v>
      </c>
      <c r="AC84" s="744">
        <f>AC82-AC83</f>
        <v>9766000</v>
      </c>
      <c r="AD84" s="749" t="s">
        <v>824</v>
      </c>
      <c r="AE84" s="738"/>
      <c r="AF84" s="763"/>
      <c r="AG84" s="747"/>
      <c r="AH84" s="763"/>
      <c r="AI84" s="747"/>
      <c r="AJ84" s="763"/>
      <c r="AK84" s="747"/>
      <c r="AL84" s="763"/>
      <c r="AM84" s="747"/>
      <c r="AN84" s="763"/>
      <c r="AO84" s="747"/>
      <c r="AP84" s="763"/>
      <c r="AQ84" s="747"/>
      <c r="AR84" s="763"/>
      <c r="AS84" s="747"/>
      <c r="AT84" s="745"/>
      <c r="AU84" s="745"/>
      <c r="AV84" s="745"/>
      <c r="AW84" s="745"/>
      <c r="AX84" s="745"/>
      <c r="AY84" s="745"/>
    </row>
    <row r="85" spans="1:51" s="741" customFormat="1" ht="22.5" hidden="1" customHeight="1" thickBot="1">
      <c r="A85" s="502"/>
      <c r="B85" s="844"/>
      <c r="C85" s="845"/>
      <c r="D85" s="562"/>
      <c r="E85" s="562"/>
      <c r="F85" s="562"/>
      <c r="G85" s="562"/>
      <c r="H85" s="562"/>
      <c r="I85" s="562"/>
      <c r="J85" s="562"/>
      <c r="K85" s="562"/>
      <c r="L85" s="562"/>
      <c r="M85" s="562"/>
      <c r="N85" s="562"/>
      <c r="O85" s="562"/>
      <c r="P85" s="592" t="e">
        <f>(C82-#REF!)*#REF!</f>
        <v>#REF!</v>
      </c>
      <c r="Q85" s="534"/>
      <c r="R85" s="546" t="s">
        <v>2728</v>
      </c>
      <c r="S85" s="847" t="s">
        <v>2531</v>
      </c>
      <c r="T85" s="535" t="s">
        <v>826</v>
      </c>
      <c r="U85" s="536" t="e">
        <f t="shared" ref="U85" si="103">ROUNDDOWN((U83/U82),3)</f>
        <v>#DIV/0!</v>
      </c>
      <c r="V85" s="535" t="s">
        <v>827</v>
      </c>
      <c r="W85" s="536" t="e">
        <f t="shared" ref="W85" si="104">(U82-(W83+W84)/0.7)/U82</f>
        <v>#DIV/0!</v>
      </c>
      <c r="X85" s="549"/>
      <c r="Y85" s="550"/>
      <c r="Z85" s="848"/>
      <c r="AA85" s="848"/>
      <c r="AB85" s="735"/>
      <c r="AC85" s="748">
        <f>AC83/AC82</f>
        <v>0</v>
      </c>
      <c r="AD85" s="764" t="s">
        <v>828</v>
      </c>
      <c r="AE85" s="750">
        <f>SUM(AE82:AE84)</f>
        <v>0</v>
      </c>
      <c r="AF85" s="763"/>
      <c r="AG85" s="747"/>
      <c r="AH85" s="763"/>
      <c r="AI85" s="747"/>
      <c r="AJ85" s="763"/>
      <c r="AK85" s="747"/>
      <c r="AL85" s="763"/>
      <c r="AM85" s="747"/>
      <c r="AN85" s="763"/>
      <c r="AO85" s="747"/>
      <c r="AP85" s="763"/>
      <c r="AQ85" s="747"/>
      <c r="AR85" s="763"/>
      <c r="AS85" s="747"/>
    </row>
    <row r="86" spans="1:51" s="741" customFormat="1" ht="22.5" hidden="1" customHeight="1">
      <c r="A86" s="490" t="e">
        <f t="shared" ref="A86" si="105">A82+1</f>
        <v>#VALUE!</v>
      </c>
      <c r="B86" s="824">
        <v>1</v>
      </c>
      <c r="C86" s="825">
        <f>B86+D86+E86+F86+G86+H86+I86+J86+K86+L86+M86+N86+O86</f>
        <v>1</v>
      </c>
      <c r="D86" s="826"/>
      <c r="E86" s="826"/>
      <c r="F86" s="826"/>
      <c r="G86" s="826"/>
      <c r="H86" s="826"/>
      <c r="I86" s="826"/>
      <c r="J86" s="826"/>
      <c r="K86" s="826"/>
      <c r="L86" s="826"/>
      <c r="M86" s="826"/>
      <c r="N86" s="826"/>
      <c r="O86" s="826"/>
      <c r="P86" s="838"/>
      <c r="Q86" s="537" t="s">
        <v>2724</v>
      </c>
      <c r="R86" s="553" t="s">
        <v>2729</v>
      </c>
      <c r="S86" s="828" t="s">
        <v>2726</v>
      </c>
      <c r="T86" s="521" t="s">
        <v>89</v>
      </c>
      <c r="U86" s="522">
        <f t="shared" ref="U86:U87" si="106">BK86/1100000</f>
        <v>0</v>
      </c>
      <c r="V86" s="523" t="s">
        <v>7</v>
      </c>
      <c r="W86" s="524">
        <f t="shared" ref="W86" si="107">U86*0.8-(W87+W88)</f>
        <v>0</v>
      </c>
      <c r="X86" s="299" t="s">
        <v>90</v>
      </c>
      <c r="Y86" s="547" t="s">
        <v>34</v>
      </c>
      <c r="Z86" s="829" t="s">
        <v>2730</v>
      </c>
      <c r="AA86" s="829"/>
      <c r="AB86" s="735" t="s">
        <v>89</v>
      </c>
      <c r="AC86" s="794">
        <v>26596000</v>
      </c>
      <c r="AD86" s="749" t="s">
        <v>98</v>
      </c>
      <c r="AE86" s="738">
        <f>SUM(AF86:AS86)</f>
        <v>0</v>
      </c>
      <c r="AF86" s="830" t="s">
        <v>1104</v>
      </c>
      <c r="AG86" s="740"/>
      <c r="AH86" s="832" t="s">
        <v>1105</v>
      </c>
      <c r="AI86" s="740">
        <f>AG86</f>
        <v>0</v>
      </c>
      <c r="AJ86" s="832" t="s">
        <v>2512</v>
      </c>
      <c r="AK86" s="740">
        <f>AG86</f>
        <v>0</v>
      </c>
      <c r="AL86" s="832" t="s">
        <v>796</v>
      </c>
      <c r="AM86" s="740"/>
      <c r="AN86" s="832" t="s">
        <v>1081</v>
      </c>
      <c r="AO86" s="740"/>
      <c r="AP86" s="832"/>
      <c r="AQ86" s="740"/>
      <c r="AR86" s="832"/>
      <c r="AS86" s="740"/>
    </row>
    <row r="87" spans="1:51" s="741" customFormat="1" ht="22.5" hidden="1" customHeight="1" thickBot="1">
      <c r="A87" s="495"/>
      <c r="B87" s="833"/>
      <c r="C87" s="834"/>
      <c r="D87" s="530" t="e">
        <f>#REF!*D86</f>
        <v>#REF!</v>
      </c>
      <c r="E87" s="530" t="e">
        <f>#REF!*E86</f>
        <v>#REF!</v>
      </c>
      <c r="F87" s="530" t="e">
        <f>#REF!*F86</f>
        <v>#REF!</v>
      </c>
      <c r="G87" s="530" t="e">
        <f>#REF!*G86</f>
        <v>#REF!</v>
      </c>
      <c r="H87" s="530" t="e">
        <f>#REF!*H86</f>
        <v>#REF!</v>
      </c>
      <c r="I87" s="530" t="e">
        <f>#REF!*I86</f>
        <v>#REF!</v>
      </c>
      <c r="J87" s="530" t="e">
        <f>#REF!*J86</f>
        <v>#REF!</v>
      </c>
      <c r="K87" s="530" t="e">
        <f>#REF!*K86</f>
        <v>#REF!</v>
      </c>
      <c r="L87" s="530" t="e">
        <f>#REF!*L86</f>
        <v>#REF!</v>
      </c>
      <c r="M87" s="530" t="e">
        <f>#REF!*M86</f>
        <v>#REF!</v>
      </c>
      <c r="N87" s="530" t="e">
        <f>#REF!*N86</f>
        <v>#REF!</v>
      </c>
      <c r="O87" s="530" t="e">
        <f>#REF!*O86</f>
        <v>#REF!</v>
      </c>
      <c r="P87" s="839"/>
      <c r="Q87" s="531"/>
      <c r="R87" s="557"/>
      <c r="S87" s="840" t="s">
        <v>2731</v>
      </c>
      <c r="T87" s="526" t="s">
        <v>798</v>
      </c>
      <c r="U87" s="527">
        <f t="shared" si="106"/>
        <v>0</v>
      </c>
      <c r="V87" s="528" t="s">
        <v>799</v>
      </c>
      <c r="W87" s="529">
        <f t="shared" ref="W87" si="108">BM86/1000000</f>
        <v>0</v>
      </c>
      <c r="X87" s="548" t="e">
        <f>(C86-B86)*#REF!</f>
        <v>#REF!</v>
      </c>
      <c r="Y87" s="743" t="e">
        <f>(1-C86)*#REF!</f>
        <v>#REF!</v>
      </c>
      <c r="Z87" s="837"/>
      <c r="AA87" s="837"/>
      <c r="AB87" s="735" t="s">
        <v>798</v>
      </c>
      <c r="AC87" s="794">
        <v>26596000</v>
      </c>
      <c r="AD87" s="749" t="s">
        <v>801</v>
      </c>
      <c r="AE87" s="738">
        <f>SUM(AF87:AS87)</f>
        <v>0</v>
      </c>
      <c r="AF87" s="830" t="s">
        <v>815</v>
      </c>
      <c r="AG87" s="740"/>
      <c r="AH87" s="832" t="s">
        <v>890</v>
      </c>
      <c r="AI87" s="740"/>
      <c r="AJ87" s="832" t="s">
        <v>1089</v>
      </c>
      <c r="AK87" s="740"/>
      <c r="AL87" s="832" t="s">
        <v>1090</v>
      </c>
      <c r="AM87" s="740"/>
      <c r="AN87" s="832" t="s">
        <v>1080</v>
      </c>
      <c r="AO87" s="740"/>
      <c r="AP87" s="832"/>
      <c r="AQ87" s="740"/>
      <c r="AR87" s="832"/>
      <c r="AS87" s="740"/>
      <c r="AT87" s="745"/>
      <c r="AU87" s="745"/>
      <c r="AV87" s="745"/>
      <c r="AW87" s="745"/>
      <c r="AX87" s="745"/>
      <c r="AY87" s="745"/>
    </row>
    <row r="88" spans="1:51" s="741" customFormat="1" ht="22.5" hidden="1" customHeight="1">
      <c r="A88" s="495"/>
      <c r="B88" s="833"/>
      <c r="C88" s="834"/>
      <c r="D88" s="560"/>
      <c r="E88" s="560"/>
      <c r="F88" s="560"/>
      <c r="G88" s="560"/>
      <c r="H88" s="560"/>
      <c r="I88" s="560"/>
      <c r="J88" s="560"/>
      <c r="K88" s="560"/>
      <c r="L88" s="560"/>
      <c r="M88" s="560"/>
      <c r="N88" s="560"/>
      <c r="O88" s="560"/>
      <c r="P88" s="842"/>
      <c r="Q88" s="531"/>
      <c r="R88" s="557"/>
      <c r="S88" s="843" t="s">
        <v>816</v>
      </c>
      <c r="T88" s="526" t="s">
        <v>817</v>
      </c>
      <c r="U88" s="527">
        <f t="shared" ref="U88" si="109">U86-U87</f>
        <v>0</v>
      </c>
      <c r="V88" s="532" t="s">
        <v>818</v>
      </c>
      <c r="W88" s="529">
        <f t="shared" ref="W88" si="110">(BM87+BM88)/1100000</f>
        <v>0</v>
      </c>
      <c r="X88" s="89"/>
      <c r="Y88" s="73"/>
      <c r="Z88" s="837"/>
      <c r="AA88" s="837"/>
      <c r="AB88" s="735" t="s">
        <v>817</v>
      </c>
      <c r="AC88" s="744">
        <f>AC86-AC87</f>
        <v>0</v>
      </c>
      <c r="AD88" s="749" t="s">
        <v>824</v>
      </c>
      <c r="AE88" s="738"/>
      <c r="AF88" s="763"/>
      <c r="AG88" s="747"/>
      <c r="AH88" s="763"/>
      <c r="AI88" s="747"/>
      <c r="AJ88" s="763"/>
      <c r="AK88" s="747"/>
      <c r="AL88" s="763"/>
      <c r="AM88" s="747"/>
      <c r="AN88" s="763"/>
      <c r="AO88" s="747"/>
      <c r="AP88" s="763"/>
      <c r="AQ88" s="747"/>
      <c r="AR88" s="763"/>
      <c r="AS88" s="747"/>
      <c r="AT88" s="745"/>
      <c r="AU88" s="745"/>
      <c r="AV88" s="745"/>
      <c r="AW88" s="745"/>
      <c r="AX88" s="745"/>
      <c r="AY88" s="745"/>
    </row>
    <row r="89" spans="1:51" s="741" customFormat="1" ht="22.5" hidden="1" customHeight="1" thickBot="1">
      <c r="A89" s="502"/>
      <c r="B89" s="844"/>
      <c r="C89" s="845"/>
      <c r="D89" s="562"/>
      <c r="E89" s="562"/>
      <c r="F89" s="562"/>
      <c r="G89" s="562"/>
      <c r="H89" s="562"/>
      <c r="I89" s="562"/>
      <c r="J89" s="562"/>
      <c r="K89" s="562"/>
      <c r="L89" s="562"/>
      <c r="M89" s="562"/>
      <c r="N89" s="562"/>
      <c r="O89" s="562"/>
      <c r="P89" s="592" t="e">
        <f>(C86-#REF!)*#REF!</f>
        <v>#REF!</v>
      </c>
      <c r="Q89" s="534"/>
      <c r="R89" s="546" t="s">
        <v>2732</v>
      </c>
      <c r="S89" s="847" t="s">
        <v>2531</v>
      </c>
      <c r="T89" s="535" t="s">
        <v>826</v>
      </c>
      <c r="U89" s="536" t="e">
        <f t="shared" ref="U89" si="111">ROUNDDOWN((U87/U86),3)</f>
        <v>#DIV/0!</v>
      </c>
      <c r="V89" s="535" t="s">
        <v>827</v>
      </c>
      <c r="W89" s="536" t="e">
        <f t="shared" ref="W89" si="112">(U86-(W87+W88)/0.7)/U86</f>
        <v>#DIV/0!</v>
      </c>
      <c r="X89" s="549"/>
      <c r="Y89" s="550"/>
      <c r="Z89" s="848"/>
      <c r="AA89" s="848"/>
      <c r="AB89" s="735"/>
      <c r="AC89" s="748">
        <f>AC87/AC86</f>
        <v>1</v>
      </c>
      <c r="AD89" s="764" t="s">
        <v>828</v>
      </c>
      <c r="AE89" s="750">
        <f>SUM(AE86:AE88)</f>
        <v>0</v>
      </c>
      <c r="AF89" s="763"/>
      <c r="AG89" s="747"/>
      <c r="AH89" s="763"/>
      <c r="AI89" s="747"/>
      <c r="AJ89" s="763"/>
      <c r="AK89" s="747"/>
      <c r="AL89" s="763"/>
      <c r="AM89" s="747"/>
      <c r="AN89" s="763"/>
      <c r="AO89" s="747"/>
      <c r="AP89" s="763"/>
      <c r="AQ89" s="747"/>
      <c r="AR89" s="763"/>
      <c r="AS89" s="747"/>
    </row>
    <row r="90" spans="1:51" s="741" customFormat="1" ht="22.5" hidden="1" customHeight="1">
      <c r="A90" s="490" t="e">
        <f>A78+1</f>
        <v>#VALUE!</v>
      </c>
      <c r="B90" s="824">
        <v>1</v>
      </c>
      <c r="C90" s="825">
        <f>B90+D90+E90+F90+G90+H90+I90+J90+K90+L90+M90+N90+O90</f>
        <v>1</v>
      </c>
      <c r="D90" s="826"/>
      <c r="E90" s="826"/>
      <c r="F90" s="826"/>
      <c r="G90" s="826"/>
      <c r="H90" s="826"/>
      <c r="I90" s="826"/>
      <c r="J90" s="826"/>
      <c r="K90" s="826"/>
      <c r="L90" s="826"/>
      <c r="M90" s="826"/>
      <c r="N90" s="826"/>
      <c r="O90" s="826"/>
      <c r="P90" s="838"/>
      <c r="Q90" s="537" t="s">
        <v>2733</v>
      </c>
      <c r="R90" s="553" t="s">
        <v>2734</v>
      </c>
      <c r="S90" s="828" t="s">
        <v>2637</v>
      </c>
      <c r="T90" s="521" t="s">
        <v>814</v>
      </c>
      <c r="U90" s="522">
        <f t="shared" ref="U90:U91" si="113">BK90/1100000</f>
        <v>0</v>
      </c>
      <c r="V90" s="523" t="s">
        <v>832</v>
      </c>
      <c r="W90" s="524">
        <f t="shared" ref="W90" si="114">U90*0.8-(W91+W92)</f>
        <v>0</v>
      </c>
      <c r="X90" s="299" t="s">
        <v>812</v>
      </c>
      <c r="Y90" s="547" t="s">
        <v>813</v>
      </c>
      <c r="Z90" s="829" t="s">
        <v>2735</v>
      </c>
      <c r="AA90" s="829"/>
      <c r="AB90" s="735" t="s">
        <v>814</v>
      </c>
      <c r="AC90" s="794">
        <v>391600000</v>
      </c>
      <c r="AD90" s="749" t="s">
        <v>35</v>
      </c>
      <c r="AE90" s="738">
        <f>SUM(AF90:AS90)</f>
        <v>0</v>
      </c>
      <c r="AF90" s="830" t="s">
        <v>1078</v>
      </c>
      <c r="AG90" s="740"/>
      <c r="AH90" s="832" t="s">
        <v>1079</v>
      </c>
      <c r="AI90" s="740">
        <f>AG90</f>
        <v>0</v>
      </c>
      <c r="AJ90" s="832" t="s">
        <v>2512</v>
      </c>
      <c r="AK90" s="740">
        <f>AG90</f>
        <v>0</v>
      </c>
      <c r="AL90" s="832" t="s">
        <v>796</v>
      </c>
      <c r="AM90" s="740"/>
      <c r="AN90" s="832" t="s">
        <v>1081</v>
      </c>
      <c r="AO90" s="740"/>
      <c r="AP90" s="832"/>
      <c r="AQ90" s="740"/>
      <c r="AR90" s="832"/>
      <c r="AS90" s="740"/>
    </row>
    <row r="91" spans="1:51" s="741" customFormat="1" ht="22.5" hidden="1" customHeight="1" thickBot="1">
      <c r="A91" s="495"/>
      <c r="B91" s="833"/>
      <c r="C91" s="834"/>
      <c r="D91" s="530" t="e">
        <f>#REF!*D90</f>
        <v>#REF!</v>
      </c>
      <c r="E91" s="530" t="e">
        <f>#REF!*E90</f>
        <v>#REF!</v>
      </c>
      <c r="F91" s="530" t="e">
        <f>#REF!*F90</f>
        <v>#REF!</v>
      </c>
      <c r="G91" s="530" t="e">
        <f>#REF!*G90</f>
        <v>#REF!</v>
      </c>
      <c r="H91" s="530" t="e">
        <f>#REF!*H90</f>
        <v>#REF!</v>
      </c>
      <c r="I91" s="530" t="e">
        <f>#REF!*I90</f>
        <v>#REF!</v>
      </c>
      <c r="J91" s="530" t="e">
        <f>#REF!*J90</f>
        <v>#REF!</v>
      </c>
      <c r="K91" s="530" t="e">
        <f>#REF!*K90</f>
        <v>#REF!</v>
      </c>
      <c r="L91" s="530" t="e">
        <f>#REF!*L90</f>
        <v>#REF!</v>
      </c>
      <c r="M91" s="530" t="e">
        <f>#REF!*M90</f>
        <v>#REF!</v>
      </c>
      <c r="N91" s="530" t="e">
        <f>#REF!*N90</f>
        <v>#REF!</v>
      </c>
      <c r="O91" s="530" t="e">
        <f>#REF!*O90</f>
        <v>#REF!</v>
      </c>
      <c r="P91" s="839"/>
      <c r="Q91" s="531"/>
      <c r="R91" s="557"/>
      <c r="S91" s="840" t="s">
        <v>2529</v>
      </c>
      <c r="T91" s="526" t="s">
        <v>798</v>
      </c>
      <c r="U91" s="527">
        <f t="shared" si="113"/>
        <v>0</v>
      </c>
      <c r="V91" s="528" t="s">
        <v>799</v>
      </c>
      <c r="W91" s="529">
        <f t="shared" ref="W91" si="115">BM90/1000000</f>
        <v>0</v>
      </c>
      <c r="X91" s="548" t="e">
        <f>(C90-B90)*#REF!</f>
        <v>#REF!</v>
      </c>
      <c r="Y91" s="743" t="e">
        <f>(1-C90)*#REF!</f>
        <v>#REF!</v>
      </c>
      <c r="Z91" s="837"/>
      <c r="AA91" s="837"/>
      <c r="AB91" s="735" t="s">
        <v>798</v>
      </c>
      <c r="AC91" s="794">
        <v>391600000</v>
      </c>
      <c r="AD91" s="749" t="s">
        <v>801</v>
      </c>
      <c r="AE91" s="738">
        <f>SUM(AF91:AS91)</f>
        <v>0</v>
      </c>
      <c r="AF91" s="830" t="s">
        <v>815</v>
      </c>
      <c r="AG91" s="740"/>
      <c r="AH91" s="832" t="s">
        <v>890</v>
      </c>
      <c r="AI91" s="740"/>
      <c r="AJ91" s="832" t="s">
        <v>1089</v>
      </c>
      <c r="AK91" s="740"/>
      <c r="AL91" s="832" t="s">
        <v>1090</v>
      </c>
      <c r="AM91" s="740"/>
      <c r="AN91" s="832" t="s">
        <v>1080</v>
      </c>
      <c r="AO91" s="740"/>
      <c r="AP91" s="832"/>
      <c r="AQ91" s="740"/>
      <c r="AR91" s="832"/>
      <c r="AS91" s="740"/>
      <c r="AT91" s="745"/>
      <c r="AU91" s="745"/>
      <c r="AV91" s="745"/>
      <c r="AW91" s="745"/>
      <c r="AX91" s="745"/>
      <c r="AY91" s="745"/>
    </row>
    <row r="92" spans="1:51" s="741" customFormat="1" ht="22.5" hidden="1" customHeight="1">
      <c r="A92" s="495"/>
      <c r="B92" s="833"/>
      <c r="C92" s="834"/>
      <c r="D92" s="560"/>
      <c r="E92" s="560"/>
      <c r="F92" s="560"/>
      <c r="G92" s="560"/>
      <c r="H92" s="560"/>
      <c r="I92" s="560"/>
      <c r="J92" s="560"/>
      <c r="K92" s="560"/>
      <c r="L92" s="560"/>
      <c r="M92" s="560"/>
      <c r="N92" s="560"/>
      <c r="O92" s="560"/>
      <c r="P92" s="842"/>
      <c r="Q92" s="531"/>
      <c r="R92" s="557"/>
      <c r="S92" s="843" t="s">
        <v>816</v>
      </c>
      <c r="T92" s="526" t="s">
        <v>817</v>
      </c>
      <c r="U92" s="527">
        <f t="shared" ref="U92" si="116">U90-U91</f>
        <v>0</v>
      </c>
      <c r="V92" s="532" t="s">
        <v>818</v>
      </c>
      <c r="W92" s="529">
        <f t="shared" ref="W92" si="117">(BM91+BM92)/1100000</f>
        <v>0</v>
      </c>
      <c r="X92" s="89"/>
      <c r="Y92" s="73"/>
      <c r="Z92" s="837"/>
      <c r="AA92" s="837"/>
      <c r="AB92" s="735" t="s">
        <v>817</v>
      </c>
      <c r="AC92" s="744">
        <f>AC90-AC91</f>
        <v>0</v>
      </c>
      <c r="AD92" s="749" t="s">
        <v>824</v>
      </c>
      <c r="AE92" s="738"/>
      <c r="AF92" s="763"/>
      <c r="AG92" s="747"/>
      <c r="AH92" s="763"/>
      <c r="AI92" s="747"/>
      <c r="AJ92" s="763"/>
      <c r="AK92" s="747"/>
      <c r="AL92" s="763"/>
      <c r="AM92" s="747"/>
      <c r="AN92" s="763"/>
      <c r="AO92" s="747"/>
      <c r="AP92" s="763"/>
      <c r="AQ92" s="747"/>
      <c r="AR92" s="763"/>
      <c r="AS92" s="747"/>
      <c r="AT92" s="745"/>
      <c r="AU92" s="745"/>
      <c r="AV92" s="745"/>
      <c r="AW92" s="745"/>
      <c r="AX92" s="745"/>
      <c r="AY92" s="745"/>
    </row>
    <row r="93" spans="1:51" s="741" customFormat="1" ht="22.5" hidden="1" customHeight="1" thickBot="1">
      <c r="A93" s="502"/>
      <c r="B93" s="844"/>
      <c r="C93" s="845"/>
      <c r="D93" s="562"/>
      <c r="E93" s="562"/>
      <c r="F93" s="562"/>
      <c r="G93" s="562"/>
      <c r="H93" s="562"/>
      <c r="I93" s="562"/>
      <c r="J93" s="562"/>
      <c r="K93" s="562"/>
      <c r="L93" s="562"/>
      <c r="M93" s="562"/>
      <c r="N93" s="562"/>
      <c r="O93" s="562"/>
      <c r="P93" s="592" t="e">
        <f>(C90-#REF!)*#REF!</f>
        <v>#REF!</v>
      </c>
      <c r="Q93" s="534"/>
      <c r="R93" s="546" t="s">
        <v>2736</v>
      </c>
      <c r="S93" s="847" t="s">
        <v>2531</v>
      </c>
      <c r="T93" s="535" t="s">
        <v>826</v>
      </c>
      <c r="U93" s="536" t="e">
        <f t="shared" ref="U93" si="118">ROUNDDOWN((U91/U90),3)</f>
        <v>#DIV/0!</v>
      </c>
      <c r="V93" s="535" t="s">
        <v>827</v>
      </c>
      <c r="W93" s="536" t="e">
        <f t="shared" ref="W93" si="119">(U90-(W91+W92)/0.7)/U90</f>
        <v>#DIV/0!</v>
      </c>
      <c r="X93" s="549"/>
      <c r="Y93" s="550"/>
      <c r="Z93" s="848"/>
      <c r="AA93" s="848"/>
      <c r="AB93" s="735"/>
      <c r="AC93" s="748">
        <f>AC91/AC90</f>
        <v>1</v>
      </c>
      <c r="AD93" s="764" t="s">
        <v>828</v>
      </c>
      <c r="AE93" s="750">
        <f>SUM(AE90:AE92)</f>
        <v>0</v>
      </c>
      <c r="AF93" s="763"/>
      <c r="AG93" s="747"/>
      <c r="AH93" s="763"/>
      <c r="AI93" s="747"/>
      <c r="AJ93" s="763"/>
      <c r="AK93" s="747"/>
      <c r="AL93" s="763"/>
      <c r="AM93" s="747"/>
      <c r="AN93" s="763"/>
      <c r="AO93" s="747"/>
      <c r="AP93" s="763"/>
      <c r="AQ93" s="747"/>
      <c r="AR93" s="763"/>
      <c r="AS93" s="747"/>
    </row>
    <row r="94" spans="1:51" s="897" customFormat="1" ht="22.5" customHeight="1" thickBot="1">
      <c r="A94" s="877" t="s">
        <v>2737</v>
      </c>
      <c r="B94" s="878">
        <v>5.0999999999999997E-2</v>
      </c>
      <c r="C94" s="879">
        <f>B94+D94+E94+F94+G94+H94+I94+J94+K94+L94+M94+N94+O94</f>
        <v>5.0999999999999997E-2</v>
      </c>
      <c r="D94" s="880"/>
      <c r="E94" s="880"/>
      <c r="F94" s="880"/>
      <c r="G94" s="880"/>
      <c r="H94" s="880"/>
      <c r="I94" s="880"/>
      <c r="J94" s="880"/>
      <c r="K94" s="880"/>
      <c r="L94" s="880"/>
      <c r="M94" s="880"/>
      <c r="N94" s="880"/>
      <c r="O94" s="880"/>
      <c r="P94" s="914" t="s">
        <v>2738</v>
      </c>
      <c r="Q94" s="882" t="s">
        <v>2739</v>
      </c>
      <c r="R94" s="883" t="s">
        <v>2740</v>
      </c>
      <c r="S94" s="884" t="s">
        <v>2741</v>
      </c>
      <c r="T94" s="885" t="s">
        <v>814</v>
      </c>
      <c r="U94" s="886">
        <f>BK94/1100000</f>
        <v>0</v>
      </c>
      <c r="V94" s="887" t="s">
        <v>832</v>
      </c>
      <c r="W94" s="888" t="e">
        <f>U94*0.8-(#REF!+W95)</f>
        <v>#REF!</v>
      </c>
      <c r="X94" s="889" t="s">
        <v>812</v>
      </c>
      <c r="Y94" s="890" t="s">
        <v>813</v>
      </c>
      <c r="Z94" s="920" t="s">
        <v>1848</v>
      </c>
      <c r="AA94" s="920"/>
      <c r="AB94" s="892" t="s">
        <v>814</v>
      </c>
      <c r="AC94" s="893">
        <v>2480000000</v>
      </c>
      <c r="AD94" s="894" t="s">
        <v>35</v>
      </c>
      <c r="AE94" s="895">
        <f>SUM(AF94:AS94)</f>
        <v>0</v>
      </c>
      <c r="AF94" s="896" t="s">
        <v>1078</v>
      </c>
      <c r="AG94" s="895"/>
      <c r="AH94" s="894" t="s">
        <v>1079</v>
      </c>
      <c r="AI94" s="895">
        <f>AG94</f>
        <v>0</v>
      </c>
      <c r="AJ94" s="894" t="s">
        <v>2512</v>
      </c>
      <c r="AK94" s="895">
        <f>AG94</f>
        <v>0</v>
      </c>
      <c r="AL94" s="894" t="s">
        <v>2742</v>
      </c>
      <c r="AM94" s="895"/>
      <c r="AN94" s="894" t="s">
        <v>2743</v>
      </c>
      <c r="AO94" s="895"/>
      <c r="AP94" s="894"/>
      <c r="AQ94" s="895"/>
      <c r="AR94" s="894"/>
      <c r="AS94" s="895"/>
    </row>
    <row r="95" spans="1:51" s="897" customFormat="1" ht="22.5" customHeight="1" thickBot="1">
      <c r="A95" s="898"/>
      <c r="B95" s="899"/>
      <c r="C95" s="900"/>
      <c r="D95" s="901"/>
      <c r="E95" s="901"/>
      <c r="F95" s="901"/>
      <c r="G95" s="901"/>
      <c r="H95" s="901"/>
      <c r="I95" s="901"/>
      <c r="J95" s="901"/>
      <c r="K95" s="901"/>
      <c r="L95" s="901"/>
      <c r="M95" s="901"/>
      <c r="N95" s="901"/>
      <c r="O95" s="901"/>
      <c r="P95" s="921"/>
      <c r="Q95" s="903"/>
      <c r="R95" s="904"/>
      <c r="S95" s="836" t="s">
        <v>2744</v>
      </c>
      <c r="T95" s="906" t="s">
        <v>1668</v>
      </c>
      <c r="U95" s="907" t="e">
        <f>U94-#REF!</f>
        <v>#REF!</v>
      </c>
      <c r="V95" s="908" t="s">
        <v>2745</v>
      </c>
      <c r="W95" s="909" t="e">
        <f>(#REF!+BM95)/1100000</f>
        <v>#REF!</v>
      </c>
      <c r="X95" s="889"/>
      <c r="Y95" s="890"/>
      <c r="Z95" s="922"/>
      <c r="AA95" s="922"/>
      <c r="AB95" s="892" t="s">
        <v>1668</v>
      </c>
      <c r="AC95" s="911" t="e">
        <f>AC94-#REF!</f>
        <v>#REF!</v>
      </c>
      <c r="AD95" s="894" t="s">
        <v>2746</v>
      </c>
      <c r="AE95" s="895"/>
      <c r="AF95" s="912"/>
      <c r="AG95" s="913"/>
      <c r="AH95" s="912"/>
      <c r="AI95" s="913"/>
      <c r="AJ95" s="912"/>
      <c r="AK95" s="913"/>
      <c r="AL95" s="912"/>
      <c r="AM95" s="913"/>
      <c r="AN95" s="912"/>
      <c r="AO95" s="913"/>
      <c r="AP95" s="912"/>
      <c r="AQ95" s="913"/>
      <c r="AR95" s="912"/>
      <c r="AS95" s="913"/>
    </row>
    <row r="96" spans="1:51" s="741" customFormat="1" ht="22.5" customHeight="1" thickBot="1">
      <c r="A96" s="490" t="s">
        <v>2747</v>
      </c>
      <c r="B96" s="871">
        <v>0.159</v>
      </c>
      <c r="C96" s="825">
        <f>B96+D96+E96+F96+G96+H96+I96+J96+K96+L96+M96+N96+O96</f>
        <v>0.29100000000000009</v>
      </c>
      <c r="D96" s="826">
        <v>1.2E-2</v>
      </c>
      <c r="E96" s="826">
        <v>1.2E-2</v>
      </c>
      <c r="F96" s="826">
        <v>1.2E-2</v>
      </c>
      <c r="G96" s="826">
        <v>1.2E-2</v>
      </c>
      <c r="H96" s="826">
        <v>1.2E-2</v>
      </c>
      <c r="I96" s="826">
        <v>1.2E-2</v>
      </c>
      <c r="J96" s="826">
        <v>1.2E-2</v>
      </c>
      <c r="K96" s="826">
        <v>1.2E-2</v>
      </c>
      <c r="L96" s="826">
        <v>1.2E-2</v>
      </c>
      <c r="M96" s="826">
        <v>1.2E-2</v>
      </c>
      <c r="N96" s="826">
        <v>1.2E-2</v>
      </c>
      <c r="O96" s="826"/>
      <c r="P96" s="520" t="s">
        <v>2748</v>
      </c>
      <c r="Q96" s="537" t="s">
        <v>2749</v>
      </c>
      <c r="R96" s="254" t="s">
        <v>2750</v>
      </c>
      <c r="S96" s="828" t="s">
        <v>2751</v>
      </c>
      <c r="T96" s="521" t="s">
        <v>2752</v>
      </c>
      <c r="U96" s="522">
        <f>BK96/1100000</f>
        <v>0</v>
      </c>
      <c r="V96" s="523" t="s">
        <v>2753</v>
      </c>
      <c r="W96" s="524" t="e">
        <f>U96*0.8-(#REF!+W97)</f>
        <v>#REF!</v>
      </c>
      <c r="X96" s="299" t="s">
        <v>2510</v>
      </c>
      <c r="Y96" s="547" t="s">
        <v>2754</v>
      </c>
      <c r="Z96" s="829" t="s">
        <v>2755</v>
      </c>
      <c r="AA96" s="829"/>
      <c r="AB96" s="735" t="s">
        <v>2752</v>
      </c>
      <c r="AC96" s="794">
        <v>1053683400</v>
      </c>
      <c r="AD96" s="749" t="s">
        <v>2756</v>
      </c>
      <c r="AE96" s="738">
        <f>SUM(AF96:AS96)</f>
        <v>28542830</v>
      </c>
      <c r="AF96" s="830" t="s">
        <v>2757</v>
      </c>
      <c r="AG96" s="740">
        <v>14271415</v>
      </c>
      <c r="AH96" s="832" t="s">
        <v>2758</v>
      </c>
      <c r="AI96" s="740"/>
      <c r="AJ96" s="832" t="s">
        <v>2759</v>
      </c>
      <c r="AK96" s="740">
        <f>AG96</f>
        <v>14271415</v>
      </c>
      <c r="AL96" s="832" t="s">
        <v>2742</v>
      </c>
      <c r="AM96" s="740"/>
      <c r="AN96" s="832" t="s">
        <v>2743</v>
      </c>
      <c r="AO96" s="740"/>
      <c r="AP96" s="832"/>
      <c r="AQ96" s="740"/>
      <c r="AR96" s="832"/>
      <c r="AS96" s="740"/>
    </row>
    <row r="97" spans="1:51" s="741" customFormat="1" ht="22.5" customHeight="1" thickBot="1">
      <c r="A97" s="495"/>
      <c r="B97" s="872"/>
      <c r="C97" s="834"/>
      <c r="D97" s="560" t="s">
        <v>2760</v>
      </c>
      <c r="E97" s="560" t="s">
        <v>2760</v>
      </c>
      <c r="F97" s="560" t="s">
        <v>2761</v>
      </c>
      <c r="G97" s="560" t="s">
        <v>2762</v>
      </c>
      <c r="H97" s="560" t="s">
        <v>2763</v>
      </c>
      <c r="I97" s="560" t="s">
        <v>2764</v>
      </c>
      <c r="J97" s="560" t="s">
        <v>2765</v>
      </c>
      <c r="K97" s="560" t="s">
        <v>2766</v>
      </c>
      <c r="L97" s="560" t="s">
        <v>2767</v>
      </c>
      <c r="M97" s="560" t="s">
        <v>2768</v>
      </c>
      <c r="N97" s="560" t="s">
        <v>2769</v>
      </c>
      <c r="O97" s="560"/>
      <c r="P97" s="870"/>
      <c r="Q97" s="531"/>
      <c r="R97" s="255"/>
      <c r="S97" s="843" t="s">
        <v>2770</v>
      </c>
      <c r="T97" s="526" t="s">
        <v>1668</v>
      </c>
      <c r="U97" s="527" t="e">
        <f>U96-#REF!</f>
        <v>#REF!</v>
      </c>
      <c r="V97" s="532" t="s">
        <v>2745</v>
      </c>
      <c r="W97" s="529" t="e">
        <f>(#REF!+BM97)/1100000</f>
        <v>#REF!</v>
      </c>
      <c r="X97" s="89"/>
      <c r="Y97" s="73"/>
      <c r="Z97" s="837"/>
      <c r="AA97" s="837"/>
      <c r="AB97" s="735" t="s">
        <v>1668</v>
      </c>
      <c r="AC97" s="744" t="e">
        <f>AC96-#REF!</f>
        <v>#REF!</v>
      </c>
      <c r="AD97" s="749" t="s">
        <v>2746</v>
      </c>
      <c r="AE97" s="738"/>
      <c r="AF97" s="763"/>
      <c r="AG97" s="747"/>
      <c r="AH97" s="763"/>
      <c r="AI97" s="747"/>
      <c r="AJ97" s="763"/>
      <c r="AK97" s="747"/>
      <c r="AL97" s="763"/>
      <c r="AM97" s="747"/>
      <c r="AN97" s="763"/>
      <c r="AO97" s="747"/>
      <c r="AP97" s="763"/>
      <c r="AQ97" s="747"/>
      <c r="AR97" s="763"/>
      <c r="AS97" s="747"/>
      <c r="AT97" s="745"/>
      <c r="AU97" s="745"/>
      <c r="AV97" s="745"/>
      <c r="AW97" s="745"/>
      <c r="AX97" s="745"/>
      <c r="AY97" s="745"/>
    </row>
    <row r="98" spans="1:51" s="741" customFormat="1" ht="22.5" customHeight="1" thickBot="1">
      <c r="A98" s="490" t="s">
        <v>2771</v>
      </c>
      <c r="B98" s="824">
        <v>0.33200000000000002</v>
      </c>
      <c r="C98" s="825">
        <f>B98+D98+E98+F98+G98+H98+I98+J98+K98+L98+M98+N98+O98</f>
        <v>0.51900000000000013</v>
      </c>
      <c r="D98" s="826">
        <v>1.7000000000000001E-2</v>
      </c>
      <c r="E98" s="826">
        <v>1.7000000000000001E-2</v>
      </c>
      <c r="F98" s="826">
        <v>1.7000000000000001E-2</v>
      </c>
      <c r="G98" s="826">
        <v>1.7000000000000001E-2</v>
      </c>
      <c r="H98" s="826">
        <v>1.7000000000000001E-2</v>
      </c>
      <c r="I98" s="826">
        <v>1.7000000000000001E-2</v>
      </c>
      <c r="J98" s="826">
        <v>1.7000000000000001E-2</v>
      </c>
      <c r="K98" s="826">
        <v>1.7000000000000001E-2</v>
      </c>
      <c r="L98" s="826">
        <v>1.7000000000000001E-2</v>
      </c>
      <c r="M98" s="826">
        <v>1.7000000000000001E-2</v>
      </c>
      <c r="N98" s="826">
        <v>1.7000000000000001E-2</v>
      </c>
      <c r="O98" s="826"/>
      <c r="P98" s="520" t="s">
        <v>2772</v>
      </c>
      <c r="Q98" s="537" t="s">
        <v>2773</v>
      </c>
      <c r="R98" s="553" t="s">
        <v>2774</v>
      </c>
      <c r="S98" s="828" t="s">
        <v>2775</v>
      </c>
      <c r="T98" s="521" t="s">
        <v>2752</v>
      </c>
      <c r="U98" s="522">
        <f>BK98/1100000</f>
        <v>0</v>
      </c>
      <c r="V98" s="523" t="s">
        <v>2753</v>
      </c>
      <c r="W98" s="524" t="e">
        <f>U98*0.8-(#REF!+W99)</f>
        <v>#REF!</v>
      </c>
      <c r="X98" s="299" t="s">
        <v>2510</v>
      </c>
      <c r="Y98" s="547" t="s">
        <v>2754</v>
      </c>
      <c r="Z98" s="829" t="s">
        <v>2776</v>
      </c>
      <c r="AA98" s="829"/>
      <c r="AB98" s="735" t="s">
        <v>2752</v>
      </c>
      <c r="AC98" s="794">
        <v>666720000</v>
      </c>
      <c r="AD98" s="749" t="s">
        <v>2756</v>
      </c>
      <c r="AE98" s="738">
        <f>SUM(AF98:AS98)</f>
        <v>29279418</v>
      </c>
      <c r="AF98" s="830" t="s">
        <v>2757</v>
      </c>
      <c r="AG98" s="740">
        <v>14639709</v>
      </c>
      <c r="AH98" s="832" t="s">
        <v>2758</v>
      </c>
      <c r="AI98" s="740"/>
      <c r="AJ98" s="832" t="s">
        <v>2759</v>
      </c>
      <c r="AK98" s="740">
        <f>AG98</f>
        <v>14639709</v>
      </c>
      <c r="AL98" s="832" t="s">
        <v>2777</v>
      </c>
      <c r="AM98" s="740"/>
      <c r="AN98" s="832" t="s">
        <v>2778</v>
      </c>
      <c r="AO98" s="740"/>
      <c r="AP98" s="832"/>
      <c r="AQ98" s="740"/>
      <c r="AR98" s="832"/>
      <c r="AS98" s="740"/>
    </row>
    <row r="99" spans="1:51" s="741" customFormat="1" ht="22.5" customHeight="1" thickBot="1">
      <c r="A99" s="495"/>
      <c r="B99" s="833"/>
      <c r="C99" s="834"/>
      <c r="D99" s="560" t="s">
        <v>2779</v>
      </c>
      <c r="E99" s="560" t="s">
        <v>2780</v>
      </c>
      <c r="F99" s="560" t="s">
        <v>2781</v>
      </c>
      <c r="G99" s="560" t="s">
        <v>2782</v>
      </c>
      <c r="H99" s="560" t="s">
        <v>2783</v>
      </c>
      <c r="I99" s="560" t="s">
        <v>2784</v>
      </c>
      <c r="J99" s="560" t="s">
        <v>2785</v>
      </c>
      <c r="K99" s="841" t="s">
        <v>2786</v>
      </c>
      <c r="L99" s="560" t="s">
        <v>2787</v>
      </c>
      <c r="M99" s="560" t="s">
        <v>2788</v>
      </c>
      <c r="N99" s="560" t="s">
        <v>2789</v>
      </c>
      <c r="O99" s="560"/>
      <c r="P99" s="870"/>
      <c r="Q99" s="531"/>
      <c r="R99" s="557"/>
      <c r="S99" s="843" t="s">
        <v>1667</v>
      </c>
      <c r="T99" s="526" t="s">
        <v>1168</v>
      </c>
      <c r="U99" s="527" t="e">
        <f>U98-#REF!</f>
        <v>#REF!</v>
      </c>
      <c r="V99" s="532" t="s">
        <v>1177</v>
      </c>
      <c r="W99" s="529" t="e">
        <f>(#REF!+BM99)/1100000</f>
        <v>#REF!</v>
      </c>
      <c r="X99" s="89"/>
      <c r="Y99" s="73"/>
      <c r="Z99" s="837"/>
      <c r="AA99" s="837"/>
      <c r="AB99" s="735" t="s">
        <v>1168</v>
      </c>
      <c r="AC99" s="744" t="e">
        <f>AC98-#REF!</f>
        <v>#REF!</v>
      </c>
      <c r="AD99" s="749" t="s">
        <v>1169</v>
      </c>
      <c r="AE99" s="738"/>
      <c r="AF99" s="763"/>
      <c r="AG99" s="747"/>
      <c r="AH99" s="763"/>
      <c r="AI99" s="747"/>
      <c r="AJ99" s="763"/>
      <c r="AK99" s="747"/>
      <c r="AL99" s="763"/>
      <c r="AM99" s="747"/>
      <c r="AN99" s="763"/>
      <c r="AO99" s="747"/>
      <c r="AP99" s="763"/>
      <c r="AQ99" s="747"/>
      <c r="AR99" s="763"/>
      <c r="AS99" s="747"/>
      <c r="AT99" s="745"/>
      <c r="AU99" s="745"/>
      <c r="AV99" s="745"/>
      <c r="AW99" s="745"/>
      <c r="AX99" s="745"/>
      <c r="AY99" s="745"/>
    </row>
    <row r="100" spans="1:51" s="741" customFormat="1" ht="22.5" customHeight="1" thickBot="1">
      <c r="A100" s="490" t="s">
        <v>2790</v>
      </c>
      <c r="B100" s="858">
        <v>0.34810000000000002</v>
      </c>
      <c r="C100" s="825">
        <f>B100+D100+E100+F100+G100+H100+I100+J100+K100+L100+M100+N100+O100</f>
        <v>0.69010000000000027</v>
      </c>
      <c r="D100" s="826">
        <v>3.4000000000000002E-2</v>
      </c>
      <c r="E100" s="826">
        <v>3.4000000000000002E-2</v>
      </c>
      <c r="F100" s="826">
        <v>3.4000000000000002E-2</v>
      </c>
      <c r="G100" s="826">
        <v>3.4000000000000002E-2</v>
      </c>
      <c r="H100" s="826">
        <v>3.4000000000000002E-2</v>
      </c>
      <c r="I100" s="826">
        <v>3.5999999999999997E-2</v>
      </c>
      <c r="J100" s="826">
        <v>3.5999999999999997E-2</v>
      </c>
      <c r="K100" s="826">
        <v>2.5000000000000001E-2</v>
      </c>
      <c r="L100" s="826">
        <v>2.5000000000000001E-2</v>
      </c>
      <c r="M100" s="826">
        <v>2.5000000000000001E-2</v>
      </c>
      <c r="N100" s="826">
        <v>2.5000000000000001E-2</v>
      </c>
      <c r="O100" s="826"/>
      <c r="P100" s="838" t="s">
        <v>2791</v>
      </c>
      <c r="Q100" s="537" t="s">
        <v>2792</v>
      </c>
      <c r="R100" s="553" t="s">
        <v>2793</v>
      </c>
      <c r="S100" s="828" t="s">
        <v>2794</v>
      </c>
      <c r="T100" s="521" t="s">
        <v>1173</v>
      </c>
      <c r="U100" s="522">
        <f>BK100/1100000</f>
        <v>0</v>
      </c>
      <c r="V100" s="523" t="s">
        <v>1174</v>
      </c>
      <c r="W100" s="524" t="e">
        <f>U100*0.8-(#REF!+W101)</f>
        <v>#REF!</v>
      </c>
      <c r="X100" s="299" t="s">
        <v>2795</v>
      </c>
      <c r="Y100" s="547" t="s">
        <v>2796</v>
      </c>
      <c r="Z100" s="829" t="s">
        <v>2797</v>
      </c>
      <c r="AA100" s="829"/>
      <c r="AB100" s="735" t="s">
        <v>1173</v>
      </c>
      <c r="AC100" s="794">
        <v>754182000</v>
      </c>
      <c r="AD100" s="749" t="s">
        <v>2798</v>
      </c>
      <c r="AE100" s="738">
        <f>SUM(AF100:AS100)</f>
        <v>0</v>
      </c>
      <c r="AF100" s="830" t="s">
        <v>2799</v>
      </c>
      <c r="AG100" s="740"/>
      <c r="AH100" s="832" t="s">
        <v>2800</v>
      </c>
      <c r="AI100" s="740">
        <f>AG100</f>
        <v>0</v>
      </c>
      <c r="AJ100" s="832" t="s">
        <v>2801</v>
      </c>
      <c r="AK100" s="740">
        <f>AG100</f>
        <v>0</v>
      </c>
      <c r="AL100" s="832" t="s">
        <v>796</v>
      </c>
      <c r="AM100" s="740"/>
      <c r="AN100" s="832" t="s">
        <v>1081</v>
      </c>
      <c r="AO100" s="740"/>
      <c r="AP100" s="832"/>
      <c r="AQ100" s="740"/>
      <c r="AR100" s="832"/>
      <c r="AS100" s="740"/>
    </row>
    <row r="101" spans="1:51" s="741" customFormat="1" ht="22.5" customHeight="1" thickBot="1">
      <c r="A101" s="495"/>
      <c r="B101" s="861"/>
      <c r="C101" s="834"/>
      <c r="D101" s="560" t="s">
        <v>2802</v>
      </c>
      <c r="E101" s="560" t="s">
        <v>2803</v>
      </c>
      <c r="F101" s="560" t="s">
        <v>2804</v>
      </c>
      <c r="G101" s="560" t="s">
        <v>2805</v>
      </c>
      <c r="H101" s="560" t="s">
        <v>2806</v>
      </c>
      <c r="I101" s="560" t="s">
        <v>2807</v>
      </c>
      <c r="J101" s="560" t="s">
        <v>2808</v>
      </c>
      <c r="K101" s="560" t="s">
        <v>2808</v>
      </c>
      <c r="L101" s="560" t="s">
        <v>2809</v>
      </c>
      <c r="M101" s="560" t="s">
        <v>2810</v>
      </c>
      <c r="N101" s="560" t="s">
        <v>2810</v>
      </c>
      <c r="O101" s="560"/>
      <c r="P101" s="870"/>
      <c r="Q101" s="531"/>
      <c r="R101" s="557"/>
      <c r="S101" s="843" t="s">
        <v>816</v>
      </c>
      <c r="T101" s="526" t="s">
        <v>817</v>
      </c>
      <c r="U101" s="527" t="e">
        <f>U100-#REF!</f>
        <v>#REF!</v>
      </c>
      <c r="V101" s="532" t="s">
        <v>818</v>
      </c>
      <c r="W101" s="529" t="e">
        <f>(#REF!+BM101)/1100000</f>
        <v>#REF!</v>
      </c>
      <c r="X101" s="89"/>
      <c r="Y101" s="73"/>
      <c r="Z101" s="837"/>
      <c r="AA101" s="837"/>
      <c r="AB101" s="735" t="s">
        <v>817</v>
      </c>
      <c r="AC101" s="744" t="e">
        <f>AC100-#REF!</f>
        <v>#REF!</v>
      </c>
      <c r="AD101" s="749" t="s">
        <v>824</v>
      </c>
      <c r="AE101" s="738"/>
      <c r="AF101" s="763"/>
      <c r="AG101" s="747"/>
      <c r="AH101" s="763"/>
      <c r="AI101" s="747"/>
      <c r="AJ101" s="763"/>
      <c r="AK101" s="747"/>
      <c r="AL101" s="763"/>
      <c r="AM101" s="747"/>
      <c r="AN101" s="763"/>
      <c r="AO101" s="747"/>
      <c r="AP101" s="763"/>
      <c r="AQ101" s="747"/>
      <c r="AR101" s="763"/>
      <c r="AS101" s="747"/>
      <c r="AT101" s="745"/>
      <c r="AU101" s="745"/>
      <c r="AV101" s="745"/>
      <c r="AW101" s="745"/>
      <c r="AX101" s="745"/>
      <c r="AY101" s="745"/>
    </row>
    <row r="102" spans="1:51" s="897" customFormat="1" ht="22.5" customHeight="1" thickBot="1">
      <c r="A102" s="877" t="s">
        <v>2811</v>
      </c>
      <c r="B102" s="878">
        <v>1</v>
      </c>
      <c r="C102" s="879">
        <f>B102+D102+E102+F102+G102+H102+I102+J102+K102+L102+M102+N102+O102</f>
        <v>1</v>
      </c>
      <c r="D102" s="880"/>
      <c r="E102" s="880"/>
      <c r="F102" s="880"/>
      <c r="G102" s="880"/>
      <c r="H102" s="880"/>
      <c r="I102" s="880"/>
      <c r="J102" s="880"/>
      <c r="K102" s="880"/>
      <c r="L102" s="880"/>
      <c r="M102" s="880"/>
      <c r="N102" s="880"/>
      <c r="O102" s="880"/>
      <c r="P102" s="923" t="s">
        <v>2812</v>
      </c>
      <c r="Q102" s="882"/>
      <c r="R102" s="883" t="s">
        <v>2813</v>
      </c>
      <c r="S102" s="884" t="s">
        <v>2814</v>
      </c>
      <c r="T102" s="885" t="s">
        <v>814</v>
      </c>
      <c r="U102" s="886">
        <f>BK102/1100000</f>
        <v>0</v>
      </c>
      <c r="V102" s="887" t="s">
        <v>832</v>
      </c>
      <c r="W102" s="888" t="e">
        <f>U102*0.8-(#REF!+W103)</f>
        <v>#REF!</v>
      </c>
      <c r="X102" s="889" t="s">
        <v>812</v>
      </c>
      <c r="Y102" s="890" t="s">
        <v>813</v>
      </c>
      <c r="Z102" s="891" t="s">
        <v>2815</v>
      </c>
      <c r="AA102" s="891"/>
      <c r="AB102" s="892" t="s">
        <v>814</v>
      </c>
      <c r="AC102" s="893">
        <v>459000</v>
      </c>
      <c r="AD102" s="894" t="s">
        <v>35</v>
      </c>
      <c r="AE102" s="895">
        <f>SUM(AF102:AS102)</f>
        <v>0</v>
      </c>
      <c r="AF102" s="896" t="s">
        <v>1078</v>
      </c>
      <c r="AG102" s="895"/>
      <c r="AH102" s="894" t="s">
        <v>1079</v>
      </c>
      <c r="AI102" s="895"/>
      <c r="AJ102" s="894" t="s">
        <v>2512</v>
      </c>
      <c r="AK102" s="895"/>
      <c r="AL102" s="894" t="s">
        <v>796</v>
      </c>
      <c r="AM102" s="895"/>
      <c r="AN102" s="894" t="s">
        <v>1081</v>
      </c>
      <c r="AO102" s="895"/>
      <c r="AP102" s="894"/>
      <c r="AQ102" s="895"/>
      <c r="AR102" s="894"/>
      <c r="AS102" s="895"/>
    </row>
    <row r="103" spans="1:51" s="897" customFormat="1" ht="22.5" customHeight="1" thickBot="1">
      <c r="A103" s="898"/>
      <c r="B103" s="899"/>
      <c r="C103" s="900"/>
      <c r="D103" s="901"/>
      <c r="E103" s="901"/>
      <c r="F103" s="901"/>
      <c r="G103" s="901"/>
      <c r="H103" s="901"/>
      <c r="I103" s="901"/>
      <c r="J103" s="924"/>
      <c r="K103" s="924"/>
      <c r="L103" s="901"/>
      <c r="M103" s="901"/>
      <c r="N103" s="901"/>
      <c r="O103" s="901"/>
      <c r="P103" s="902"/>
      <c r="Q103" s="903"/>
      <c r="R103" s="904"/>
      <c r="S103" s="905" t="s">
        <v>816</v>
      </c>
      <c r="T103" s="906" t="s">
        <v>817</v>
      </c>
      <c r="U103" s="907" t="e">
        <f>U102-#REF!</f>
        <v>#REF!</v>
      </c>
      <c r="V103" s="908" t="s">
        <v>818</v>
      </c>
      <c r="W103" s="909" t="e">
        <f>(#REF!+BM103)/1100000</f>
        <v>#REF!</v>
      </c>
      <c r="X103" s="889"/>
      <c r="Y103" s="890"/>
      <c r="Z103" s="910"/>
      <c r="AA103" s="910"/>
      <c r="AB103" s="892" t="s">
        <v>817</v>
      </c>
      <c r="AC103" s="911" t="e">
        <f>AC102-#REF!</f>
        <v>#REF!</v>
      </c>
      <c r="AD103" s="894" t="s">
        <v>824</v>
      </c>
      <c r="AE103" s="895"/>
      <c r="AF103" s="912"/>
      <c r="AG103" s="913"/>
      <c r="AH103" s="912"/>
      <c r="AI103" s="913"/>
      <c r="AJ103" s="912"/>
      <c r="AK103" s="913"/>
      <c r="AL103" s="912"/>
      <c r="AM103" s="913"/>
      <c r="AN103" s="912"/>
      <c r="AO103" s="913"/>
      <c r="AP103" s="912"/>
      <c r="AQ103" s="913"/>
      <c r="AR103" s="912"/>
      <c r="AS103" s="913"/>
    </row>
    <row r="104" spans="1:51" s="897" customFormat="1" ht="22.5" customHeight="1" thickBot="1">
      <c r="A104" s="877" t="s">
        <v>2816</v>
      </c>
      <c r="B104" s="878">
        <v>1</v>
      </c>
      <c r="C104" s="879">
        <f>B104+D104+E104+F104+G104+H104+I104+J104+K104+L104+M104+N104+O104</f>
        <v>1</v>
      </c>
      <c r="D104" s="880"/>
      <c r="E104" s="880"/>
      <c r="F104" s="880"/>
      <c r="G104" s="880"/>
      <c r="H104" s="880"/>
      <c r="I104" s="880"/>
      <c r="J104" s="880"/>
      <c r="K104" s="880"/>
      <c r="L104" s="880"/>
      <c r="M104" s="880"/>
      <c r="N104" s="880"/>
      <c r="O104" s="880"/>
      <c r="P104" s="923" t="s">
        <v>2818</v>
      </c>
      <c r="Q104" s="882"/>
      <c r="R104" s="883" t="s">
        <v>2819</v>
      </c>
      <c r="S104" s="884" t="s">
        <v>2814</v>
      </c>
      <c r="T104" s="885" t="s">
        <v>814</v>
      </c>
      <c r="U104" s="886">
        <f>BK104/1100000</f>
        <v>0</v>
      </c>
      <c r="V104" s="887" t="s">
        <v>832</v>
      </c>
      <c r="W104" s="888" t="e">
        <f>U104*0.8-(#REF!+W105)</f>
        <v>#REF!</v>
      </c>
      <c r="X104" s="889" t="s">
        <v>812</v>
      </c>
      <c r="Y104" s="890" t="s">
        <v>813</v>
      </c>
      <c r="Z104" s="891" t="s">
        <v>2820</v>
      </c>
      <c r="AA104" s="891"/>
      <c r="AB104" s="892" t="s">
        <v>814</v>
      </c>
      <c r="AC104" s="893">
        <v>3672000</v>
      </c>
      <c r="AD104" s="894" t="s">
        <v>35</v>
      </c>
      <c r="AE104" s="895">
        <f>SUM(AF104:AS104)</f>
        <v>0</v>
      </c>
      <c r="AF104" s="896" t="s">
        <v>1078</v>
      </c>
      <c r="AG104" s="895"/>
      <c r="AH104" s="894" t="s">
        <v>1079</v>
      </c>
      <c r="AI104" s="895"/>
      <c r="AJ104" s="894" t="s">
        <v>2512</v>
      </c>
      <c r="AK104" s="895"/>
      <c r="AL104" s="894" t="s">
        <v>796</v>
      </c>
      <c r="AM104" s="895"/>
      <c r="AN104" s="894" t="s">
        <v>1081</v>
      </c>
      <c r="AO104" s="895"/>
      <c r="AP104" s="894"/>
      <c r="AQ104" s="895"/>
      <c r="AR104" s="894"/>
      <c r="AS104" s="895"/>
    </row>
    <row r="105" spans="1:51" s="897" customFormat="1" ht="22.5" customHeight="1" thickBot="1">
      <c r="A105" s="898"/>
      <c r="B105" s="899"/>
      <c r="C105" s="900"/>
      <c r="D105" s="901"/>
      <c r="E105" s="901"/>
      <c r="F105" s="901"/>
      <c r="G105" s="901"/>
      <c r="H105" s="901"/>
      <c r="I105" s="901"/>
      <c r="J105" s="924"/>
      <c r="K105" s="924"/>
      <c r="L105" s="901"/>
      <c r="M105" s="901"/>
      <c r="N105" s="901"/>
      <c r="O105" s="901"/>
      <c r="P105" s="902"/>
      <c r="Q105" s="903"/>
      <c r="R105" s="904"/>
      <c r="S105" s="905" t="s">
        <v>816</v>
      </c>
      <c r="T105" s="906" t="s">
        <v>817</v>
      </c>
      <c r="U105" s="907" t="e">
        <f>U104-#REF!</f>
        <v>#REF!</v>
      </c>
      <c r="V105" s="908" t="s">
        <v>818</v>
      </c>
      <c r="W105" s="909" t="e">
        <f>(#REF!+BM105)/1100000</f>
        <v>#REF!</v>
      </c>
      <c r="X105" s="889"/>
      <c r="Y105" s="890"/>
      <c r="Z105" s="910"/>
      <c r="AA105" s="910"/>
      <c r="AB105" s="892" t="s">
        <v>817</v>
      </c>
      <c r="AC105" s="911" t="e">
        <f>AC104-#REF!</f>
        <v>#REF!</v>
      </c>
      <c r="AD105" s="894" t="s">
        <v>824</v>
      </c>
      <c r="AE105" s="895"/>
      <c r="AF105" s="912"/>
      <c r="AG105" s="913"/>
      <c r="AH105" s="912"/>
      <c r="AI105" s="913"/>
      <c r="AJ105" s="912"/>
      <c r="AK105" s="913"/>
      <c r="AL105" s="912"/>
      <c r="AM105" s="913"/>
      <c r="AN105" s="912"/>
      <c r="AO105" s="913"/>
      <c r="AP105" s="912"/>
      <c r="AQ105" s="913"/>
      <c r="AR105" s="912"/>
      <c r="AS105" s="913"/>
    </row>
    <row r="106" spans="1:51" s="741" customFormat="1" ht="22.5" hidden="1" customHeight="1">
      <c r="A106" s="490" t="e">
        <f>A104+1</f>
        <v>#VALUE!</v>
      </c>
      <c r="B106" s="824">
        <v>0</v>
      </c>
      <c r="C106" s="825">
        <f>B106+D106+E106+F106+G106+H106+I106+J106+K106+L106+M106+N106+O106</f>
        <v>0</v>
      </c>
      <c r="D106" s="826"/>
      <c r="E106" s="826"/>
      <c r="F106" s="826"/>
      <c r="G106" s="826"/>
      <c r="H106" s="826"/>
      <c r="I106" s="826"/>
      <c r="J106" s="826"/>
      <c r="K106" s="826"/>
      <c r="L106" s="826"/>
      <c r="M106" s="826"/>
      <c r="N106" s="826"/>
      <c r="O106" s="826"/>
      <c r="P106" s="838" t="s">
        <v>2641</v>
      </c>
      <c r="Q106" s="537" t="s">
        <v>2681</v>
      </c>
      <c r="R106" s="553" t="s">
        <v>2821</v>
      </c>
      <c r="S106" s="828" t="s">
        <v>2822</v>
      </c>
      <c r="T106" s="521" t="s">
        <v>814</v>
      </c>
      <c r="U106" s="522">
        <f t="shared" ref="U106:U107" si="120">BK106/1100000</f>
        <v>0</v>
      </c>
      <c r="V106" s="523" t="s">
        <v>832</v>
      </c>
      <c r="W106" s="524">
        <f t="shared" ref="W106" si="121">U106*0.8-(W107+W108)</f>
        <v>0</v>
      </c>
      <c r="X106" s="299" t="s">
        <v>812</v>
      </c>
      <c r="Y106" s="547" t="s">
        <v>813</v>
      </c>
      <c r="Z106" s="925" t="s">
        <v>2823</v>
      </c>
      <c r="AA106" s="925"/>
      <c r="AB106" s="735" t="s">
        <v>814</v>
      </c>
      <c r="AC106" s="794">
        <v>540000000</v>
      </c>
      <c r="AD106" s="749" t="s">
        <v>35</v>
      </c>
      <c r="AE106" s="738">
        <f>SUM(AF106:AS106)</f>
        <v>0</v>
      </c>
      <c r="AF106" s="830" t="s">
        <v>1078</v>
      </c>
      <c r="AG106" s="740"/>
      <c r="AH106" s="832" t="s">
        <v>1079</v>
      </c>
      <c r="AI106" s="740">
        <f>AG106</f>
        <v>0</v>
      </c>
      <c r="AJ106" s="832" t="s">
        <v>2512</v>
      </c>
      <c r="AK106" s="740">
        <f>AG106</f>
        <v>0</v>
      </c>
      <c r="AL106" s="832" t="s">
        <v>796</v>
      </c>
      <c r="AM106" s="740"/>
      <c r="AN106" s="832" t="s">
        <v>1081</v>
      </c>
      <c r="AO106" s="740"/>
      <c r="AP106" s="832"/>
      <c r="AQ106" s="740"/>
      <c r="AR106" s="832"/>
      <c r="AS106" s="740"/>
    </row>
    <row r="107" spans="1:51" s="741" customFormat="1" ht="22.5" hidden="1" customHeight="1" thickBot="1">
      <c r="A107" s="495"/>
      <c r="B107" s="833"/>
      <c r="C107" s="834"/>
      <c r="D107" s="530" t="e">
        <f>#REF!*D106</f>
        <v>#REF!</v>
      </c>
      <c r="E107" s="530" t="e">
        <f>#REF!*E106</f>
        <v>#REF!</v>
      </c>
      <c r="F107" s="530" t="e">
        <f>#REF!*F106</f>
        <v>#REF!</v>
      </c>
      <c r="G107" s="530" t="e">
        <f>#REF!*G106</f>
        <v>#REF!</v>
      </c>
      <c r="H107" s="530" t="e">
        <f>#REF!*H106</f>
        <v>#REF!</v>
      </c>
      <c r="I107" s="530"/>
      <c r="J107" s="530" t="e">
        <f>#REF!*J106</f>
        <v>#REF!</v>
      </c>
      <c r="K107" s="530" t="e">
        <f>#REF!*K106</f>
        <v>#REF!</v>
      </c>
      <c r="L107" s="530" t="e">
        <f>#REF!*L106</f>
        <v>#REF!</v>
      </c>
      <c r="M107" s="530" t="e">
        <f>#REF!*M106</f>
        <v>#REF!</v>
      </c>
      <c r="N107" s="530" t="e">
        <f>#REF!*N106</f>
        <v>#REF!</v>
      </c>
      <c r="O107" s="530" t="e">
        <f>#REF!*O106</f>
        <v>#REF!</v>
      </c>
      <c r="P107" s="917" t="s">
        <v>2824</v>
      </c>
      <c r="Q107" s="531"/>
      <c r="R107" s="557"/>
      <c r="S107" s="840" t="s">
        <v>2825</v>
      </c>
      <c r="T107" s="526" t="s">
        <v>798</v>
      </c>
      <c r="U107" s="527">
        <f t="shared" si="120"/>
        <v>0</v>
      </c>
      <c r="V107" s="528" t="s">
        <v>799</v>
      </c>
      <c r="W107" s="529">
        <f t="shared" ref="W107" si="122">BM106/1000000</f>
        <v>0</v>
      </c>
      <c r="X107" s="548" t="e">
        <f>(C106-B106)*#REF!</f>
        <v>#REF!</v>
      </c>
      <c r="Y107" s="743" t="e">
        <f>(1-C106)*#REF!</f>
        <v>#REF!</v>
      </c>
      <c r="Z107" s="837"/>
      <c r="AA107" s="837"/>
      <c r="AB107" s="735" t="s">
        <v>798</v>
      </c>
      <c r="AC107" s="794">
        <f>8940000*0</f>
        <v>0</v>
      </c>
      <c r="AD107" s="749" t="s">
        <v>801</v>
      </c>
      <c r="AE107" s="738">
        <f>SUM(AF107:AS107)</f>
        <v>0</v>
      </c>
      <c r="AF107" s="830" t="s">
        <v>815</v>
      </c>
      <c r="AG107" s="740"/>
      <c r="AH107" s="832" t="s">
        <v>890</v>
      </c>
      <c r="AI107" s="740"/>
      <c r="AJ107" s="832" t="s">
        <v>1089</v>
      </c>
      <c r="AK107" s="740"/>
      <c r="AL107" s="832" t="s">
        <v>1090</v>
      </c>
      <c r="AM107" s="740"/>
      <c r="AN107" s="832" t="s">
        <v>1080</v>
      </c>
      <c r="AO107" s="740"/>
      <c r="AP107" s="832"/>
      <c r="AQ107" s="740"/>
      <c r="AR107" s="832"/>
      <c r="AS107" s="740"/>
      <c r="AT107" s="745"/>
      <c r="AU107" s="745"/>
      <c r="AV107" s="745"/>
      <c r="AW107" s="745"/>
      <c r="AX107" s="745"/>
      <c r="AY107" s="745"/>
    </row>
    <row r="108" spans="1:51" s="741" customFormat="1" ht="22.5" hidden="1" customHeight="1">
      <c r="A108" s="495"/>
      <c r="B108" s="833"/>
      <c r="C108" s="834"/>
      <c r="D108" s="560"/>
      <c r="E108" s="560"/>
      <c r="F108" s="560"/>
      <c r="G108" s="560"/>
      <c r="H108" s="560"/>
      <c r="I108" s="560"/>
      <c r="J108" s="560"/>
      <c r="K108" s="560"/>
      <c r="L108" s="560"/>
      <c r="M108" s="560"/>
      <c r="N108" s="560"/>
      <c r="O108" s="560"/>
      <c r="P108" s="870"/>
      <c r="Q108" s="531"/>
      <c r="R108" s="557"/>
      <c r="S108" s="843" t="s">
        <v>2826</v>
      </c>
      <c r="T108" s="526" t="s">
        <v>817</v>
      </c>
      <c r="U108" s="527">
        <f t="shared" ref="U108" si="123">U106-U107</f>
        <v>0</v>
      </c>
      <c r="V108" s="532" t="s">
        <v>818</v>
      </c>
      <c r="W108" s="529">
        <f t="shared" ref="W108" si="124">(BM107+BM108)/1100000</f>
        <v>0</v>
      </c>
      <c r="X108" s="89"/>
      <c r="Y108" s="73"/>
      <c r="Z108" s="837"/>
      <c r="AA108" s="837"/>
      <c r="AB108" s="735" t="s">
        <v>817</v>
      </c>
      <c r="AC108" s="744">
        <f>AC106-AC107</f>
        <v>540000000</v>
      </c>
      <c r="AD108" s="749" t="s">
        <v>824</v>
      </c>
      <c r="AE108" s="738"/>
      <c r="AF108" s="763"/>
      <c r="AG108" s="747"/>
      <c r="AH108" s="763"/>
      <c r="AI108" s="747"/>
      <c r="AJ108" s="763"/>
      <c r="AK108" s="747"/>
      <c r="AL108" s="763"/>
      <c r="AM108" s="747"/>
      <c r="AN108" s="763"/>
      <c r="AO108" s="747"/>
      <c r="AP108" s="763"/>
      <c r="AQ108" s="747"/>
      <c r="AR108" s="763"/>
      <c r="AS108" s="747"/>
      <c r="AT108" s="745"/>
      <c r="AU108" s="745"/>
      <c r="AV108" s="745"/>
      <c r="AW108" s="745"/>
      <c r="AX108" s="745"/>
      <c r="AY108" s="745"/>
    </row>
    <row r="109" spans="1:51" s="741" customFormat="1" ht="22.5" hidden="1" customHeight="1" thickBot="1">
      <c r="A109" s="502"/>
      <c r="B109" s="844"/>
      <c r="C109" s="845"/>
      <c r="D109" s="562"/>
      <c r="E109" s="562"/>
      <c r="F109" s="562"/>
      <c r="G109" s="562"/>
      <c r="H109" s="562"/>
      <c r="I109" s="562"/>
      <c r="J109" s="562"/>
      <c r="K109" s="562"/>
      <c r="L109" s="562"/>
      <c r="M109" s="562"/>
      <c r="N109" s="562"/>
      <c r="O109" s="562"/>
      <c r="P109" s="592" t="e">
        <f>(C106-#REF!)*#REF!</f>
        <v>#REF!</v>
      </c>
      <c r="Q109" s="534"/>
      <c r="R109" s="546" t="s">
        <v>2827</v>
      </c>
      <c r="S109" s="926" t="s">
        <v>2828</v>
      </c>
      <c r="T109" s="535" t="s">
        <v>826</v>
      </c>
      <c r="U109" s="536" t="e">
        <f t="shared" ref="U109" si="125">ROUNDDOWN((U107/U106),3)</f>
        <v>#DIV/0!</v>
      </c>
      <c r="V109" s="535" t="s">
        <v>827</v>
      </c>
      <c r="W109" s="536" t="e">
        <f t="shared" ref="W109" si="126">(U106-(W107+W108)/0.7)/U106</f>
        <v>#DIV/0!</v>
      </c>
      <c r="X109" s="549"/>
      <c r="Y109" s="550"/>
      <c r="Z109" s="848"/>
      <c r="AA109" s="848"/>
      <c r="AB109" s="735"/>
      <c r="AC109" s="748">
        <f>AC107/AC106</f>
        <v>0</v>
      </c>
      <c r="AD109" s="764" t="s">
        <v>828</v>
      </c>
      <c r="AE109" s="750">
        <f>SUM(AE106:AE108)</f>
        <v>0</v>
      </c>
      <c r="AF109" s="763"/>
      <c r="AG109" s="747"/>
      <c r="AH109" s="763"/>
      <c r="AI109" s="747"/>
      <c r="AJ109" s="763"/>
      <c r="AK109" s="747"/>
      <c r="AL109" s="763"/>
      <c r="AM109" s="747"/>
      <c r="AN109" s="763"/>
      <c r="AO109" s="747"/>
      <c r="AP109" s="763"/>
      <c r="AQ109" s="747"/>
      <c r="AR109" s="763"/>
      <c r="AS109" s="747"/>
    </row>
    <row r="110" spans="1:51" s="741" customFormat="1" ht="22.5" customHeight="1" thickBot="1">
      <c r="A110" s="490" t="s">
        <v>2829</v>
      </c>
      <c r="B110" s="824">
        <v>8.4000000000000005E-2</v>
      </c>
      <c r="C110" s="825">
        <f>B110+D110+E110+F110+G110+H110+I110+J110+K110+L110+M110+N110+O110</f>
        <v>0.2380000000000001</v>
      </c>
      <c r="D110" s="826">
        <v>1.4E-2</v>
      </c>
      <c r="E110" s="826">
        <v>1.4E-2</v>
      </c>
      <c r="F110" s="826">
        <v>1.4E-2</v>
      </c>
      <c r="G110" s="826">
        <v>1.4E-2</v>
      </c>
      <c r="H110" s="826">
        <v>1.4E-2</v>
      </c>
      <c r="I110" s="826">
        <v>1.4E-2</v>
      </c>
      <c r="J110" s="826">
        <v>1.4E-2</v>
      </c>
      <c r="K110" s="826">
        <v>1.4E-2</v>
      </c>
      <c r="L110" s="826">
        <v>1.4E-2</v>
      </c>
      <c r="M110" s="826">
        <v>1.4E-2</v>
      </c>
      <c r="N110" s="826">
        <v>1.4E-2</v>
      </c>
      <c r="O110" s="826"/>
      <c r="P110" s="827" t="s">
        <v>2830</v>
      </c>
      <c r="Q110" s="537" t="s">
        <v>2831</v>
      </c>
      <c r="R110" s="553" t="s">
        <v>2832</v>
      </c>
      <c r="S110" s="828" t="s">
        <v>2833</v>
      </c>
      <c r="T110" s="521" t="s">
        <v>814</v>
      </c>
      <c r="U110" s="522">
        <f>BK110/1100000</f>
        <v>0</v>
      </c>
      <c r="V110" s="523" t="s">
        <v>832</v>
      </c>
      <c r="W110" s="524" t="e">
        <f>U110*0.8-(#REF!+W111)</f>
        <v>#REF!</v>
      </c>
      <c r="X110" s="299" t="s">
        <v>812</v>
      </c>
      <c r="Y110" s="547" t="s">
        <v>813</v>
      </c>
      <c r="Z110" s="925" t="s">
        <v>2834</v>
      </c>
      <c r="AA110" s="925"/>
      <c r="AB110" s="735" t="s">
        <v>814</v>
      </c>
      <c r="AC110" s="794">
        <v>1666800000</v>
      </c>
      <c r="AD110" s="749" t="s">
        <v>35</v>
      </c>
      <c r="AE110" s="738">
        <f>SUM(AF110:AS110)</f>
        <v>87530385</v>
      </c>
      <c r="AF110" s="830" t="s">
        <v>1078</v>
      </c>
      <c r="AG110" s="740">
        <v>45981151</v>
      </c>
      <c r="AH110" s="832" t="s">
        <v>1079</v>
      </c>
      <c r="AI110" s="740">
        <v>41549234</v>
      </c>
      <c r="AJ110" s="832" t="s">
        <v>2512</v>
      </c>
      <c r="AK110" s="740"/>
      <c r="AL110" s="832" t="s">
        <v>796</v>
      </c>
      <c r="AM110" s="740"/>
      <c r="AN110" s="832" t="s">
        <v>1081</v>
      </c>
      <c r="AO110" s="740"/>
      <c r="AP110" s="832"/>
      <c r="AQ110" s="740"/>
      <c r="AR110" s="832"/>
      <c r="AS110" s="740"/>
    </row>
    <row r="111" spans="1:51" s="741" customFormat="1" ht="22.5" customHeight="1" thickBot="1">
      <c r="A111" s="495"/>
      <c r="B111" s="833"/>
      <c r="C111" s="834"/>
      <c r="D111" s="560" t="s">
        <v>2835</v>
      </c>
      <c r="E111" s="560" t="s">
        <v>2836</v>
      </c>
      <c r="F111" s="560" t="s">
        <v>2836</v>
      </c>
      <c r="G111" s="560" t="s">
        <v>2837</v>
      </c>
      <c r="H111" s="560" t="s">
        <v>2836</v>
      </c>
      <c r="I111" s="560" t="s">
        <v>2837</v>
      </c>
      <c r="J111" s="560" t="s">
        <v>2838</v>
      </c>
      <c r="K111" s="560" t="s">
        <v>2839</v>
      </c>
      <c r="L111" s="560" t="s">
        <v>2840</v>
      </c>
      <c r="M111" s="560" t="s">
        <v>2841</v>
      </c>
      <c r="N111" s="560" t="s">
        <v>2841</v>
      </c>
      <c r="O111" s="560"/>
      <c r="P111" s="917"/>
      <c r="Q111" s="531"/>
      <c r="R111" s="557"/>
      <c r="S111" s="843" t="s">
        <v>816</v>
      </c>
      <c r="T111" s="526" t="s">
        <v>817</v>
      </c>
      <c r="U111" s="527" t="e">
        <f>U110-#REF!</f>
        <v>#REF!</v>
      </c>
      <c r="V111" s="532" t="s">
        <v>818</v>
      </c>
      <c r="W111" s="529" t="e">
        <f>(#REF!+BM111)/1100000</f>
        <v>#REF!</v>
      </c>
      <c r="X111" s="89"/>
      <c r="Y111" s="73"/>
      <c r="Z111" s="837"/>
      <c r="AA111" s="837"/>
      <c r="AB111" s="735" t="s">
        <v>817</v>
      </c>
      <c r="AC111" s="744" t="e">
        <f>AC110-#REF!</f>
        <v>#REF!</v>
      </c>
      <c r="AD111" s="749" t="s">
        <v>824</v>
      </c>
      <c r="AE111" s="738"/>
      <c r="AF111" s="763"/>
      <c r="AG111" s="747"/>
      <c r="AH111" s="763"/>
      <c r="AI111" s="747"/>
      <c r="AJ111" s="763"/>
      <c r="AK111" s="747"/>
      <c r="AL111" s="763"/>
      <c r="AM111" s="747"/>
      <c r="AN111" s="763"/>
      <c r="AO111" s="747"/>
      <c r="AP111" s="763"/>
      <c r="AQ111" s="747"/>
      <c r="AR111" s="763"/>
      <c r="AS111" s="747"/>
    </row>
    <row r="112" spans="1:51" s="741" customFormat="1" ht="22.5" customHeight="1" thickBot="1">
      <c r="A112" s="490" t="s">
        <v>2842</v>
      </c>
      <c r="B112" s="824">
        <v>0.31530000000000002</v>
      </c>
      <c r="C112" s="825">
        <f>B112+D112+E112+F112+G112+H112+I112+J112+K112+L112+M112+N112+O112</f>
        <v>0.60130000000000028</v>
      </c>
      <c r="D112" s="826">
        <v>2.5999999999999999E-2</v>
      </c>
      <c r="E112" s="826">
        <v>2.5999999999999999E-2</v>
      </c>
      <c r="F112" s="826">
        <v>2.5999999999999999E-2</v>
      </c>
      <c r="G112" s="826">
        <v>2.5999999999999999E-2</v>
      </c>
      <c r="H112" s="826">
        <v>2.5999999999999999E-2</v>
      </c>
      <c r="I112" s="826">
        <v>2.5999999999999999E-2</v>
      </c>
      <c r="J112" s="826">
        <v>2.5999999999999999E-2</v>
      </c>
      <c r="K112" s="826">
        <v>2.5999999999999999E-2</v>
      </c>
      <c r="L112" s="826">
        <v>2.5999999999999999E-2</v>
      </c>
      <c r="M112" s="826">
        <v>2.5999999999999999E-2</v>
      </c>
      <c r="N112" s="826">
        <v>2.5999999999999999E-2</v>
      </c>
      <c r="O112" s="826"/>
      <c r="P112" s="827" t="s">
        <v>2843</v>
      </c>
      <c r="Q112" s="537" t="s">
        <v>2844</v>
      </c>
      <c r="R112" s="553" t="s">
        <v>2845</v>
      </c>
      <c r="S112" s="828" t="s">
        <v>2846</v>
      </c>
      <c r="T112" s="521" t="s">
        <v>814</v>
      </c>
      <c r="U112" s="522">
        <f>BK112/1100000</f>
        <v>0</v>
      </c>
      <c r="V112" s="523" t="s">
        <v>832</v>
      </c>
      <c r="W112" s="524" t="e">
        <f>U112*0.8-(#REF!+W113)</f>
        <v>#REF!</v>
      </c>
      <c r="X112" s="299" t="s">
        <v>812</v>
      </c>
      <c r="Y112" s="547" t="s">
        <v>813</v>
      </c>
      <c r="Z112" s="925" t="s">
        <v>2847</v>
      </c>
      <c r="AA112" s="925"/>
      <c r="AB112" s="735" t="s">
        <v>814</v>
      </c>
      <c r="AC112" s="794">
        <v>395990000</v>
      </c>
      <c r="AD112" s="749" t="s">
        <v>35</v>
      </c>
      <c r="AE112" s="738">
        <f>SUM(AF112:AS112)</f>
        <v>8060092</v>
      </c>
      <c r="AF112" s="830" t="s">
        <v>1078</v>
      </c>
      <c r="AG112" s="740"/>
      <c r="AH112" s="832" t="s">
        <v>1079</v>
      </c>
      <c r="AI112" s="740">
        <v>8060092</v>
      </c>
      <c r="AJ112" s="832" t="s">
        <v>2512</v>
      </c>
      <c r="AK112" s="740">
        <f>AG112</f>
        <v>0</v>
      </c>
      <c r="AL112" s="832" t="s">
        <v>796</v>
      </c>
      <c r="AM112" s="740"/>
      <c r="AN112" s="832" t="s">
        <v>1081</v>
      </c>
      <c r="AO112" s="740"/>
      <c r="AP112" s="832"/>
      <c r="AQ112" s="740"/>
      <c r="AR112" s="832"/>
      <c r="AS112" s="740"/>
    </row>
    <row r="113" spans="1:51" s="741" customFormat="1" ht="22.5" customHeight="1" thickBot="1">
      <c r="A113" s="495"/>
      <c r="B113" s="833"/>
      <c r="C113" s="834"/>
      <c r="D113" s="560" t="s">
        <v>2848</v>
      </c>
      <c r="E113" s="560" t="s">
        <v>2849</v>
      </c>
      <c r="F113" s="560" t="s">
        <v>2850</v>
      </c>
      <c r="G113" s="560" t="s">
        <v>2851</v>
      </c>
      <c r="H113" s="560" t="s">
        <v>2852</v>
      </c>
      <c r="I113" s="560" t="s">
        <v>2853</v>
      </c>
      <c r="J113" s="560" t="s">
        <v>2854</v>
      </c>
      <c r="K113" s="560" t="s">
        <v>2855</v>
      </c>
      <c r="L113" s="560" t="s">
        <v>2856</v>
      </c>
      <c r="M113" s="560" t="s">
        <v>2857</v>
      </c>
      <c r="N113" s="560" t="s">
        <v>2858</v>
      </c>
      <c r="O113" s="560"/>
      <c r="P113" s="870"/>
      <c r="Q113" s="531"/>
      <c r="R113" s="557"/>
      <c r="S113" s="843" t="s">
        <v>2826</v>
      </c>
      <c r="T113" s="526" t="s">
        <v>817</v>
      </c>
      <c r="U113" s="527" t="e">
        <f>U112-#REF!</f>
        <v>#REF!</v>
      </c>
      <c r="V113" s="532" t="s">
        <v>818</v>
      </c>
      <c r="W113" s="529" t="e">
        <f>(#REF!+BM113)/1100000</f>
        <v>#REF!</v>
      </c>
      <c r="X113" s="89"/>
      <c r="Y113" s="73"/>
      <c r="Z113" s="837"/>
      <c r="AA113" s="837"/>
      <c r="AB113" s="735" t="s">
        <v>817</v>
      </c>
      <c r="AC113" s="744" t="e">
        <f>AC112-#REF!</f>
        <v>#REF!</v>
      </c>
      <c r="AD113" s="749" t="s">
        <v>824</v>
      </c>
      <c r="AE113" s="738"/>
      <c r="AF113" s="763"/>
      <c r="AG113" s="747"/>
      <c r="AH113" s="763"/>
      <c r="AI113" s="747"/>
      <c r="AJ113" s="763"/>
      <c r="AK113" s="747"/>
      <c r="AL113" s="763"/>
      <c r="AM113" s="747"/>
      <c r="AN113" s="763"/>
      <c r="AO113" s="747"/>
      <c r="AP113" s="763"/>
      <c r="AQ113" s="747"/>
      <c r="AR113" s="763"/>
      <c r="AS113" s="747"/>
      <c r="AT113" s="745"/>
      <c r="AU113" s="745"/>
      <c r="AV113" s="745"/>
      <c r="AW113" s="745"/>
      <c r="AX113" s="745"/>
      <c r="AY113" s="745"/>
    </row>
    <row r="114" spans="1:51" s="741" customFormat="1" ht="22.5" hidden="1" customHeight="1">
      <c r="A114" s="490" t="e">
        <f>A112+1</f>
        <v>#VALUE!</v>
      </c>
      <c r="B114" s="824">
        <v>1</v>
      </c>
      <c r="C114" s="825">
        <f>B114+D114+E114+F114+G114+H114+I114+J114+K114+L114+M114+N114+O114</f>
        <v>1</v>
      </c>
      <c r="D114" s="826"/>
      <c r="E114" s="826"/>
      <c r="F114" s="826"/>
      <c r="G114" s="826"/>
      <c r="H114" s="826"/>
      <c r="I114" s="826"/>
      <c r="J114" s="826"/>
      <c r="K114" s="826"/>
      <c r="L114" s="826"/>
      <c r="M114" s="826"/>
      <c r="N114" s="826"/>
      <c r="O114" s="826"/>
      <c r="P114" s="869" t="s">
        <v>2859</v>
      </c>
      <c r="Q114" s="537" t="s">
        <v>2860</v>
      </c>
      <c r="R114" s="860" t="s">
        <v>2861</v>
      </c>
      <c r="S114" s="828" t="s">
        <v>2862</v>
      </c>
      <c r="T114" s="521" t="s">
        <v>814</v>
      </c>
      <c r="U114" s="522">
        <f t="shared" ref="U114:U115" si="127">BK114/1100000</f>
        <v>0</v>
      </c>
      <c r="V114" s="523" t="s">
        <v>832</v>
      </c>
      <c r="W114" s="524">
        <f t="shared" ref="W114" si="128">U114*0.8-(W115+W116)</f>
        <v>0</v>
      </c>
      <c r="X114" s="299" t="s">
        <v>812</v>
      </c>
      <c r="Y114" s="547" t="s">
        <v>813</v>
      </c>
      <c r="Z114" s="925" t="s">
        <v>2863</v>
      </c>
      <c r="AA114" s="925"/>
      <c r="AB114" s="735" t="s">
        <v>814</v>
      </c>
      <c r="AC114" s="794">
        <v>164688000</v>
      </c>
      <c r="AD114" s="749" t="s">
        <v>35</v>
      </c>
      <c r="AE114" s="738">
        <f>SUM(AF114:AS114)</f>
        <v>8484306</v>
      </c>
      <c r="AF114" s="830" t="s">
        <v>1078</v>
      </c>
      <c r="AG114" s="740">
        <v>2828102</v>
      </c>
      <c r="AH114" s="832" t="s">
        <v>1079</v>
      </c>
      <c r="AI114" s="740">
        <f>AG114</f>
        <v>2828102</v>
      </c>
      <c r="AJ114" s="832" t="s">
        <v>2512</v>
      </c>
      <c r="AK114" s="740">
        <f>AG114</f>
        <v>2828102</v>
      </c>
      <c r="AL114" s="832" t="s">
        <v>796</v>
      </c>
      <c r="AM114" s="740"/>
      <c r="AN114" s="832" t="s">
        <v>1081</v>
      </c>
      <c r="AO114" s="740"/>
      <c r="AP114" s="832"/>
      <c r="AQ114" s="740"/>
      <c r="AR114" s="832"/>
      <c r="AS114" s="740"/>
    </row>
    <row r="115" spans="1:51" s="741" customFormat="1" ht="22.5" hidden="1" customHeight="1" thickBot="1">
      <c r="A115" s="495"/>
      <c r="B115" s="833"/>
      <c r="C115" s="834"/>
      <c r="D115" s="530" t="e">
        <f>#REF!*D114</f>
        <v>#REF!</v>
      </c>
      <c r="E115" s="530" t="e">
        <f>#REF!*E114</f>
        <v>#REF!</v>
      </c>
      <c r="F115" s="530" t="e">
        <f>#REF!*F114</f>
        <v>#REF!</v>
      </c>
      <c r="G115" s="530" t="e">
        <f>#REF!*G114</f>
        <v>#REF!</v>
      </c>
      <c r="H115" s="530" t="e">
        <f>#REF!*H114</f>
        <v>#REF!</v>
      </c>
      <c r="I115" s="530" t="e">
        <f>#REF!*I114</f>
        <v>#REF!</v>
      </c>
      <c r="J115" s="530" t="e">
        <f>#REF!*J114</f>
        <v>#REF!</v>
      </c>
      <c r="K115" s="530" t="e">
        <f>#REF!*K114</f>
        <v>#REF!</v>
      </c>
      <c r="L115" s="530" t="e">
        <f>#REF!*L114</f>
        <v>#REF!</v>
      </c>
      <c r="M115" s="530" t="e">
        <f>#REF!*M114</f>
        <v>#REF!</v>
      </c>
      <c r="N115" s="530" t="e">
        <f>#REF!*N114</f>
        <v>#REF!</v>
      </c>
      <c r="O115" s="530" t="e">
        <f>#REF!*O114</f>
        <v>#REF!</v>
      </c>
      <c r="P115" s="917"/>
      <c r="Q115" s="531"/>
      <c r="R115" s="863"/>
      <c r="S115" s="840" t="s">
        <v>2864</v>
      </c>
      <c r="T115" s="526" t="s">
        <v>798</v>
      </c>
      <c r="U115" s="527">
        <f t="shared" si="127"/>
        <v>0</v>
      </c>
      <c r="V115" s="528" t="s">
        <v>799</v>
      </c>
      <c r="W115" s="529">
        <f t="shared" ref="W115" si="129">BM114/1000000</f>
        <v>0</v>
      </c>
      <c r="X115" s="548" t="e">
        <f>(C114-B114)*#REF!</f>
        <v>#REF!</v>
      </c>
      <c r="Y115" s="743" t="e">
        <f>(1-C114)*#REF!</f>
        <v>#REF!</v>
      </c>
      <c r="Z115" s="837"/>
      <c r="AA115" s="837"/>
      <c r="AB115" s="735" t="s">
        <v>798</v>
      </c>
      <c r="AC115" s="794">
        <v>164688000</v>
      </c>
      <c r="AD115" s="749" t="s">
        <v>801</v>
      </c>
      <c r="AE115" s="738">
        <f>SUM(AF115:AS115)</f>
        <v>0</v>
      </c>
      <c r="AF115" s="830" t="s">
        <v>815</v>
      </c>
      <c r="AG115" s="740"/>
      <c r="AH115" s="832" t="s">
        <v>890</v>
      </c>
      <c r="AI115" s="740"/>
      <c r="AJ115" s="832" t="s">
        <v>1089</v>
      </c>
      <c r="AK115" s="740"/>
      <c r="AL115" s="832" t="s">
        <v>1090</v>
      </c>
      <c r="AM115" s="740"/>
      <c r="AN115" s="832" t="s">
        <v>1080</v>
      </c>
      <c r="AO115" s="740"/>
      <c r="AP115" s="832"/>
      <c r="AQ115" s="740"/>
      <c r="AR115" s="832"/>
      <c r="AS115" s="740"/>
    </row>
    <row r="116" spans="1:51" s="741" customFormat="1" ht="22.5" hidden="1" customHeight="1">
      <c r="A116" s="495"/>
      <c r="B116" s="833"/>
      <c r="C116" s="834"/>
      <c r="D116" s="560"/>
      <c r="E116" s="560"/>
      <c r="F116" s="560"/>
      <c r="G116" s="560"/>
      <c r="H116" s="560"/>
      <c r="I116" s="560"/>
      <c r="J116" s="560"/>
      <c r="K116" s="560"/>
      <c r="L116" s="560"/>
      <c r="M116" s="560"/>
      <c r="N116" s="560"/>
      <c r="O116" s="560"/>
      <c r="P116" s="870"/>
      <c r="Q116" s="531"/>
      <c r="R116" s="863"/>
      <c r="S116" s="843" t="s">
        <v>816</v>
      </c>
      <c r="T116" s="526" t="s">
        <v>817</v>
      </c>
      <c r="U116" s="527">
        <f t="shared" ref="U116" si="130">U114-U115</f>
        <v>0</v>
      </c>
      <c r="V116" s="532" t="s">
        <v>818</v>
      </c>
      <c r="W116" s="529">
        <f t="shared" ref="W116" si="131">(BM115+BM116)/1100000</f>
        <v>0</v>
      </c>
      <c r="X116" s="89"/>
      <c r="Y116" s="73"/>
      <c r="Z116" s="837"/>
      <c r="AA116" s="837"/>
      <c r="AB116" s="735" t="s">
        <v>817</v>
      </c>
      <c r="AC116" s="744">
        <f>AC114-AC115</f>
        <v>0</v>
      </c>
      <c r="AD116" s="749" t="s">
        <v>824</v>
      </c>
      <c r="AE116" s="738"/>
      <c r="AF116" s="763"/>
      <c r="AG116" s="747"/>
      <c r="AH116" s="763"/>
      <c r="AI116" s="747"/>
      <c r="AJ116" s="763"/>
      <c r="AK116" s="747"/>
      <c r="AL116" s="763"/>
      <c r="AM116" s="747"/>
      <c r="AN116" s="763"/>
      <c r="AO116" s="747"/>
      <c r="AP116" s="763"/>
      <c r="AQ116" s="747"/>
      <c r="AR116" s="763"/>
      <c r="AS116" s="747"/>
    </row>
    <row r="117" spans="1:51" s="741" customFormat="1" ht="22.5" hidden="1" customHeight="1" thickBot="1">
      <c r="A117" s="502"/>
      <c r="B117" s="844"/>
      <c r="C117" s="845"/>
      <c r="D117" s="562"/>
      <c r="E117" s="562"/>
      <c r="F117" s="562"/>
      <c r="G117" s="562"/>
      <c r="H117" s="562"/>
      <c r="I117" s="562"/>
      <c r="J117" s="562"/>
      <c r="K117" s="562"/>
      <c r="L117" s="562"/>
      <c r="M117" s="562"/>
      <c r="N117" s="562"/>
      <c r="O117" s="562"/>
      <c r="P117" s="592" t="e">
        <f>(C114-#REF!)*#REF!</f>
        <v>#REF!</v>
      </c>
      <c r="Q117" s="534"/>
      <c r="R117" s="546" t="s">
        <v>2865</v>
      </c>
      <c r="S117" s="847" t="s">
        <v>825</v>
      </c>
      <c r="T117" s="535" t="s">
        <v>826</v>
      </c>
      <c r="U117" s="536" t="e">
        <f t="shared" ref="U117" si="132">ROUNDDOWN((U115/U114),3)</f>
        <v>#DIV/0!</v>
      </c>
      <c r="V117" s="535" t="s">
        <v>827</v>
      </c>
      <c r="W117" s="536" t="e">
        <f t="shared" ref="W117" si="133">(U114-(W115+W116)/0.7)/U114</f>
        <v>#DIV/0!</v>
      </c>
      <c r="X117" s="549"/>
      <c r="Y117" s="550"/>
      <c r="Z117" s="848"/>
      <c r="AA117" s="848"/>
      <c r="AB117" s="735"/>
      <c r="AC117" s="748">
        <f>AC115/AC114</f>
        <v>1</v>
      </c>
      <c r="AD117" s="764" t="s">
        <v>828</v>
      </c>
      <c r="AE117" s="750">
        <f>SUM(AE114:AE116)</f>
        <v>8484306</v>
      </c>
      <c r="AF117" s="763"/>
      <c r="AG117" s="747"/>
      <c r="AH117" s="763"/>
      <c r="AI117" s="747"/>
      <c r="AJ117" s="763"/>
      <c r="AK117" s="747"/>
      <c r="AL117" s="763"/>
      <c r="AM117" s="747"/>
      <c r="AN117" s="763"/>
      <c r="AO117" s="747"/>
      <c r="AP117" s="763"/>
      <c r="AQ117" s="747"/>
      <c r="AR117" s="763"/>
      <c r="AS117" s="747"/>
    </row>
    <row r="118" spans="1:51" s="741" customFormat="1" ht="22.5" hidden="1" customHeight="1">
      <c r="A118" s="490" t="e">
        <f t="shared" ref="A118" si="134">A114+1</f>
        <v>#VALUE!</v>
      </c>
      <c r="B118" s="824">
        <v>1</v>
      </c>
      <c r="C118" s="825">
        <f>B118+D118+E118+F118+G118+H118+I118+J118+K118+L118+M118+N118+O118</f>
        <v>1</v>
      </c>
      <c r="D118" s="826"/>
      <c r="E118" s="826"/>
      <c r="F118" s="826"/>
      <c r="G118" s="826"/>
      <c r="H118" s="826"/>
      <c r="I118" s="826"/>
      <c r="J118" s="826"/>
      <c r="K118" s="826"/>
      <c r="L118" s="826"/>
      <c r="M118" s="826"/>
      <c r="N118" s="826"/>
      <c r="O118" s="826"/>
      <c r="P118" s="838" t="s">
        <v>2866</v>
      </c>
      <c r="Q118" s="537" t="s">
        <v>2867</v>
      </c>
      <c r="R118" s="553" t="s">
        <v>2868</v>
      </c>
      <c r="S118" s="828" t="s">
        <v>2869</v>
      </c>
      <c r="T118" s="521" t="s">
        <v>814</v>
      </c>
      <c r="U118" s="522">
        <f t="shared" ref="U118:U119" si="135">BK118/1100000</f>
        <v>0</v>
      </c>
      <c r="V118" s="523" t="s">
        <v>832</v>
      </c>
      <c r="W118" s="524">
        <f>U118*0.8-(W119+W120)</f>
        <v>0</v>
      </c>
      <c r="X118" s="299" t="s">
        <v>812</v>
      </c>
      <c r="Y118" s="547" t="s">
        <v>813</v>
      </c>
      <c r="Z118" s="925" t="s">
        <v>2870</v>
      </c>
      <c r="AA118" s="925"/>
      <c r="AB118" s="735" t="s">
        <v>814</v>
      </c>
      <c r="AC118" s="794">
        <v>125430000</v>
      </c>
      <c r="AD118" s="749" t="s">
        <v>35</v>
      </c>
      <c r="AE118" s="738">
        <f>SUM(AF118:AS118)</f>
        <v>6904089</v>
      </c>
      <c r="AF118" s="830" t="s">
        <v>1078</v>
      </c>
      <c r="AG118" s="740"/>
      <c r="AH118" s="832" t="s">
        <v>1079</v>
      </c>
      <c r="AI118" s="740">
        <f>AG118</f>
        <v>0</v>
      </c>
      <c r="AJ118" s="832" t="s">
        <v>2512</v>
      </c>
      <c r="AK118" s="740">
        <f>AG118</f>
        <v>0</v>
      </c>
      <c r="AL118" s="832" t="s">
        <v>796</v>
      </c>
      <c r="AM118" s="740"/>
      <c r="AN118" s="832" t="s">
        <v>1081</v>
      </c>
      <c r="AO118" s="740">
        <v>6904089</v>
      </c>
      <c r="AP118" s="832"/>
      <c r="AQ118" s="740"/>
      <c r="AR118" s="832"/>
      <c r="AS118" s="740"/>
    </row>
    <row r="119" spans="1:51" s="741" customFormat="1" ht="22.5" hidden="1" customHeight="1" thickBot="1">
      <c r="A119" s="495"/>
      <c r="B119" s="833"/>
      <c r="C119" s="834"/>
      <c r="D119" s="530" t="e">
        <f>#REF!*D118</f>
        <v>#REF!</v>
      </c>
      <c r="E119" s="530" t="e">
        <f>#REF!*E118</f>
        <v>#REF!</v>
      </c>
      <c r="F119" s="530" t="e">
        <f>#REF!*F118</f>
        <v>#REF!</v>
      </c>
      <c r="G119" s="530" t="e">
        <f>#REF!*G118</f>
        <v>#REF!</v>
      </c>
      <c r="H119" s="530" t="e">
        <f>#REF!*H118</f>
        <v>#REF!</v>
      </c>
      <c r="I119" s="530" t="e">
        <f>#REF!*I118</f>
        <v>#REF!</v>
      </c>
      <c r="J119" s="530" t="e">
        <f>#REF!*J118</f>
        <v>#REF!</v>
      </c>
      <c r="K119" s="530" t="e">
        <f>#REF!*K118</f>
        <v>#REF!</v>
      </c>
      <c r="L119" s="530" t="e">
        <f>#REF!*L118</f>
        <v>#REF!</v>
      </c>
      <c r="M119" s="530" t="e">
        <f>#REF!*M118</f>
        <v>#REF!</v>
      </c>
      <c r="N119" s="530" t="e">
        <f>#REF!*N118</f>
        <v>#REF!</v>
      </c>
      <c r="O119" s="530" t="e">
        <f>#REF!*O118</f>
        <v>#REF!</v>
      </c>
      <c r="P119" s="917"/>
      <c r="Q119" s="531"/>
      <c r="R119" s="557"/>
      <c r="S119" s="840" t="s">
        <v>2871</v>
      </c>
      <c r="T119" s="526" t="s">
        <v>798</v>
      </c>
      <c r="U119" s="527">
        <f t="shared" si="135"/>
        <v>0</v>
      </c>
      <c r="V119" s="528" t="s">
        <v>799</v>
      </c>
      <c r="W119" s="529">
        <f t="shared" ref="W119" si="136">BM118/1000000</f>
        <v>0</v>
      </c>
      <c r="X119" s="548" t="e">
        <f>(C118-B118)*#REF!</f>
        <v>#REF!</v>
      </c>
      <c r="Y119" s="743" t="e">
        <f>(1-C118)*#REF!</f>
        <v>#REF!</v>
      </c>
      <c r="Z119" s="837"/>
      <c r="AA119" s="837"/>
      <c r="AB119" s="735" t="s">
        <v>798</v>
      </c>
      <c r="AC119" s="794">
        <v>125430000</v>
      </c>
      <c r="AD119" s="749" t="s">
        <v>801</v>
      </c>
      <c r="AE119" s="738">
        <f>SUM(AF119:AS119)</f>
        <v>0</v>
      </c>
      <c r="AF119" s="830" t="s">
        <v>815</v>
      </c>
      <c r="AG119" s="740"/>
      <c r="AH119" s="832" t="s">
        <v>890</v>
      </c>
      <c r="AI119" s="740"/>
      <c r="AJ119" s="832" t="s">
        <v>1089</v>
      </c>
      <c r="AK119" s="740"/>
      <c r="AL119" s="832" t="s">
        <v>1090</v>
      </c>
      <c r="AM119" s="740"/>
      <c r="AN119" s="832" t="s">
        <v>1080</v>
      </c>
      <c r="AO119" s="740"/>
      <c r="AP119" s="832"/>
      <c r="AQ119" s="740"/>
      <c r="AR119" s="832"/>
      <c r="AS119" s="740"/>
    </row>
    <row r="120" spans="1:51" s="741" customFormat="1" ht="22.5" hidden="1" customHeight="1">
      <c r="A120" s="495"/>
      <c r="B120" s="833"/>
      <c r="C120" s="834"/>
      <c r="D120" s="560"/>
      <c r="E120" s="560"/>
      <c r="F120" s="560"/>
      <c r="G120" s="560"/>
      <c r="H120" s="560"/>
      <c r="I120" s="560"/>
      <c r="J120" s="560"/>
      <c r="K120" s="560"/>
      <c r="L120" s="560"/>
      <c r="M120" s="560"/>
      <c r="N120" s="560"/>
      <c r="O120" s="560"/>
      <c r="P120" s="870"/>
      <c r="Q120" s="531"/>
      <c r="R120" s="557"/>
      <c r="S120" s="843" t="s">
        <v>816</v>
      </c>
      <c r="T120" s="526" t="s">
        <v>817</v>
      </c>
      <c r="U120" s="527">
        <f t="shared" ref="U120" si="137">U118-U119</f>
        <v>0</v>
      </c>
      <c r="V120" s="532" t="s">
        <v>818</v>
      </c>
      <c r="W120" s="529">
        <f t="shared" ref="W120" si="138">(BM119+BM120)/1100000</f>
        <v>0</v>
      </c>
      <c r="X120" s="89"/>
      <c r="Y120" s="73"/>
      <c r="Z120" s="837"/>
      <c r="AA120" s="837"/>
      <c r="AB120" s="735" t="s">
        <v>817</v>
      </c>
      <c r="AC120" s="744">
        <f>AC118-AC119</f>
        <v>0</v>
      </c>
      <c r="AD120" s="749" t="s">
        <v>824</v>
      </c>
      <c r="AE120" s="738"/>
      <c r="AF120" s="763"/>
      <c r="AG120" s="747"/>
      <c r="AH120" s="763"/>
      <c r="AI120" s="747"/>
      <c r="AJ120" s="763"/>
      <c r="AK120" s="747"/>
      <c r="AL120" s="763"/>
      <c r="AM120" s="747"/>
      <c r="AN120" s="763"/>
      <c r="AO120" s="747"/>
      <c r="AP120" s="763"/>
      <c r="AQ120" s="747"/>
      <c r="AR120" s="763"/>
      <c r="AS120" s="747"/>
    </row>
    <row r="121" spans="1:51" s="741" customFormat="1" ht="22.5" hidden="1" customHeight="1" thickBot="1">
      <c r="A121" s="502"/>
      <c r="B121" s="844"/>
      <c r="C121" s="845"/>
      <c r="D121" s="562"/>
      <c r="E121" s="562"/>
      <c r="F121" s="562"/>
      <c r="G121" s="562"/>
      <c r="H121" s="562"/>
      <c r="I121" s="562"/>
      <c r="J121" s="562"/>
      <c r="K121" s="562"/>
      <c r="L121" s="562"/>
      <c r="M121" s="562"/>
      <c r="N121" s="562"/>
      <c r="O121" s="562"/>
      <c r="P121" s="592" t="e">
        <f>(C118-#REF!)*#REF!</f>
        <v>#REF!</v>
      </c>
      <c r="Q121" s="534"/>
      <c r="R121" s="546" t="s">
        <v>2872</v>
      </c>
      <c r="S121" s="847" t="s">
        <v>2531</v>
      </c>
      <c r="T121" s="535" t="s">
        <v>826</v>
      </c>
      <c r="U121" s="536" t="e">
        <f t="shared" ref="U121" si="139">ROUNDDOWN((U119/U118),3)</f>
        <v>#DIV/0!</v>
      </c>
      <c r="V121" s="535" t="s">
        <v>827</v>
      </c>
      <c r="W121" s="536" t="e">
        <f t="shared" ref="W121" si="140">(U118-(W119+W120)/0.7)/U118</f>
        <v>#DIV/0!</v>
      </c>
      <c r="X121" s="549"/>
      <c r="Y121" s="550"/>
      <c r="Z121" s="848"/>
      <c r="AA121" s="848"/>
      <c r="AB121" s="735"/>
      <c r="AC121" s="748">
        <f>AC119/AC118</f>
        <v>1</v>
      </c>
      <c r="AD121" s="764" t="s">
        <v>828</v>
      </c>
      <c r="AE121" s="750">
        <f>SUM(AE118:AE120)</f>
        <v>6904089</v>
      </c>
      <c r="AF121" s="763"/>
      <c r="AG121" s="747"/>
      <c r="AH121" s="763"/>
      <c r="AI121" s="747"/>
      <c r="AJ121" s="763"/>
      <c r="AK121" s="747"/>
      <c r="AL121" s="763"/>
      <c r="AM121" s="747"/>
      <c r="AN121" s="763"/>
      <c r="AO121" s="747"/>
      <c r="AP121" s="763"/>
      <c r="AQ121" s="747"/>
      <c r="AR121" s="763"/>
      <c r="AS121" s="747"/>
    </row>
    <row r="122" spans="1:51" s="741" customFormat="1" ht="22.5" customHeight="1" thickBot="1">
      <c r="A122" s="490" t="s">
        <v>2873</v>
      </c>
      <c r="B122" s="824">
        <v>0.19209999999999999</v>
      </c>
      <c r="C122" s="825">
        <f>B122+D122+E122+F122+G122+H122+I122+J122+K122+L122+M122+N122+O122</f>
        <v>0.47310000000000019</v>
      </c>
      <c r="D122" s="826">
        <v>0.01</v>
      </c>
      <c r="E122" s="826">
        <v>0.01</v>
      </c>
      <c r="F122" s="826">
        <v>2.9000000000000001E-2</v>
      </c>
      <c r="G122" s="826">
        <v>2.9000000000000001E-2</v>
      </c>
      <c r="H122" s="826">
        <v>2.9000000000000001E-2</v>
      </c>
      <c r="I122" s="826">
        <v>2.9000000000000001E-2</v>
      </c>
      <c r="J122" s="826">
        <v>2.9000000000000001E-2</v>
      </c>
      <c r="K122" s="826">
        <v>2.9000000000000001E-2</v>
      </c>
      <c r="L122" s="826">
        <v>2.9000000000000001E-2</v>
      </c>
      <c r="M122" s="826">
        <v>2.9000000000000001E-2</v>
      </c>
      <c r="N122" s="826">
        <v>2.9000000000000001E-2</v>
      </c>
      <c r="O122" s="826"/>
      <c r="P122" s="869" t="s">
        <v>2874</v>
      </c>
      <c r="Q122" s="927" t="s">
        <v>2875</v>
      </c>
      <c r="R122" s="254" t="s">
        <v>2876</v>
      </c>
      <c r="S122" s="828" t="s">
        <v>2877</v>
      </c>
      <c r="T122" s="521" t="s">
        <v>814</v>
      </c>
      <c r="U122" s="522">
        <f>BK122/1100000</f>
        <v>0</v>
      </c>
      <c r="V122" s="523" t="s">
        <v>832</v>
      </c>
      <c r="W122" s="524" t="e">
        <f>U122*0.8-(#REF!+W123)</f>
        <v>#REF!</v>
      </c>
      <c r="X122" s="299" t="s">
        <v>812</v>
      </c>
      <c r="Y122" s="547" t="s">
        <v>813</v>
      </c>
      <c r="Z122" s="925" t="s">
        <v>2878</v>
      </c>
      <c r="AA122" s="925"/>
      <c r="AB122" s="735" t="s">
        <v>814</v>
      </c>
      <c r="AC122" s="794">
        <v>936056000</v>
      </c>
      <c r="AD122" s="749" t="s">
        <v>35</v>
      </c>
      <c r="AE122" s="738">
        <f>SUM(AF122:AS122)</f>
        <v>23567521</v>
      </c>
      <c r="AF122" s="830" t="s">
        <v>1078</v>
      </c>
      <c r="AG122" s="740">
        <v>23567521</v>
      </c>
      <c r="AH122" s="832" t="s">
        <v>1079</v>
      </c>
      <c r="AI122" s="740"/>
      <c r="AJ122" s="832" t="s">
        <v>2512</v>
      </c>
      <c r="AK122" s="740"/>
      <c r="AL122" s="832" t="s">
        <v>796</v>
      </c>
      <c r="AM122" s="740"/>
      <c r="AN122" s="832" t="s">
        <v>1081</v>
      </c>
      <c r="AO122" s="740"/>
      <c r="AP122" s="832"/>
      <c r="AQ122" s="740"/>
      <c r="AR122" s="832"/>
      <c r="AS122" s="740"/>
    </row>
    <row r="123" spans="1:51" s="741" customFormat="1" ht="22.5" customHeight="1" thickBot="1">
      <c r="A123" s="495"/>
      <c r="B123" s="833"/>
      <c r="C123" s="834"/>
      <c r="D123" s="560" t="s">
        <v>2567</v>
      </c>
      <c r="E123" s="560" t="s">
        <v>2879</v>
      </c>
      <c r="F123" s="560" t="s">
        <v>2880</v>
      </c>
      <c r="G123" s="560" t="s">
        <v>2881</v>
      </c>
      <c r="H123" s="560" t="s">
        <v>2882</v>
      </c>
      <c r="I123" s="560" t="s">
        <v>2883</v>
      </c>
      <c r="J123" s="560" t="s">
        <v>2884</v>
      </c>
      <c r="K123" s="560" t="s">
        <v>2885</v>
      </c>
      <c r="L123" s="560" t="s">
        <v>2886</v>
      </c>
      <c r="M123" s="560" t="s">
        <v>2887</v>
      </c>
      <c r="N123" s="560" t="s">
        <v>2888</v>
      </c>
      <c r="O123" s="560"/>
      <c r="P123" s="870"/>
      <c r="Q123" s="928"/>
      <c r="R123" s="255"/>
      <c r="S123" s="843" t="s">
        <v>816</v>
      </c>
      <c r="T123" s="526" t="s">
        <v>817</v>
      </c>
      <c r="U123" s="527" t="e">
        <f>U122-#REF!</f>
        <v>#REF!</v>
      </c>
      <c r="V123" s="532" t="s">
        <v>818</v>
      </c>
      <c r="W123" s="529" t="e">
        <f>(#REF!+BM123)/1100000</f>
        <v>#REF!</v>
      </c>
      <c r="X123" s="89"/>
      <c r="Y123" s="73"/>
      <c r="Z123" s="837"/>
      <c r="AA123" s="837"/>
      <c r="AB123" s="735" t="s">
        <v>817</v>
      </c>
      <c r="AC123" s="744" t="e">
        <f>AC122-#REF!</f>
        <v>#REF!</v>
      </c>
      <c r="AD123" s="749" t="s">
        <v>824</v>
      </c>
      <c r="AE123" s="738"/>
      <c r="AF123" s="763"/>
      <c r="AG123" s="747"/>
      <c r="AH123" s="763"/>
      <c r="AI123" s="747"/>
      <c r="AJ123" s="763"/>
      <c r="AK123" s="747"/>
      <c r="AL123" s="763"/>
      <c r="AM123" s="747"/>
      <c r="AN123" s="763"/>
      <c r="AO123" s="747"/>
      <c r="AP123" s="763"/>
      <c r="AQ123" s="747"/>
      <c r="AR123" s="763"/>
      <c r="AS123" s="747"/>
    </row>
    <row r="124" spans="1:51" s="741" customFormat="1" ht="22.5" hidden="1" customHeight="1">
      <c r="A124" s="490" t="e">
        <f>A122+1</f>
        <v>#VALUE!</v>
      </c>
      <c r="B124" s="824">
        <v>1</v>
      </c>
      <c r="C124" s="825">
        <f>B124+D124+E124+F124+G124+H124+I124+J124+K124+L124+M124+N124+O124</f>
        <v>1</v>
      </c>
      <c r="D124" s="826"/>
      <c r="E124" s="826"/>
      <c r="F124" s="826"/>
      <c r="G124" s="826"/>
      <c r="H124" s="826"/>
      <c r="I124" s="826"/>
      <c r="J124" s="826"/>
      <c r="K124" s="826"/>
      <c r="L124" s="826"/>
      <c r="M124" s="826"/>
      <c r="N124" s="826"/>
      <c r="O124" s="826"/>
      <c r="P124" s="838" t="s">
        <v>2889</v>
      </c>
      <c r="Q124" s="537"/>
      <c r="R124" s="553" t="s">
        <v>2890</v>
      </c>
      <c r="S124" s="828"/>
      <c r="T124" s="521" t="s">
        <v>814</v>
      </c>
      <c r="U124" s="522">
        <f t="shared" ref="U124:U125" si="141">BK124/1100000</f>
        <v>0</v>
      </c>
      <c r="V124" s="523" t="s">
        <v>832</v>
      </c>
      <c r="W124" s="524">
        <f>U124*0.8-(W125+W126)</f>
        <v>0</v>
      </c>
      <c r="X124" s="299" t="s">
        <v>812</v>
      </c>
      <c r="Y124" s="547" t="s">
        <v>813</v>
      </c>
      <c r="Z124" s="925"/>
      <c r="AA124" s="925"/>
      <c r="AB124" s="735" t="s">
        <v>814</v>
      </c>
      <c r="AC124" s="794">
        <v>16271182</v>
      </c>
      <c r="AD124" s="749" t="s">
        <v>35</v>
      </c>
      <c r="AE124" s="738">
        <f>SUM(AF124:AS124)</f>
        <v>0</v>
      </c>
      <c r="AF124" s="830" t="s">
        <v>1078</v>
      </c>
      <c r="AG124" s="740"/>
      <c r="AH124" s="832" t="s">
        <v>1079</v>
      </c>
      <c r="AI124" s="740">
        <f>AG124</f>
        <v>0</v>
      </c>
      <c r="AJ124" s="832" t="s">
        <v>2512</v>
      </c>
      <c r="AK124" s="740">
        <f>AG124</f>
        <v>0</v>
      </c>
      <c r="AL124" s="832" t="s">
        <v>796</v>
      </c>
      <c r="AM124" s="740"/>
      <c r="AN124" s="832" t="s">
        <v>1081</v>
      </c>
      <c r="AO124" s="740"/>
      <c r="AP124" s="832"/>
      <c r="AQ124" s="740"/>
      <c r="AR124" s="832"/>
      <c r="AS124" s="740"/>
    </row>
    <row r="125" spans="1:51" s="741" customFormat="1" ht="22.5" hidden="1" customHeight="1" thickBot="1">
      <c r="A125" s="495"/>
      <c r="B125" s="833"/>
      <c r="C125" s="834"/>
      <c r="D125" s="530" t="e">
        <f>#REF!*D124</f>
        <v>#REF!</v>
      </c>
      <c r="E125" s="530" t="e">
        <f>#REF!*E124</f>
        <v>#REF!</v>
      </c>
      <c r="F125" s="530" t="e">
        <f>#REF!*F124</f>
        <v>#REF!</v>
      </c>
      <c r="G125" s="530" t="e">
        <f>#REF!*G124</f>
        <v>#REF!</v>
      </c>
      <c r="H125" s="530" t="e">
        <f>#REF!*H124</f>
        <v>#REF!</v>
      </c>
      <c r="I125" s="530" t="e">
        <f>#REF!*I124</f>
        <v>#REF!</v>
      </c>
      <c r="J125" s="530"/>
      <c r="K125" s="530"/>
      <c r="L125" s="530"/>
      <c r="M125" s="530"/>
      <c r="N125" s="530"/>
      <c r="O125" s="530"/>
      <c r="P125" s="917"/>
      <c r="Q125" s="531"/>
      <c r="R125" s="557"/>
      <c r="S125" s="840"/>
      <c r="T125" s="526" t="s">
        <v>798</v>
      </c>
      <c r="U125" s="527">
        <f t="shared" si="141"/>
        <v>0</v>
      </c>
      <c r="V125" s="528" t="s">
        <v>799</v>
      </c>
      <c r="W125" s="529">
        <f t="shared" ref="W125" si="142">BM124/1000000</f>
        <v>0</v>
      </c>
      <c r="X125" s="548" t="e">
        <f>(C124-B124)*#REF!</f>
        <v>#REF!</v>
      </c>
      <c r="Y125" s="743" t="e">
        <f>(1-C124)*#REF!</f>
        <v>#REF!</v>
      </c>
      <c r="Z125" s="837"/>
      <c r="AA125" s="837"/>
      <c r="AB125" s="735" t="s">
        <v>798</v>
      </c>
      <c r="AC125" s="794">
        <v>16271182</v>
      </c>
      <c r="AD125" s="749" t="s">
        <v>801</v>
      </c>
      <c r="AE125" s="738">
        <f>SUM(AF125:AS125)</f>
        <v>0</v>
      </c>
      <c r="AF125" s="830" t="s">
        <v>815</v>
      </c>
      <c r="AG125" s="740"/>
      <c r="AH125" s="832" t="s">
        <v>890</v>
      </c>
      <c r="AI125" s="740"/>
      <c r="AJ125" s="832" t="s">
        <v>1089</v>
      </c>
      <c r="AK125" s="740"/>
      <c r="AL125" s="832" t="s">
        <v>1090</v>
      </c>
      <c r="AM125" s="740"/>
      <c r="AN125" s="832" t="s">
        <v>1080</v>
      </c>
      <c r="AO125" s="740"/>
      <c r="AP125" s="832"/>
      <c r="AQ125" s="740"/>
      <c r="AR125" s="832"/>
      <c r="AS125" s="740"/>
    </row>
    <row r="126" spans="1:51" s="741" customFormat="1" ht="22.5" hidden="1" customHeight="1">
      <c r="A126" s="495"/>
      <c r="B126" s="833"/>
      <c r="C126" s="834"/>
      <c r="D126" s="560"/>
      <c r="E126" s="560"/>
      <c r="F126" s="560" t="s">
        <v>2891</v>
      </c>
      <c r="G126" s="560"/>
      <c r="H126" s="560"/>
      <c r="I126" s="560"/>
      <c r="J126" s="560"/>
      <c r="K126" s="560"/>
      <c r="L126" s="560"/>
      <c r="M126" s="560"/>
      <c r="N126" s="560"/>
      <c r="O126" s="560"/>
      <c r="P126" s="870"/>
      <c r="Q126" s="531"/>
      <c r="R126" s="557"/>
      <c r="S126" s="843" t="s">
        <v>816</v>
      </c>
      <c r="T126" s="526" t="s">
        <v>817</v>
      </c>
      <c r="U126" s="527">
        <f t="shared" ref="U126" si="143">U124-U125</f>
        <v>0</v>
      </c>
      <c r="V126" s="532" t="s">
        <v>818</v>
      </c>
      <c r="W126" s="529">
        <f t="shared" ref="W126" si="144">(BM125+BM126)/1100000</f>
        <v>0</v>
      </c>
      <c r="X126" s="89"/>
      <c r="Y126" s="73"/>
      <c r="Z126" s="837"/>
      <c r="AA126" s="837"/>
      <c r="AB126" s="735" t="s">
        <v>817</v>
      </c>
      <c r="AC126" s="744">
        <f>AC124-AC125</f>
        <v>0</v>
      </c>
      <c r="AD126" s="749" t="s">
        <v>824</v>
      </c>
      <c r="AE126" s="738"/>
      <c r="AF126" s="763"/>
      <c r="AG126" s="747"/>
      <c r="AH126" s="763"/>
      <c r="AI126" s="747"/>
      <c r="AJ126" s="763"/>
      <c r="AK126" s="747"/>
      <c r="AL126" s="763"/>
      <c r="AM126" s="747"/>
      <c r="AN126" s="763"/>
      <c r="AO126" s="747"/>
      <c r="AP126" s="763"/>
      <c r="AQ126" s="747"/>
      <c r="AR126" s="763"/>
      <c r="AS126" s="747"/>
    </row>
    <row r="127" spans="1:51" s="741" customFormat="1" ht="22.5" hidden="1" customHeight="1" thickBot="1">
      <c r="A127" s="502"/>
      <c r="B127" s="844"/>
      <c r="C127" s="845"/>
      <c r="D127" s="562"/>
      <c r="E127" s="562"/>
      <c r="F127" s="562"/>
      <c r="G127" s="562"/>
      <c r="H127" s="562"/>
      <c r="I127" s="562"/>
      <c r="J127" s="562"/>
      <c r="K127" s="562"/>
      <c r="L127" s="562"/>
      <c r="M127" s="562"/>
      <c r="N127" s="562"/>
      <c r="O127" s="562"/>
      <c r="P127" s="592" t="e">
        <f>(C124-#REF!)*#REF!</f>
        <v>#REF!</v>
      </c>
      <c r="Q127" s="534"/>
      <c r="R127" s="546" t="s">
        <v>2892</v>
      </c>
      <c r="S127" s="847" t="s">
        <v>2531</v>
      </c>
      <c r="T127" s="535" t="s">
        <v>826</v>
      </c>
      <c r="U127" s="536" t="e">
        <f t="shared" ref="U127" si="145">ROUNDDOWN((U125/U124),3)</f>
        <v>#DIV/0!</v>
      </c>
      <c r="V127" s="535" t="s">
        <v>827</v>
      </c>
      <c r="W127" s="536" t="e">
        <f t="shared" ref="W127" si="146">(U124-(W125+W126)/0.7)/U124</f>
        <v>#DIV/0!</v>
      </c>
      <c r="X127" s="549"/>
      <c r="Y127" s="550"/>
      <c r="Z127" s="848"/>
      <c r="AA127" s="848"/>
      <c r="AB127" s="735"/>
      <c r="AC127" s="748">
        <f>AC125/AC124</f>
        <v>1</v>
      </c>
      <c r="AD127" s="764" t="s">
        <v>828</v>
      </c>
      <c r="AE127" s="750">
        <f>SUM(AE124:AE126)</f>
        <v>0</v>
      </c>
      <c r="AF127" s="763"/>
      <c r="AG127" s="747"/>
      <c r="AH127" s="763"/>
      <c r="AI127" s="747"/>
      <c r="AJ127" s="763"/>
      <c r="AK127" s="747"/>
      <c r="AL127" s="763"/>
      <c r="AM127" s="747"/>
      <c r="AN127" s="763"/>
      <c r="AO127" s="747"/>
      <c r="AP127" s="763"/>
      <c r="AQ127" s="747"/>
      <c r="AR127" s="763"/>
      <c r="AS127" s="747"/>
    </row>
    <row r="128" spans="1:51" s="741" customFormat="1" ht="22.5" customHeight="1" thickBot="1">
      <c r="A128" s="490" t="s">
        <v>2893</v>
      </c>
      <c r="B128" s="824">
        <v>0.63100000000000001</v>
      </c>
      <c r="C128" s="825">
        <f>B128+D128+E128+F128+G128+H128+I128+J128+K128+L128+M128+N128+O128</f>
        <v>0.88300000000000023</v>
      </c>
      <c r="D128" s="826"/>
      <c r="E128" s="826"/>
      <c r="F128" s="826">
        <v>2.8000000000000001E-2</v>
      </c>
      <c r="G128" s="826">
        <v>2.8000000000000001E-2</v>
      </c>
      <c r="H128" s="826">
        <v>2.8000000000000001E-2</v>
      </c>
      <c r="I128" s="826">
        <v>2.8000000000000001E-2</v>
      </c>
      <c r="J128" s="826">
        <v>2.8000000000000001E-2</v>
      </c>
      <c r="K128" s="826">
        <v>2.8000000000000001E-2</v>
      </c>
      <c r="L128" s="826">
        <v>2.8000000000000001E-2</v>
      </c>
      <c r="M128" s="826">
        <v>2.8000000000000001E-2</v>
      </c>
      <c r="N128" s="826">
        <v>2.8000000000000001E-2</v>
      </c>
      <c r="O128" s="826"/>
      <c r="P128" s="869" t="s">
        <v>2894</v>
      </c>
      <c r="Q128" s="537" t="s">
        <v>2895</v>
      </c>
      <c r="R128" s="553" t="s">
        <v>2896</v>
      </c>
      <c r="S128" s="828" t="s">
        <v>2897</v>
      </c>
      <c r="T128" s="521" t="s">
        <v>814</v>
      </c>
      <c r="U128" s="522">
        <f>BK128/1100000</f>
        <v>0</v>
      </c>
      <c r="V128" s="523" t="s">
        <v>832</v>
      </c>
      <c r="W128" s="524" t="e">
        <f>U128*0.8-(#REF!+W129)</f>
        <v>#REF!</v>
      </c>
      <c r="X128" s="299" t="s">
        <v>812</v>
      </c>
      <c r="Y128" s="547" t="s">
        <v>813</v>
      </c>
      <c r="Z128" s="925" t="s">
        <v>2898</v>
      </c>
      <c r="AA128" s="925"/>
      <c r="AB128" s="735" t="s">
        <v>814</v>
      </c>
      <c r="AC128" s="794">
        <f>901100000*0.35</f>
        <v>315385000</v>
      </c>
      <c r="AD128" s="749" t="s">
        <v>35</v>
      </c>
      <c r="AE128" s="738">
        <f>SUM(AF128:AS128)</f>
        <v>0</v>
      </c>
      <c r="AF128" s="830" t="s">
        <v>1078</v>
      </c>
      <c r="AG128" s="740"/>
      <c r="AH128" s="832" t="s">
        <v>1079</v>
      </c>
      <c r="AI128" s="740">
        <f>AG128</f>
        <v>0</v>
      </c>
      <c r="AJ128" s="832" t="s">
        <v>2512</v>
      </c>
      <c r="AK128" s="740">
        <f>AG128</f>
        <v>0</v>
      </c>
      <c r="AL128" s="832" t="s">
        <v>796</v>
      </c>
      <c r="AM128" s="740"/>
      <c r="AN128" s="832" t="s">
        <v>1081</v>
      </c>
      <c r="AO128" s="740"/>
      <c r="AP128" s="832"/>
      <c r="AQ128" s="740"/>
      <c r="AR128" s="832"/>
      <c r="AS128" s="740"/>
    </row>
    <row r="129" spans="1:51" s="741" customFormat="1" ht="22.5" customHeight="1" thickBot="1">
      <c r="A129" s="495"/>
      <c r="B129" s="833"/>
      <c r="C129" s="834"/>
      <c r="D129" s="560" t="s">
        <v>2567</v>
      </c>
      <c r="E129" s="560" t="s">
        <v>2567</v>
      </c>
      <c r="F129" s="560" t="s">
        <v>2899</v>
      </c>
      <c r="G129" s="560" t="s">
        <v>2899</v>
      </c>
      <c r="H129" s="560" t="s">
        <v>2899</v>
      </c>
      <c r="I129" s="560" t="s">
        <v>2899</v>
      </c>
      <c r="J129" s="560" t="s">
        <v>2899</v>
      </c>
      <c r="K129" s="560" t="s">
        <v>2900</v>
      </c>
      <c r="L129" s="560" t="s">
        <v>2901</v>
      </c>
      <c r="M129" s="560" t="s">
        <v>2902</v>
      </c>
      <c r="N129" s="560" t="s">
        <v>2903</v>
      </c>
      <c r="O129" s="560"/>
      <c r="P129" s="870"/>
      <c r="Q129" s="531"/>
      <c r="R129" s="557"/>
      <c r="S129" s="843" t="s">
        <v>2904</v>
      </c>
      <c r="T129" s="526" t="s">
        <v>817</v>
      </c>
      <c r="U129" s="527" t="e">
        <f>U128-#REF!</f>
        <v>#REF!</v>
      </c>
      <c r="V129" s="532" t="s">
        <v>818</v>
      </c>
      <c r="W129" s="529" t="e">
        <f>(#REF!+BM129)/1100000</f>
        <v>#REF!</v>
      </c>
      <c r="X129" s="89"/>
      <c r="Y129" s="73"/>
      <c r="Z129" s="837"/>
      <c r="AA129" s="837"/>
      <c r="AB129" s="735" t="s">
        <v>817</v>
      </c>
      <c r="AC129" s="744" t="e">
        <f>AC128-#REF!</f>
        <v>#REF!</v>
      </c>
      <c r="AD129" s="749" t="s">
        <v>824</v>
      </c>
      <c r="AE129" s="738"/>
      <c r="AF129" s="763"/>
      <c r="AG129" s="747"/>
      <c r="AH129" s="763"/>
      <c r="AI129" s="747"/>
      <c r="AJ129" s="763"/>
      <c r="AK129" s="747"/>
      <c r="AL129" s="763"/>
      <c r="AM129" s="747"/>
      <c r="AN129" s="763"/>
      <c r="AO129" s="747"/>
      <c r="AP129" s="763"/>
      <c r="AQ129" s="747"/>
      <c r="AR129" s="763"/>
      <c r="AS129" s="747"/>
    </row>
    <row r="130" spans="1:51" s="741" customFormat="1" ht="22.5" customHeight="1" thickBot="1">
      <c r="A130" s="490" t="s">
        <v>2905</v>
      </c>
      <c r="B130" s="824">
        <v>0</v>
      </c>
      <c r="C130" s="825">
        <f>B130+D130+E130+F130+G130+H130+I130+J130+K130+L130+M130+N130+O130</f>
        <v>0.41799999999999993</v>
      </c>
      <c r="D130" s="826">
        <v>3.7999999999999999E-2</v>
      </c>
      <c r="E130" s="826">
        <v>3.7999999999999999E-2</v>
      </c>
      <c r="F130" s="826">
        <v>3.7999999999999999E-2</v>
      </c>
      <c r="G130" s="826">
        <v>3.7999999999999999E-2</v>
      </c>
      <c r="H130" s="826">
        <v>3.7999999999999999E-2</v>
      </c>
      <c r="I130" s="826">
        <v>3.7999999999999999E-2</v>
      </c>
      <c r="J130" s="826">
        <v>3.7999999999999999E-2</v>
      </c>
      <c r="K130" s="826">
        <v>3.7999999999999999E-2</v>
      </c>
      <c r="L130" s="826">
        <v>3.7999999999999999E-2</v>
      </c>
      <c r="M130" s="826">
        <v>3.7999999999999999E-2</v>
      </c>
      <c r="N130" s="826">
        <v>3.7999999999999999E-2</v>
      </c>
      <c r="O130" s="826"/>
      <c r="P130" s="869" t="s">
        <v>2906</v>
      </c>
      <c r="Q130" s="537" t="s">
        <v>2907</v>
      </c>
      <c r="R130" s="553" t="s">
        <v>2908</v>
      </c>
      <c r="S130" s="828" t="s">
        <v>2909</v>
      </c>
      <c r="T130" s="521" t="s">
        <v>814</v>
      </c>
      <c r="U130" s="522">
        <f>BK130/1100000</f>
        <v>0</v>
      </c>
      <c r="V130" s="523" t="s">
        <v>832</v>
      </c>
      <c r="W130" s="524" t="e">
        <f>U130*0.8-(#REF!+W131)</f>
        <v>#REF!</v>
      </c>
      <c r="X130" s="299" t="s">
        <v>812</v>
      </c>
      <c r="Y130" s="547" t="s">
        <v>813</v>
      </c>
      <c r="Z130" s="925" t="s">
        <v>2910</v>
      </c>
      <c r="AA130" s="925"/>
      <c r="AB130" s="735" t="s">
        <v>814</v>
      </c>
      <c r="AC130" s="794">
        <f>896772000*0.4</f>
        <v>358708800</v>
      </c>
      <c r="AD130" s="749" t="s">
        <v>35</v>
      </c>
      <c r="AE130" s="738">
        <f>SUM(AF130:AS130)</f>
        <v>0</v>
      </c>
      <c r="AF130" s="830" t="s">
        <v>1078</v>
      </c>
      <c r="AG130" s="740"/>
      <c r="AH130" s="832" t="s">
        <v>1079</v>
      </c>
      <c r="AI130" s="740">
        <f>AG130</f>
        <v>0</v>
      </c>
      <c r="AJ130" s="832" t="s">
        <v>2512</v>
      </c>
      <c r="AK130" s="740">
        <f>AG130</f>
        <v>0</v>
      </c>
      <c r="AL130" s="832" t="s">
        <v>55</v>
      </c>
      <c r="AM130" s="740"/>
      <c r="AN130" s="832" t="s">
        <v>52</v>
      </c>
      <c r="AO130" s="740"/>
      <c r="AP130" s="832"/>
      <c r="AQ130" s="740"/>
      <c r="AR130" s="832"/>
      <c r="AS130" s="740"/>
    </row>
    <row r="131" spans="1:51" s="741" customFormat="1" ht="22.5" customHeight="1" thickBot="1">
      <c r="A131" s="495"/>
      <c r="B131" s="833"/>
      <c r="C131" s="834"/>
      <c r="D131" s="560" t="s">
        <v>2911</v>
      </c>
      <c r="E131" s="560" t="s">
        <v>2912</v>
      </c>
      <c r="F131" s="560" t="s">
        <v>2913</v>
      </c>
      <c r="G131" s="560" t="s">
        <v>2914</v>
      </c>
      <c r="H131" s="560" t="s">
        <v>2915</v>
      </c>
      <c r="I131" s="560" t="s">
        <v>2916</v>
      </c>
      <c r="J131" s="560" t="s">
        <v>2917</v>
      </c>
      <c r="K131" s="560" t="s">
        <v>2918</v>
      </c>
      <c r="L131" s="560" t="s">
        <v>2919</v>
      </c>
      <c r="M131" s="560" t="s">
        <v>2920</v>
      </c>
      <c r="N131" s="560" t="s">
        <v>2921</v>
      </c>
      <c r="O131" s="560"/>
      <c r="P131" s="870"/>
      <c r="Q131" s="531"/>
      <c r="R131" s="557"/>
      <c r="S131" s="843" t="s">
        <v>67</v>
      </c>
      <c r="T131" s="526" t="s">
        <v>196</v>
      </c>
      <c r="U131" s="527" t="e">
        <f>U130-#REF!</f>
        <v>#REF!</v>
      </c>
      <c r="V131" s="532" t="s">
        <v>15</v>
      </c>
      <c r="W131" s="529" t="e">
        <f>(#REF!+BM131)/1100000</f>
        <v>#REF!</v>
      </c>
      <c r="X131" s="89"/>
      <c r="Y131" s="73"/>
      <c r="Z131" s="837"/>
      <c r="AA131" s="837"/>
      <c r="AB131" s="735" t="s">
        <v>196</v>
      </c>
      <c r="AC131" s="744" t="e">
        <f>AC130-#REF!</f>
        <v>#REF!</v>
      </c>
      <c r="AD131" s="749" t="s">
        <v>100</v>
      </c>
      <c r="AE131" s="738"/>
      <c r="AF131" s="763"/>
      <c r="AG131" s="747"/>
      <c r="AH131" s="763"/>
      <c r="AI131" s="747"/>
      <c r="AJ131" s="763"/>
      <c r="AK131" s="747"/>
      <c r="AL131" s="763"/>
      <c r="AM131" s="747"/>
      <c r="AN131" s="763"/>
      <c r="AO131" s="747"/>
      <c r="AP131" s="763"/>
      <c r="AQ131" s="747"/>
      <c r="AR131" s="763"/>
      <c r="AS131" s="747"/>
    </row>
    <row r="132" spans="1:51" s="741" customFormat="1" ht="22.5" customHeight="1" thickBot="1">
      <c r="A132" s="490" t="s">
        <v>749</v>
      </c>
      <c r="B132" s="824">
        <v>0.13350000000000001</v>
      </c>
      <c r="C132" s="825">
        <f>B132+D132+E132+F132+G132+H132+I132+J132+K132+L132+M132+N132+O132</f>
        <v>0.36450000000000005</v>
      </c>
      <c r="D132" s="826">
        <v>2.1000000000000001E-2</v>
      </c>
      <c r="E132" s="826">
        <v>2.1000000000000001E-2</v>
      </c>
      <c r="F132" s="826">
        <v>2.1000000000000001E-2</v>
      </c>
      <c r="G132" s="826">
        <v>2.1000000000000001E-2</v>
      </c>
      <c r="H132" s="826">
        <v>2.1000000000000001E-2</v>
      </c>
      <c r="I132" s="826">
        <v>2.1000000000000001E-2</v>
      </c>
      <c r="J132" s="826">
        <v>2.1000000000000001E-2</v>
      </c>
      <c r="K132" s="826">
        <v>2.1000000000000001E-2</v>
      </c>
      <c r="L132" s="826">
        <v>2.1000000000000001E-2</v>
      </c>
      <c r="M132" s="826">
        <v>2.1000000000000001E-2</v>
      </c>
      <c r="N132" s="826">
        <v>2.1000000000000001E-2</v>
      </c>
      <c r="O132" s="826"/>
      <c r="P132" s="838" t="s">
        <v>2593</v>
      </c>
      <c r="Q132" s="537" t="s">
        <v>2922</v>
      </c>
      <c r="R132" s="254" t="s">
        <v>2923</v>
      </c>
      <c r="S132" s="828" t="s">
        <v>2924</v>
      </c>
      <c r="T132" s="521" t="s">
        <v>89</v>
      </c>
      <c r="U132" s="522">
        <f>BK132/1100000</f>
        <v>0</v>
      </c>
      <c r="V132" s="523" t="s">
        <v>7</v>
      </c>
      <c r="W132" s="524" t="e">
        <f>U132*0.8-(#REF!+W133)</f>
        <v>#REF!</v>
      </c>
      <c r="X132" s="299" t="s">
        <v>90</v>
      </c>
      <c r="Y132" s="547" t="s">
        <v>34</v>
      </c>
      <c r="Z132" s="925" t="s">
        <v>1950</v>
      </c>
      <c r="AA132" s="925"/>
      <c r="AB132" s="735" t="s">
        <v>89</v>
      </c>
      <c r="AC132" s="794">
        <f>2355103000*0.4</f>
        <v>942041200</v>
      </c>
      <c r="AD132" s="749" t="s">
        <v>98</v>
      </c>
      <c r="AE132" s="738">
        <f>SUM(AF132:AS132)</f>
        <v>27226395</v>
      </c>
      <c r="AF132" s="830" t="s">
        <v>1104</v>
      </c>
      <c r="AG132" s="740"/>
      <c r="AH132" s="832" t="s">
        <v>1105</v>
      </c>
      <c r="AI132" s="740">
        <v>27226395</v>
      </c>
      <c r="AJ132" s="832" t="s">
        <v>2543</v>
      </c>
      <c r="AK132" s="740">
        <f>AG132</f>
        <v>0</v>
      </c>
      <c r="AL132" s="832" t="s">
        <v>796</v>
      </c>
      <c r="AM132" s="740"/>
      <c r="AN132" s="832" t="s">
        <v>1081</v>
      </c>
      <c r="AO132" s="740"/>
      <c r="AP132" s="832"/>
      <c r="AQ132" s="740"/>
      <c r="AR132" s="832"/>
      <c r="AS132" s="740"/>
    </row>
    <row r="133" spans="1:51" s="741" customFormat="1" ht="22.5" customHeight="1" thickBot="1">
      <c r="A133" s="495"/>
      <c r="B133" s="833"/>
      <c r="C133" s="834"/>
      <c r="D133" s="560" t="s">
        <v>2925</v>
      </c>
      <c r="E133" s="560" t="s">
        <v>2926</v>
      </c>
      <c r="F133" s="560" t="s">
        <v>2927</v>
      </c>
      <c r="G133" s="560" t="s">
        <v>2928</v>
      </c>
      <c r="H133" s="560" t="s">
        <v>2929</v>
      </c>
      <c r="I133" s="560" t="s">
        <v>2930</v>
      </c>
      <c r="J133" s="560" t="s">
        <v>2931</v>
      </c>
      <c r="K133" s="560" t="s">
        <v>2932</v>
      </c>
      <c r="L133" s="560" t="s">
        <v>2933</v>
      </c>
      <c r="M133" s="560" t="s">
        <v>2934</v>
      </c>
      <c r="N133" s="560" t="s">
        <v>2935</v>
      </c>
      <c r="O133" s="560"/>
      <c r="P133" s="870"/>
      <c r="Q133" s="531"/>
      <c r="R133" s="255"/>
      <c r="S133" s="843" t="s">
        <v>816</v>
      </c>
      <c r="T133" s="526" t="s">
        <v>817</v>
      </c>
      <c r="U133" s="527" t="e">
        <f>U132-#REF!</f>
        <v>#REF!</v>
      </c>
      <c r="V133" s="532" t="s">
        <v>818</v>
      </c>
      <c r="W133" s="529" t="e">
        <f>(#REF!+BM133)/1100000</f>
        <v>#REF!</v>
      </c>
      <c r="X133" s="89"/>
      <c r="Y133" s="73"/>
      <c r="Z133" s="837"/>
      <c r="AA133" s="837"/>
      <c r="AB133" s="735" t="s">
        <v>817</v>
      </c>
      <c r="AC133" s="744" t="e">
        <f>AC132-#REF!</f>
        <v>#REF!</v>
      </c>
      <c r="AD133" s="749" t="s">
        <v>824</v>
      </c>
      <c r="AE133" s="738"/>
      <c r="AF133" s="763"/>
      <c r="AG133" s="747"/>
      <c r="AH133" s="763"/>
      <c r="AI133" s="747"/>
      <c r="AJ133" s="763"/>
      <c r="AK133" s="747"/>
      <c r="AL133" s="763"/>
      <c r="AM133" s="747"/>
      <c r="AN133" s="763"/>
      <c r="AO133" s="747"/>
      <c r="AP133" s="763"/>
      <c r="AQ133" s="747"/>
      <c r="AR133" s="763"/>
      <c r="AS133" s="747"/>
    </row>
    <row r="134" spans="1:51" s="741" customFormat="1" ht="22.5" customHeight="1" thickBot="1">
      <c r="A134" s="490" t="s">
        <v>2936</v>
      </c>
      <c r="B134" s="824">
        <v>0.1071</v>
      </c>
      <c r="C134" s="825">
        <f>B134+D134+E134+F134+G134+H134+I134+J134+K134+L134+M134+N134+O134</f>
        <v>0.33910000000000007</v>
      </c>
      <c r="D134" s="826">
        <v>3.3000000000000002E-2</v>
      </c>
      <c r="E134" s="826"/>
      <c r="F134" s="826">
        <v>0</v>
      </c>
      <c r="G134" s="826"/>
      <c r="H134" s="826">
        <v>1.7000000000000001E-2</v>
      </c>
      <c r="I134" s="826">
        <v>1.7000000000000001E-2</v>
      </c>
      <c r="J134" s="826">
        <v>3.3000000000000002E-2</v>
      </c>
      <c r="K134" s="826">
        <v>3.3000000000000002E-2</v>
      </c>
      <c r="L134" s="826">
        <v>3.3000000000000002E-2</v>
      </c>
      <c r="M134" s="826">
        <v>3.3000000000000002E-2</v>
      </c>
      <c r="N134" s="826">
        <v>3.3000000000000002E-2</v>
      </c>
      <c r="O134" s="826"/>
      <c r="P134" s="869" t="s">
        <v>2937</v>
      </c>
      <c r="Q134" s="537" t="s">
        <v>2938</v>
      </c>
      <c r="R134" s="553" t="s">
        <v>2939</v>
      </c>
      <c r="S134" s="828" t="s">
        <v>2940</v>
      </c>
      <c r="T134" s="521" t="s">
        <v>814</v>
      </c>
      <c r="U134" s="522">
        <f>BK134/1100000</f>
        <v>0</v>
      </c>
      <c r="V134" s="523" t="s">
        <v>832</v>
      </c>
      <c r="W134" s="524" t="e">
        <f>U134*0.8-(#REF!+W135)</f>
        <v>#REF!</v>
      </c>
      <c r="X134" s="299" t="s">
        <v>812</v>
      </c>
      <c r="Y134" s="547" t="s">
        <v>813</v>
      </c>
      <c r="Z134" s="925" t="s">
        <v>2941</v>
      </c>
      <c r="AA134" s="925"/>
      <c r="AB134" s="735" t="s">
        <v>814</v>
      </c>
      <c r="AC134" s="794">
        <v>411660000</v>
      </c>
      <c r="AD134" s="749" t="s">
        <v>35</v>
      </c>
      <c r="AE134" s="738">
        <f>SUM(AF134:AS134)</f>
        <v>13437462</v>
      </c>
      <c r="AF134" s="830" t="s">
        <v>1078</v>
      </c>
      <c r="AG134" s="740"/>
      <c r="AH134" s="832" t="s">
        <v>1079</v>
      </c>
      <c r="AI134" s="740">
        <f>AG134</f>
        <v>0</v>
      </c>
      <c r="AJ134" s="832" t="s">
        <v>2543</v>
      </c>
      <c r="AK134" s="740">
        <v>13437462</v>
      </c>
      <c r="AL134" s="832" t="s">
        <v>55</v>
      </c>
      <c r="AM134" s="740"/>
      <c r="AN134" s="832" t="s">
        <v>52</v>
      </c>
      <c r="AO134" s="740"/>
      <c r="AP134" s="832"/>
      <c r="AQ134" s="740"/>
      <c r="AR134" s="832"/>
      <c r="AS134" s="740"/>
    </row>
    <row r="135" spans="1:51" s="741" customFormat="1" ht="22.5" customHeight="1" thickBot="1">
      <c r="A135" s="495"/>
      <c r="B135" s="833"/>
      <c r="C135" s="834"/>
      <c r="D135" s="560" t="s">
        <v>2942</v>
      </c>
      <c r="E135" s="560" t="s">
        <v>2566</v>
      </c>
      <c r="F135" s="560" t="s">
        <v>2943</v>
      </c>
      <c r="G135" s="560" t="s">
        <v>2943</v>
      </c>
      <c r="H135" s="560" t="s">
        <v>2944</v>
      </c>
      <c r="I135" s="560" t="s">
        <v>2945</v>
      </c>
      <c r="J135" s="560" t="s">
        <v>2946</v>
      </c>
      <c r="K135" s="560" t="s">
        <v>2946</v>
      </c>
      <c r="L135" s="560" t="s">
        <v>2946</v>
      </c>
      <c r="M135" s="560" t="s">
        <v>2947</v>
      </c>
      <c r="N135" s="560" t="s">
        <v>2948</v>
      </c>
      <c r="O135" s="560"/>
      <c r="P135" s="870"/>
      <c r="Q135" s="531"/>
      <c r="R135" s="557"/>
      <c r="S135" s="843" t="s">
        <v>67</v>
      </c>
      <c r="T135" s="526" t="s">
        <v>196</v>
      </c>
      <c r="U135" s="527" t="e">
        <f>U134-#REF!</f>
        <v>#REF!</v>
      </c>
      <c r="V135" s="532" t="s">
        <v>15</v>
      </c>
      <c r="W135" s="529" t="e">
        <f>(#REF!+BM135)/1100000</f>
        <v>#REF!</v>
      </c>
      <c r="X135" s="89"/>
      <c r="Y135" s="73"/>
      <c r="Z135" s="837"/>
      <c r="AA135" s="837"/>
      <c r="AB135" s="735" t="s">
        <v>196</v>
      </c>
      <c r="AC135" s="744" t="e">
        <f>AC134-#REF!</f>
        <v>#REF!</v>
      </c>
      <c r="AD135" s="749" t="s">
        <v>100</v>
      </c>
      <c r="AE135" s="738"/>
      <c r="AF135" s="763"/>
      <c r="AG135" s="747"/>
      <c r="AH135" s="763"/>
      <c r="AI135" s="747"/>
      <c r="AJ135" s="763"/>
      <c r="AK135" s="747"/>
      <c r="AL135" s="763"/>
      <c r="AM135" s="747"/>
      <c r="AN135" s="763"/>
      <c r="AO135" s="747"/>
      <c r="AP135" s="763"/>
      <c r="AQ135" s="747"/>
      <c r="AR135" s="763"/>
      <c r="AS135" s="747"/>
    </row>
    <row r="136" spans="1:51" s="897" customFormat="1" ht="22.5" customHeight="1" thickBot="1">
      <c r="A136" s="877" t="s">
        <v>2949</v>
      </c>
      <c r="B136" s="878"/>
      <c r="C136" s="879">
        <f>B136+D136+E136+F136+G136+H136+I136+J136+K136+L136+M136+N136+O136</f>
        <v>0.17600000000000005</v>
      </c>
      <c r="D136" s="880">
        <v>1.6E-2</v>
      </c>
      <c r="E136" s="880">
        <v>1.6E-2</v>
      </c>
      <c r="F136" s="880">
        <v>1.6E-2</v>
      </c>
      <c r="G136" s="880">
        <v>1.6E-2</v>
      </c>
      <c r="H136" s="880">
        <v>1.6E-2</v>
      </c>
      <c r="I136" s="880">
        <v>1.6E-2</v>
      </c>
      <c r="J136" s="880">
        <v>1.6E-2</v>
      </c>
      <c r="K136" s="880">
        <v>1.6E-2</v>
      </c>
      <c r="L136" s="880">
        <v>1.6E-2</v>
      </c>
      <c r="M136" s="880">
        <v>1.6E-2</v>
      </c>
      <c r="N136" s="880">
        <v>1.6E-2</v>
      </c>
      <c r="O136" s="880"/>
      <c r="P136" s="914" t="s">
        <v>2950</v>
      </c>
      <c r="Q136" s="882" t="s">
        <v>2648</v>
      </c>
      <c r="R136" s="883" t="s">
        <v>2951</v>
      </c>
      <c r="S136" s="884" t="s">
        <v>304</v>
      </c>
      <c r="T136" s="885" t="s">
        <v>89</v>
      </c>
      <c r="U136" s="886">
        <f>BK136/1100000</f>
        <v>0</v>
      </c>
      <c r="V136" s="887" t="s">
        <v>7</v>
      </c>
      <c r="W136" s="888" t="e">
        <f>U136*0.8-(#REF!+W137)</f>
        <v>#REF!</v>
      </c>
      <c r="X136" s="889" t="s">
        <v>90</v>
      </c>
      <c r="Y136" s="890" t="s">
        <v>34</v>
      </c>
      <c r="Z136" s="929" t="s">
        <v>116</v>
      </c>
      <c r="AA136" s="929"/>
      <c r="AB136" s="892" t="s">
        <v>89</v>
      </c>
      <c r="AC136" s="893">
        <v>2950000000</v>
      </c>
      <c r="AD136" s="894" t="s">
        <v>98</v>
      </c>
      <c r="AE136" s="895">
        <f>SUM(AF136:AS136)</f>
        <v>0</v>
      </c>
      <c r="AF136" s="896" t="s">
        <v>1104</v>
      </c>
      <c r="AG136" s="895"/>
      <c r="AH136" s="894" t="s">
        <v>1105</v>
      </c>
      <c r="AI136" s="895">
        <f>AG136</f>
        <v>0</v>
      </c>
      <c r="AJ136" s="894" t="s">
        <v>2512</v>
      </c>
      <c r="AK136" s="895">
        <f>AG136</f>
        <v>0</v>
      </c>
      <c r="AL136" s="894" t="s">
        <v>796</v>
      </c>
      <c r="AM136" s="895"/>
      <c r="AN136" s="894" t="s">
        <v>1081</v>
      </c>
      <c r="AO136" s="895"/>
      <c r="AP136" s="894"/>
      <c r="AQ136" s="895"/>
      <c r="AR136" s="894"/>
      <c r="AS136" s="895"/>
    </row>
    <row r="137" spans="1:51" s="897" customFormat="1" ht="22.5" customHeight="1" thickBot="1">
      <c r="A137" s="898"/>
      <c r="B137" s="899"/>
      <c r="C137" s="900"/>
      <c r="D137" s="901" t="s">
        <v>2952</v>
      </c>
      <c r="E137" s="901" t="s">
        <v>2953</v>
      </c>
      <c r="F137" s="901" t="s">
        <v>2953</v>
      </c>
      <c r="G137" s="901"/>
      <c r="H137" s="901"/>
      <c r="I137" s="901" t="s">
        <v>2954</v>
      </c>
      <c r="J137" s="901" t="s">
        <v>2954</v>
      </c>
      <c r="K137" s="901" t="s">
        <v>2955</v>
      </c>
      <c r="L137" s="901" t="s">
        <v>2955</v>
      </c>
      <c r="M137" s="901" t="s">
        <v>2956</v>
      </c>
      <c r="N137" s="901" t="s">
        <v>2956</v>
      </c>
      <c r="O137" s="901"/>
      <c r="P137" s="902"/>
      <c r="Q137" s="903"/>
      <c r="R137" s="904"/>
      <c r="S137" s="905" t="s">
        <v>816</v>
      </c>
      <c r="T137" s="906" t="s">
        <v>817</v>
      </c>
      <c r="U137" s="907" t="e">
        <f>U136-#REF!</f>
        <v>#REF!</v>
      </c>
      <c r="V137" s="908" t="s">
        <v>818</v>
      </c>
      <c r="W137" s="909" t="e">
        <f>(#REF!+BM137)/1100000</f>
        <v>#REF!</v>
      </c>
      <c r="X137" s="889"/>
      <c r="Y137" s="890"/>
      <c r="Z137" s="910"/>
      <c r="AA137" s="910"/>
      <c r="AB137" s="892" t="s">
        <v>817</v>
      </c>
      <c r="AC137" s="911" t="e">
        <f>AC136-#REF!</f>
        <v>#REF!</v>
      </c>
      <c r="AD137" s="894" t="s">
        <v>824</v>
      </c>
      <c r="AE137" s="895"/>
      <c r="AF137" s="912"/>
      <c r="AG137" s="913"/>
      <c r="AH137" s="912"/>
      <c r="AI137" s="913"/>
      <c r="AJ137" s="912"/>
      <c r="AK137" s="913"/>
      <c r="AL137" s="912"/>
      <c r="AM137" s="913"/>
      <c r="AN137" s="912"/>
      <c r="AO137" s="913"/>
      <c r="AP137" s="912"/>
      <c r="AQ137" s="913"/>
      <c r="AR137" s="912"/>
      <c r="AS137" s="913"/>
    </row>
    <row r="138" spans="1:51" s="741" customFormat="1" ht="22.5" customHeight="1" thickBot="1">
      <c r="A138" s="490" t="s">
        <v>2957</v>
      </c>
      <c r="B138" s="858">
        <v>0.3402</v>
      </c>
      <c r="C138" s="825">
        <f>B138+D138+E138+F138+G138+H138+I138+J138+K138+L138+M138+N138+O138</f>
        <v>0.67020000000000024</v>
      </c>
      <c r="D138" s="826">
        <v>0.03</v>
      </c>
      <c r="E138" s="826">
        <v>0.03</v>
      </c>
      <c r="F138" s="826">
        <v>0.03</v>
      </c>
      <c r="G138" s="826">
        <v>0.03</v>
      </c>
      <c r="H138" s="826">
        <v>0.03</v>
      </c>
      <c r="I138" s="826">
        <v>0.03</v>
      </c>
      <c r="J138" s="826">
        <v>0.03</v>
      </c>
      <c r="K138" s="826">
        <v>0.03</v>
      </c>
      <c r="L138" s="826">
        <v>0.03</v>
      </c>
      <c r="M138" s="826">
        <v>0.03</v>
      </c>
      <c r="N138" s="826">
        <v>0.03</v>
      </c>
      <c r="O138" s="826"/>
      <c r="P138" s="838" t="s">
        <v>2958</v>
      </c>
      <c r="Q138" s="537" t="s">
        <v>2959</v>
      </c>
      <c r="R138" s="254" t="s">
        <v>2960</v>
      </c>
      <c r="S138" s="828" t="s">
        <v>2961</v>
      </c>
      <c r="T138" s="521" t="s">
        <v>814</v>
      </c>
      <c r="U138" s="522">
        <f>BK138/1100000</f>
        <v>0</v>
      </c>
      <c r="V138" s="523" t="s">
        <v>832</v>
      </c>
      <c r="W138" s="524" t="e">
        <f>U138*0.8-(#REF!+W139)</f>
        <v>#REF!</v>
      </c>
      <c r="X138" s="299" t="s">
        <v>812</v>
      </c>
      <c r="Y138" s="547" t="s">
        <v>813</v>
      </c>
      <c r="Z138" s="930" t="s">
        <v>2962</v>
      </c>
      <c r="AA138" s="930"/>
      <c r="AB138" s="735" t="s">
        <v>814</v>
      </c>
      <c r="AC138" s="794">
        <v>352689600</v>
      </c>
      <c r="AD138" s="749" t="s">
        <v>35</v>
      </c>
      <c r="AE138" s="738">
        <f>SUM(AF138:AS138)</f>
        <v>16464874</v>
      </c>
      <c r="AF138" s="830" t="s">
        <v>1078</v>
      </c>
      <c r="AG138" s="740"/>
      <c r="AH138" s="832" t="s">
        <v>1079</v>
      </c>
      <c r="AI138" s="740">
        <v>16464874</v>
      </c>
      <c r="AJ138" s="832" t="s">
        <v>2512</v>
      </c>
      <c r="AK138" s="740">
        <f>AG138</f>
        <v>0</v>
      </c>
      <c r="AL138" s="832" t="s">
        <v>796</v>
      </c>
      <c r="AM138" s="740"/>
      <c r="AN138" s="832" t="s">
        <v>1081</v>
      </c>
      <c r="AO138" s="740"/>
      <c r="AP138" s="832"/>
      <c r="AQ138" s="740"/>
      <c r="AR138" s="832"/>
      <c r="AS138" s="740"/>
    </row>
    <row r="139" spans="1:51" s="741" customFormat="1" ht="22.5" customHeight="1" thickBot="1">
      <c r="A139" s="495"/>
      <c r="B139" s="861"/>
      <c r="C139" s="834"/>
      <c r="D139" s="560" t="s">
        <v>2963</v>
      </c>
      <c r="E139" s="560" t="s">
        <v>2964</v>
      </c>
      <c r="F139" s="560" t="s">
        <v>2965</v>
      </c>
      <c r="G139" s="560" t="s">
        <v>2966</v>
      </c>
      <c r="H139" s="560" t="s">
        <v>2967</v>
      </c>
      <c r="I139" s="560" t="s">
        <v>2968</v>
      </c>
      <c r="J139" s="560" t="s">
        <v>2969</v>
      </c>
      <c r="K139" s="560" t="s">
        <v>2970</v>
      </c>
      <c r="L139" s="560" t="s">
        <v>2971</v>
      </c>
      <c r="M139" s="560" t="s">
        <v>2972</v>
      </c>
      <c r="N139" s="560" t="s">
        <v>2973</v>
      </c>
      <c r="O139" s="560"/>
      <c r="P139" s="870"/>
      <c r="Q139" s="531"/>
      <c r="R139" s="255"/>
      <c r="S139" s="843" t="s">
        <v>816</v>
      </c>
      <c r="T139" s="526" t="s">
        <v>817</v>
      </c>
      <c r="U139" s="527" t="e">
        <f>U138-#REF!</f>
        <v>#REF!</v>
      </c>
      <c r="V139" s="532" t="s">
        <v>818</v>
      </c>
      <c r="W139" s="529" t="e">
        <f>(#REF!+BM139)/1100000</f>
        <v>#REF!</v>
      </c>
      <c r="X139" s="89"/>
      <c r="Y139" s="73"/>
      <c r="Z139" s="837"/>
      <c r="AA139" s="837"/>
      <c r="AB139" s="735" t="s">
        <v>817</v>
      </c>
      <c r="AC139" s="744" t="e">
        <f>AC138-#REF!</f>
        <v>#REF!</v>
      </c>
      <c r="AD139" s="749" t="s">
        <v>824</v>
      </c>
      <c r="AE139" s="738"/>
      <c r="AF139" s="763"/>
      <c r="AG139" s="747"/>
      <c r="AH139" s="763"/>
      <c r="AI139" s="747"/>
      <c r="AJ139" s="763"/>
      <c r="AK139" s="747"/>
      <c r="AL139" s="763"/>
      <c r="AM139" s="747"/>
      <c r="AN139" s="763"/>
      <c r="AO139" s="747"/>
      <c r="AP139" s="763"/>
      <c r="AQ139" s="747"/>
      <c r="AR139" s="763"/>
      <c r="AS139" s="747"/>
      <c r="AT139" s="745"/>
      <c r="AU139" s="745"/>
      <c r="AV139" s="745"/>
      <c r="AW139" s="745"/>
      <c r="AX139" s="745"/>
      <c r="AY139" s="745"/>
    </row>
    <row r="140" spans="1:51" s="741" customFormat="1" ht="22.5" customHeight="1" thickBot="1">
      <c r="A140" s="490" t="s">
        <v>2974</v>
      </c>
      <c r="B140" s="858"/>
      <c r="C140" s="825">
        <f>B140+D140+E140+F140+G140+H140+I140+J140+K140+L140+M140+N140+O140</f>
        <v>0.28600000000000003</v>
      </c>
      <c r="D140" s="826">
        <v>2.5999999999999999E-2</v>
      </c>
      <c r="E140" s="826">
        <v>2.5999999999999999E-2</v>
      </c>
      <c r="F140" s="826">
        <v>2.5999999999999999E-2</v>
      </c>
      <c r="G140" s="826">
        <v>2.5999999999999999E-2</v>
      </c>
      <c r="H140" s="826">
        <v>2.5999999999999999E-2</v>
      </c>
      <c r="I140" s="826">
        <v>2.5999999999999999E-2</v>
      </c>
      <c r="J140" s="826">
        <v>2.5999999999999999E-2</v>
      </c>
      <c r="K140" s="826">
        <v>2.5999999999999999E-2</v>
      </c>
      <c r="L140" s="826">
        <v>2.5999999999999999E-2</v>
      </c>
      <c r="M140" s="826">
        <v>2.5999999999999999E-2</v>
      </c>
      <c r="N140" s="826">
        <v>2.5999999999999999E-2</v>
      </c>
      <c r="O140" s="826"/>
      <c r="P140" s="838" t="s">
        <v>2975</v>
      </c>
      <c r="Q140" s="537" t="s">
        <v>2976</v>
      </c>
      <c r="R140" s="254" t="s">
        <v>2977</v>
      </c>
      <c r="S140" s="828" t="s">
        <v>2978</v>
      </c>
      <c r="T140" s="521" t="s">
        <v>814</v>
      </c>
      <c r="U140" s="522">
        <f>BK140/1100000</f>
        <v>0</v>
      </c>
      <c r="V140" s="523" t="s">
        <v>832</v>
      </c>
      <c r="W140" s="524" t="e">
        <f>U140*0.8-(#REF!+W141)</f>
        <v>#REF!</v>
      </c>
      <c r="X140" s="299" t="s">
        <v>812</v>
      </c>
      <c r="Y140" s="547" t="s">
        <v>813</v>
      </c>
      <c r="Z140" s="930" t="s">
        <v>2979</v>
      </c>
      <c r="AA140" s="930"/>
      <c r="AB140" s="735" t="s">
        <v>814</v>
      </c>
      <c r="AC140" s="794">
        <v>645156000</v>
      </c>
      <c r="AD140" s="749" t="s">
        <v>35</v>
      </c>
      <c r="AE140" s="738">
        <f>SUM(AF140:AS140)</f>
        <v>17757491</v>
      </c>
      <c r="AF140" s="830" t="s">
        <v>1078</v>
      </c>
      <c r="AG140" s="740"/>
      <c r="AH140" s="832" t="s">
        <v>1079</v>
      </c>
      <c r="AI140" s="740">
        <v>17757491</v>
      </c>
      <c r="AJ140" s="832" t="s">
        <v>2512</v>
      </c>
      <c r="AK140" s="740">
        <f>AG140</f>
        <v>0</v>
      </c>
      <c r="AL140" s="832" t="s">
        <v>55</v>
      </c>
      <c r="AM140" s="740"/>
      <c r="AN140" s="832" t="s">
        <v>52</v>
      </c>
      <c r="AO140" s="740"/>
      <c r="AP140" s="832"/>
      <c r="AQ140" s="740"/>
      <c r="AR140" s="832"/>
      <c r="AS140" s="740"/>
    </row>
    <row r="141" spans="1:51" s="741" customFormat="1" ht="22.5" customHeight="1" thickBot="1">
      <c r="A141" s="495"/>
      <c r="B141" s="861"/>
      <c r="C141" s="834"/>
      <c r="D141" s="560" t="s">
        <v>2980</v>
      </c>
      <c r="E141" s="560" t="s">
        <v>2980</v>
      </c>
      <c r="F141" s="560" t="s">
        <v>2981</v>
      </c>
      <c r="G141" s="560" t="s">
        <v>2982</v>
      </c>
      <c r="H141" s="560" t="s">
        <v>2983</v>
      </c>
      <c r="I141" s="560" t="s">
        <v>2984</v>
      </c>
      <c r="J141" s="560" t="s">
        <v>2985</v>
      </c>
      <c r="K141" s="560" t="s">
        <v>2986</v>
      </c>
      <c r="L141" s="560" t="s">
        <v>2987</v>
      </c>
      <c r="M141" s="560" t="s">
        <v>2988</v>
      </c>
      <c r="N141" s="560" t="s">
        <v>2989</v>
      </c>
      <c r="O141" s="560"/>
      <c r="P141" s="870"/>
      <c r="Q141" s="531"/>
      <c r="R141" s="255"/>
      <c r="S141" s="843" t="s">
        <v>67</v>
      </c>
      <c r="T141" s="526" t="s">
        <v>196</v>
      </c>
      <c r="U141" s="527" t="e">
        <f>U140-#REF!</f>
        <v>#REF!</v>
      </c>
      <c r="V141" s="532" t="s">
        <v>15</v>
      </c>
      <c r="W141" s="529" t="e">
        <f>(#REF!+BM141)/1100000</f>
        <v>#REF!</v>
      </c>
      <c r="X141" s="89"/>
      <c r="Y141" s="73"/>
      <c r="Z141" s="837"/>
      <c r="AA141" s="837"/>
      <c r="AB141" s="735" t="s">
        <v>196</v>
      </c>
      <c r="AC141" s="744" t="e">
        <f>AC140-#REF!</f>
        <v>#REF!</v>
      </c>
      <c r="AD141" s="749" t="s">
        <v>100</v>
      </c>
      <c r="AE141" s="738"/>
      <c r="AF141" s="763"/>
      <c r="AG141" s="747"/>
      <c r="AH141" s="763"/>
      <c r="AI141" s="747"/>
      <c r="AJ141" s="763"/>
      <c r="AK141" s="747"/>
      <c r="AL141" s="763"/>
      <c r="AM141" s="747"/>
      <c r="AN141" s="763"/>
      <c r="AO141" s="747"/>
      <c r="AP141" s="763"/>
      <c r="AQ141" s="747"/>
      <c r="AR141" s="763"/>
      <c r="AS141" s="747"/>
      <c r="AT141" s="745"/>
      <c r="AU141" s="745"/>
      <c r="AV141" s="745"/>
      <c r="AW141" s="745"/>
      <c r="AX141" s="745"/>
      <c r="AY141" s="745"/>
    </row>
    <row r="142" spans="1:51" s="897" customFormat="1" ht="22.5" customHeight="1" thickBot="1">
      <c r="A142" s="877" t="s">
        <v>2990</v>
      </c>
      <c r="B142" s="878">
        <v>1</v>
      </c>
      <c r="C142" s="879">
        <f>B142+D142+E142+F142+G142+H142+I142+J142+K142+L142+M142+N142+O142</f>
        <v>1</v>
      </c>
      <c r="D142" s="880"/>
      <c r="E142" s="880"/>
      <c r="F142" s="880"/>
      <c r="G142" s="880"/>
      <c r="H142" s="880"/>
      <c r="I142" s="880"/>
      <c r="J142" s="880"/>
      <c r="K142" s="880"/>
      <c r="L142" s="880"/>
      <c r="M142" s="880"/>
      <c r="N142" s="880"/>
      <c r="O142" s="880"/>
      <c r="P142" s="923" t="s">
        <v>2817</v>
      </c>
      <c r="Q142" s="882"/>
      <c r="R142" s="883" t="s">
        <v>2991</v>
      </c>
      <c r="S142" s="884" t="s">
        <v>2992</v>
      </c>
      <c r="T142" s="885" t="s">
        <v>89</v>
      </c>
      <c r="U142" s="886">
        <f>BK142/1100000</f>
        <v>0</v>
      </c>
      <c r="V142" s="887" t="s">
        <v>7</v>
      </c>
      <c r="W142" s="888" t="e">
        <f>U142*0.8-(#REF!+W143)</f>
        <v>#REF!</v>
      </c>
      <c r="X142" s="889" t="s">
        <v>90</v>
      </c>
      <c r="Y142" s="890" t="s">
        <v>34</v>
      </c>
      <c r="Z142" s="929" t="s">
        <v>177</v>
      </c>
      <c r="AA142" s="929"/>
      <c r="AB142" s="892" t="s">
        <v>89</v>
      </c>
      <c r="AC142" s="893">
        <f>1439000+6420000</f>
        <v>7859000</v>
      </c>
      <c r="AD142" s="894" t="s">
        <v>98</v>
      </c>
      <c r="AE142" s="895">
        <f>SUM(AF142:AS142)</f>
        <v>0</v>
      </c>
      <c r="AF142" s="896" t="s">
        <v>1104</v>
      </c>
      <c r="AG142" s="895"/>
      <c r="AH142" s="894" t="s">
        <v>1105</v>
      </c>
      <c r="AI142" s="895"/>
      <c r="AJ142" s="894" t="s">
        <v>2543</v>
      </c>
      <c r="AK142" s="895"/>
      <c r="AL142" s="894" t="s">
        <v>55</v>
      </c>
      <c r="AM142" s="895"/>
      <c r="AN142" s="894" t="s">
        <v>52</v>
      </c>
      <c r="AO142" s="895"/>
      <c r="AP142" s="894"/>
      <c r="AQ142" s="895"/>
      <c r="AR142" s="894"/>
      <c r="AS142" s="895"/>
    </row>
    <row r="143" spans="1:51" s="897" customFormat="1" ht="22.5" customHeight="1" thickBot="1">
      <c r="A143" s="898"/>
      <c r="B143" s="899"/>
      <c r="C143" s="900"/>
      <c r="D143" s="901"/>
      <c r="E143" s="901"/>
      <c r="F143" s="901"/>
      <c r="G143" s="901"/>
      <c r="H143" s="901"/>
      <c r="I143" s="901"/>
      <c r="J143" s="924"/>
      <c r="K143" s="924"/>
      <c r="L143" s="901"/>
      <c r="M143" s="901"/>
      <c r="N143" s="901"/>
      <c r="O143" s="901"/>
      <c r="P143" s="902"/>
      <c r="Q143" s="903"/>
      <c r="R143" s="904"/>
      <c r="S143" s="905" t="s">
        <v>67</v>
      </c>
      <c r="T143" s="906" t="s">
        <v>196</v>
      </c>
      <c r="U143" s="907" t="e">
        <f>U142-#REF!</f>
        <v>#REF!</v>
      </c>
      <c r="V143" s="908" t="s">
        <v>15</v>
      </c>
      <c r="W143" s="909" t="e">
        <f>(#REF!+BM143)/1100000</f>
        <v>#REF!</v>
      </c>
      <c r="X143" s="889"/>
      <c r="Y143" s="890"/>
      <c r="Z143" s="910"/>
      <c r="AA143" s="910"/>
      <c r="AB143" s="892" t="s">
        <v>196</v>
      </c>
      <c r="AC143" s="911" t="e">
        <f>AC142-#REF!</f>
        <v>#REF!</v>
      </c>
      <c r="AD143" s="894" t="s">
        <v>100</v>
      </c>
      <c r="AE143" s="895"/>
      <c r="AF143" s="912"/>
      <c r="AG143" s="913"/>
      <c r="AH143" s="912"/>
      <c r="AI143" s="913"/>
      <c r="AJ143" s="912"/>
      <c r="AK143" s="913"/>
      <c r="AL143" s="912"/>
      <c r="AM143" s="913"/>
      <c r="AN143" s="912"/>
      <c r="AO143" s="913"/>
      <c r="AP143" s="912"/>
      <c r="AQ143" s="913"/>
      <c r="AR143" s="912"/>
      <c r="AS143" s="913"/>
    </row>
    <row r="144" spans="1:51" s="741" customFormat="1" ht="22.5" customHeight="1" thickBot="1">
      <c r="A144" s="257" t="s">
        <v>2993</v>
      </c>
      <c r="B144" s="824"/>
      <c r="C144" s="825">
        <f>B144+D144+E144+F144+G144+H144+I144+J144+K144+L144+M144+N144+O144</f>
        <v>0.29700000000000004</v>
      </c>
      <c r="D144" s="826"/>
      <c r="E144" s="826"/>
      <c r="F144" s="826">
        <v>3.3000000000000002E-2</v>
      </c>
      <c r="G144" s="826">
        <v>3.3000000000000002E-2</v>
      </c>
      <c r="H144" s="826">
        <v>3.3000000000000002E-2</v>
      </c>
      <c r="I144" s="826">
        <v>3.3000000000000002E-2</v>
      </c>
      <c r="J144" s="826">
        <v>3.3000000000000002E-2</v>
      </c>
      <c r="K144" s="826">
        <v>3.3000000000000002E-2</v>
      </c>
      <c r="L144" s="826">
        <v>3.3000000000000002E-2</v>
      </c>
      <c r="M144" s="826">
        <v>3.3000000000000002E-2</v>
      </c>
      <c r="N144" s="826">
        <v>3.3000000000000002E-2</v>
      </c>
      <c r="O144" s="826"/>
      <c r="P144" s="838" t="s">
        <v>2593</v>
      </c>
      <c r="Q144" s="537" t="s">
        <v>2994</v>
      </c>
      <c r="R144" s="254" t="s">
        <v>2995</v>
      </c>
      <c r="S144" s="828" t="s">
        <v>2996</v>
      </c>
      <c r="T144" s="521" t="s">
        <v>89</v>
      </c>
      <c r="U144" s="522">
        <f>BK144/1100000</f>
        <v>0</v>
      </c>
      <c r="V144" s="523" t="s">
        <v>7</v>
      </c>
      <c r="W144" s="524" t="e">
        <f>U144*0.8-(#REF!+W145)</f>
        <v>#REF!</v>
      </c>
      <c r="X144" s="299" t="s">
        <v>90</v>
      </c>
      <c r="Y144" s="547" t="s">
        <v>34</v>
      </c>
      <c r="Z144" s="925" t="s">
        <v>1517</v>
      </c>
      <c r="AA144" s="925"/>
      <c r="AB144" s="735" t="s">
        <v>89</v>
      </c>
      <c r="AC144" s="794">
        <v>559350000</v>
      </c>
      <c r="AD144" s="749" t="s">
        <v>98</v>
      </c>
      <c r="AE144" s="738">
        <f>SUM(AF144:AS144)</f>
        <v>0</v>
      </c>
      <c r="AF144" s="830" t="s">
        <v>1104</v>
      </c>
      <c r="AG144" s="740"/>
      <c r="AH144" s="832" t="s">
        <v>1105</v>
      </c>
      <c r="AI144" s="740"/>
      <c r="AJ144" s="832" t="s">
        <v>2543</v>
      </c>
      <c r="AK144" s="740"/>
      <c r="AL144" s="832" t="s">
        <v>55</v>
      </c>
      <c r="AM144" s="740"/>
      <c r="AN144" s="832" t="s">
        <v>52</v>
      </c>
      <c r="AO144" s="740"/>
      <c r="AP144" s="832"/>
      <c r="AQ144" s="740"/>
      <c r="AR144" s="832"/>
      <c r="AS144" s="740"/>
    </row>
    <row r="145" spans="1:51" s="741" customFormat="1" ht="22.5" customHeight="1" thickBot="1">
      <c r="A145" s="258"/>
      <c r="B145" s="833"/>
      <c r="C145" s="834"/>
      <c r="D145" s="560"/>
      <c r="E145" s="560"/>
      <c r="F145" s="560" t="s">
        <v>2981</v>
      </c>
      <c r="G145" s="560" t="s">
        <v>2981</v>
      </c>
      <c r="H145" s="560" t="s">
        <v>2981</v>
      </c>
      <c r="I145" s="560" t="s">
        <v>2981</v>
      </c>
      <c r="J145" s="560" t="s">
        <v>2981</v>
      </c>
      <c r="K145" s="841" t="s">
        <v>2997</v>
      </c>
      <c r="L145" s="560" t="s">
        <v>2911</v>
      </c>
      <c r="M145" s="560" t="s">
        <v>2998</v>
      </c>
      <c r="N145" s="560" t="s">
        <v>2999</v>
      </c>
      <c r="O145" s="560"/>
      <c r="P145" s="870"/>
      <c r="Q145" s="531"/>
      <c r="R145" s="255"/>
      <c r="S145" s="843" t="s">
        <v>67</v>
      </c>
      <c r="T145" s="526" t="s">
        <v>196</v>
      </c>
      <c r="U145" s="527" t="e">
        <f>U144-#REF!</f>
        <v>#REF!</v>
      </c>
      <c r="V145" s="532" t="s">
        <v>15</v>
      </c>
      <c r="W145" s="529" t="e">
        <f>(#REF!+BM145)/1100000</f>
        <v>#REF!</v>
      </c>
      <c r="X145" s="89"/>
      <c r="Y145" s="73"/>
      <c r="Z145" s="837"/>
      <c r="AA145" s="837"/>
      <c r="AB145" s="735" t="s">
        <v>196</v>
      </c>
      <c r="AC145" s="744" t="e">
        <f>AC144-#REF!</f>
        <v>#REF!</v>
      </c>
      <c r="AD145" s="749" t="s">
        <v>100</v>
      </c>
      <c r="AE145" s="738"/>
      <c r="AF145" s="763"/>
      <c r="AG145" s="747"/>
      <c r="AH145" s="763"/>
      <c r="AI145" s="747"/>
      <c r="AJ145" s="763"/>
      <c r="AK145" s="747"/>
      <c r="AL145" s="763"/>
      <c r="AM145" s="747"/>
      <c r="AN145" s="763"/>
      <c r="AO145" s="747"/>
      <c r="AP145" s="763"/>
      <c r="AQ145" s="747"/>
      <c r="AR145" s="763"/>
      <c r="AS145" s="747"/>
      <c r="AT145" s="745"/>
      <c r="AU145" s="745"/>
      <c r="AV145" s="745"/>
      <c r="AW145" s="745"/>
      <c r="AX145" s="745"/>
      <c r="AY145" s="745"/>
    </row>
    <row r="146" spans="1:51" s="741" customFormat="1" ht="22.5" customHeight="1" thickBot="1">
      <c r="A146" s="257" t="s">
        <v>3000</v>
      </c>
      <c r="B146" s="824"/>
      <c r="C146" s="825">
        <f>B146+D146+E146+F146+G146+H146+I146+J146+K146+L146+M146+N146+O146</f>
        <v>8.5000000000000006E-2</v>
      </c>
      <c r="D146" s="826"/>
      <c r="E146" s="826"/>
      <c r="F146" s="826"/>
      <c r="G146" s="826"/>
      <c r="H146" s="826"/>
      <c r="I146" s="826"/>
      <c r="J146" s="826">
        <v>8.9999999999999993E-3</v>
      </c>
      <c r="K146" s="826">
        <v>1.9E-2</v>
      </c>
      <c r="L146" s="826">
        <v>1.9E-2</v>
      </c>
      <c r="M146" s="826">
        <v>1.9E-2</v>
      </c>
      <c r="N146" s="826">
        <v>1.9E-2</v>
      </c>
      <c r="O146" s="826"/>
      <c r="P146" s="838" t="s">
        <v>2593</v>
      </c>
      <c r="Q146" s="537" t="s">
        <v>3001</v>
      </c>
      <c r="R146" s="254" t="s">
        <v>3002</v>
      </c>
      <c r="S146" s="828" t="s">
        <v>2996</v>
      </c>
      <c r="T146" s="521" t="s">
        <v>89</v>
      </c>
      <c r="U146" s="522">
        <f>BK146/1100000</f>
        <v>0</v>
      </c>
      <c r="V146" s="523" t="s">
        <v>7</v>
      </c>
      <c r="W146" s="524" t="e">
        <f>U146*0.8-(#REF!+W147)</f>
        <v>#REF!</v>
      </c>
      <c r="X146" s="299" t="s">
        <v>90</v>
      </c>
      <c r="Y146" s="547" t="s">
        <v>34</v>
      </c>
      <c r="Z146" s="925" t="s">
        <v>3003</v>
      </c>
      <c r="AA146" s="925"/>
      <c r="AB146" s="735" t="s">
        <v>89</v>
      </c>
      <c r="AC146" s="794">
        <v>717100000</v>
      </c>
      <c r="AD146" s="749" t="s">
        <v>98</v>
      </c>
      <c r="AE146" s="738">
        <f>SUM(AF146:AS146)</f>
        <v>0</v>
      </c>
      <c r="AF146" s="931" t="s">
        <v>1104</v>
      </c>
      <c r="AG146" s="740"/>
      <c r="AH146" s="832" t="s">
        <v>1105</v>
      </c>
      <c r="AI146" s="740"/>
      <c r="AJ146" s="832" t="s">
        <v>2543</v>
      </c>
      <c r="AK146" s="740"/>
      <c r="AL146" s="832" t="s">
        <v>55</v>
      </c>
      <c r="AM146" s="740"/>
      <c r="AN146" s="832" t="s">
        <v>52</v>
      </c>
      <c r="AO146" s="740"/>
      <c r="AP146" s="832"/>
      <c r="AQ146" s="740"/>
      <c r="AR146" s="832"/>
      <c r="AS146" s="740"/>
    </row>
    <row r="147" spans="1:51" s="741" customFormat="1" ht="22.5" customHeight="1" thickBot="1">
      <c r="A147" s="258"/>
      <c r="B147" s="833"/>
      <c r="C147" s="834"/>
      <c r="D147" s="560"/>
      <c r="E147" s="560"/>
      <c r="F147" s="560"/>
      <c r="G147" s="560"/>
      <c r="H147" s="560"/>
      <c r="I147" s="560"/>
      <c r="J147" s="841" t="s">
        <v>2981</v>
      </c>
      <c r="K147" s="841" t="s">
        <v>3004</v>
      </c>
      <c r="L147" s="560" t="s">
        <v>3005</v>
      </c>
      <c r="M147" s="560" t="s">
        <v>3006</v>
      </c>
      <c r="N147" s="560" t="s">
        <v>3007</v>
      </c>
      <c r="O147" s="560"/>
      <c r="P147" s="870"/>
      <c r="Q147" s="531"/>
      <c r="R147" s="255"/>
      <c r="S147" s="843" t="s">
        <v>67</v>
      </c>
      <c r="T147" s="526" t="s">
        <v>196</v>
      </c>
      <c r="U147" s="527" t="e">
        <f>U146-#REF!</f>
        <v>#REF!</v>
      </c>
      <c r="V147" s="532" t="s">
        <v>15</v>
      </c>
      <c r="W147" s="529" t="e">
        <f>(#REF!+BM147)/1100000</f>
        <v>#REF!</v>
      </c>
      <c r="X147" s="89"/>
      <c r="Y147" s="73"/>
      <c r="Z147" s="837"/>
      <c r="AA147" s="837"/>
      <c r="AB147" s="735" t="s">
        <v>196</v>
      </c>
      <c r="AC147" s="744" t="e">
        <f>AC146-#REF!</f>
        <v>#REF!</v>
      </c>
      <c r="AD147" s="749" t="s">
        <v>100</v>
      </c>
      <c r="AE147" s="738"/>
      <c r="AF147" s="763"/>
      <c r="AG147" s="747"/>
      <c r="AH147" s="763"/>
      <c r="AI147" s="747"/>
      <c r="AJ147" s="763"/>
      <c r="AK147" s="747"/>
      <c r="AL147" s="763"/>
      <c r="AM147" s="747"/>
      <c r="AN147" s="763"/>
      <c r="AO147" s="747"/>
      <c r="AP147" s="763"/>
      <c r="AQ147" s="747"/>
      <c r="AR147" s="763"/>
      <c r="AS147" s="747"/>
      <c r="AT147" s="745"/>
      <c r="AU147" s="745"/>
      <c r="AV147" s="745"/>
      <c r="AW147" s="745"/>
      <c r="AX147" s="745"/>
      <c r="AY147" s="745"/>
    </row>
    <row r="148" spans="1:51" s="741" customFormat="1" ht="22.5" customHeight="1" thickBot="1">
      <c r="A148" s="257" t="s">
        <v>3008</v>
      </c>
      <c r="B148" s="824"/>
      <c r="C148" s="825">
        <f>B148+D148+E148+F148+G148+H148+I148+J148+K148+L148+M148+N148+O148</f>
        <v>0.17400000000000002</v>
      </c>
      <c r="D148" s="826"/>
      <c r="E148" s="826"/>
      <c r="F148" s="826"/>
      <c r="G148" s="826"/>
      <c r="H148" s="826"/>
      <c r="I148" s="826">
        <v>2.9000000000000001E-2</v>
      </c>
      <c r="J148" s="826">
        <v>2.9000000000000001E-2</v>
      </c>
      <c r="K148" s="826">
        <v>2.9000000000000001E-2</v>
      </c>
      <c r="L148" s="826">
        <v>2.9000000000000001E-2</v>
      </c>
      <c r="M148" s="826">
        <v>2.9000000000000001E-2</v>
      </c>
      <c r="N148" s="826">
        <v>2.9000000000000001E-2</v>
      </c>
      <c r="O148" s="826"/>
      <c r="P148" s="838" t="s">
        <v>3009</v>
      </c>
      <c r="Q148" s="537" t="s">
        <v>3010</v>
      </c>
      <c r="R148" s="254" t="s">
        <v>3011</v>
      </c>
      <c r="S148" s="828" t="s">
        <v>3012</v>
      </c>
      <c r="T148" s="521" t="s">
        <v>89</v>
      </c>
      <c r="U148" s="522">
        <f>BK148/1100000</f>
        <v>0</v>
      </c>
      <c r="V148" s="523" t="s">
        <v>7</v>
      </c>
      <c r="W148" s="524" t="e">
        <f>U148*0.8-(#REF!+W149)</f>
        <v>#REF!</v>
      </c>
      <c r="X148" s="299" t="s">
        <v>90</v>
      </c>
      <c r="Y148" s="547" t="s">
        <v>34</v>
      </c>
      <c r="Z148" s="925" t="s">
        <v>178</v>
      </c>
      <c r="AA148" s="925"/>
      <c r="AB148" s="735" t="s">
        <v>89</v>
      </c>
      <c r="AC148" s="794">
        <v>527250000</v>
      </c>
      <c r="AD148" s="749" t="s">
        <v>98</v>
      </c>
      <c r="AE148" s="738">
        <f>SUM(AF148:AS148)</f>
        <v>24805546</v>
      </c>
      <c r="AF148" s="830" t="s">
        <v>1104</v>
      </c>
      <c r="AG148" s="740"/>
      <c r="AH148" s="832" t="s">
        <v>1105</v>
      </c>
      <c r="AI148" s="740">
        <v>24805546</v>
      </c>
      <c r="AJ148" s="832" t="s">
        <v>2543</v>
      </c>
      <c r="AK148" s="740"/>
      <c r="AL148" s="832" t="s">
        <v>55</v>
      </c>
      <c r="AM148" s="740"/>
      <c r="AN148" s="832" t="s">
        <v>52</v>
      </c>
      <c r="AO148" s="740"/>
      <c r="AP148" s="832"/>
      <c r="AQ148" s="740"/>
      <c r="AR148" s="832"/>
      <c r="AS148" s="740"/>
    </row>
    <row r="149" spans="1:51" s="741" customFormat="1" ht="22.5" customHeight="1" thickBot="1">
      <c r="A149" s="258"/>
      <c r="B149" s="833"/>
      <c r="C149" s="834"/>
      <c r="D149" s="560"/>
      <c r="E149" s="560"/>
      <c r="F149" s="560"/>
      <c r="G149" s="560"/>
      <c r="H149" s="560" t="s">
        <v>3013</v>
      </c>
      <c r="I149" s="560" t="s">
        <v>3014</v>
      </c>
      <c r="J149" s="841" t="s">
        <v>3015</v>
      </c>
      <c r="K149" s="841" t="s">
        <v>3016</v>
      </c>
      <c r="L149" s="560" t="s">
        <v>3017</v>
      </c>
      <c r="M149" s="560" t="s">
        <v>3018</v>
      </c>
      <c r="N149" s="560" t="s">
        <v>3019</v>
      </c>
      <c r="O149" s="560"/>
      <c r="P149" s="870"/>
      <c r="Q149" s="531"/>
      <c r="R149" s="255"/>
      <c r="S149" s="843" t="s">
        <v>67</v>
      </c>
      <c r="T149" s="526" t="s">
        <v>196</v>
      </c>
      <c r="U149" s="527" t="e">
        <f>U148-#REF!</f>
        <v>#REF!</v>
      </c>
      <c r="V149" s="532" t="s">
        <v>15</v>
      </c>
      <c r="W149" s="529" t="e">
        <f>(#REF!+BM149)/1100000</f>
        <v>#REF!</v>
      </c>
      <c r="X149" s="89"/>
      <c r="Y149" s="73"/>
      <c r="Z149" s="837"/>
      <c r="AA149" s="837"/>
      <c r="AB149" s="735" t="s">
        <v>196</v>
      </c>
      <c r="AC149" s="744" t="e">
        <f>AC148-#REF!</f>
        <v>#REF!</v>
      </c>
      <c r="AD149" s="749" t="s">
        <v>100</v>
      </c>
      <c r="AE149" s="738"/>
      <c r="AF149" s="763"/>
      <c r="AG149" s="747"/>
      <c r="AH149" s="763"/>
      <c r="AI149" s="747"/>
      <c r="AJ149" s="763"/>
      <c r="AK149" s="747"/>
      <c r="AL149" s="763"/>
      <c r="AM149" s="747"/>
      <c r="AN149" s="763"/>
      <c r="AO149" s="747"/>
      <c r="AP149" s="763"/>
      <c r="AQ149" s="747"/>
      <c r="AR149" s="763"/>
      <c r="AS149" s="747"/>
      <c r="AT149" s="745"/>
      <c r="AU149" s="745"/>
      <c r="AV149" s="745"/>
      <c r="AW149" s="745"/>
      <c r="AX149" s="745"/>
      <c r="AY149" s="745"/>
    </row>
    <row r="150" spans="1:51" s="741" customFormat="1" ht="22.5" customHeight="1" thickBot="1">
      <c r="A150" s="257" t="s">
        <v>3020</v>
      </c>
      <c r="B150" s="824"/>
      <c r="C150" s="825">
        <f>B150+D150+E150+F150+G150+H150+I150+J150+K150+L150+M150+N150+O150</f>
        <v>0.22000000000000003</v>
      </c>
      <c r="D150" s="826"/>
      <c r="E150" s="826"/>
      <c r="F150" s="826"/>
      <c r="G150" s="826"/>
      <c r="H150" s="826"/>
      <c r="I150" s="826">
        <v>0.02</v>
      </c>
      <c r="J150" s="826">
        <v>0.04</v>
      </c>
      <c r="K150" s="826">
        <v>0.04</v>
      </c>
      <c r="L150" s="826">
        <v>0.04</v>
      </c>
      <c r="M150" s="826">
        <v>0.04</v>
      </c>
      <c r="N150" s="826">
        <v>0.04</v>
      </c>
      <c r="O150" s="826"/>
      <c r="P150" s="838" t="s">
        <v>2593</v>
      </c>
      <c r="Q150" s="537" t="s">
        <v>3021</v>
      </c>
      <c r="R150" s="254" t="s">
        <v>3022</v>
      </c>
      <c r="S150" s="828" t="s">
        <v>3023</v>
      </c>
      <c r="T150" s="521" t="s">
        <v>89</v>
      </c>
      <c r="U150" s="522">
        <f>BK150/1100000</f>
        <v>0</v>
      </c>
      <c r="V150" s="523" t="s">
        <v>7</v>
      </c>
      <c r="W150" s="524" t="e">
        <f>U150*0.8-(#REF!+W151)</f>
        <v>#REF!</v>
      </c>
      <c r="X150" s="299" t="s">
        <v>90</v>
      </c>
      <c r="Y150" s="547" t="s">
        <v>34</v>
      </c>
      <c r="Z150" s="925" t="s">
        <v>1788</v>
      </c>
      <c r="AA150" s="925"/>
      <c r="AB150" s="735" t="s">
        <v>89</v>
      </c>
      <c r="AC150" s="794">
        <v>571388000</v>
      </c>
      <c r="AD150" s="749" t="s">
        <v>98</v>
      </c>
      <c r="AE150" s="738">
        <f>SUM(AF150:AS150)</f>
        <v>0</v>
      </c>
      <c r="AF150" s="830" t="s">
        <v>1104</v>
      </c>
      <c r="AG150" s="740"/>
      <c r="AH150" s="832" t="s">
        <v>1105</v>
      </c>
      <c r="AI150" s="740"/>
      <c r="AJ150" s="832" t="s">
        <v>2543</v>
      </c>
      <c r="AK150" s="740"/>
      <c r="AL150" s="832" t="s">
        <v>55</v>
      </c>
      <c r="AM150" s="740"/>
      <c r="AN150" s="832" t="s">
        <v>52</v>
      </c>
      <c r="AO150" s="740"/>
      <c r="AP150" s="832"/>
      <c r="AQ150" s="740"/>
      <c r="AR150" s="832"/>
      <c r="AS150" s="740"/>
    </row>
    <row r="151" spans="1:51" s="741" customFormat="1" ht="22.5" customHeight="1" thickBot="1">
      <c r="A151" s="258"/>
      <c r="B151" s="833"/>
      <c r="C151" s="834"/>
      <c r="D151" s="560"/>
      <c r="E151" s="560"/>
      <c r="F151" s="560"/>
      <c r="G151" s="560"/>
      <c r="H151" s="560"/>
      <c r="I151" s="560" t="s">
        <v>3024</v>
      </c>
      <c r="J151" s="841" t="s">
        <v>3025</v>
      </c>
      <c r="K151" s="841" t="s">
        <v>3026</v>
      </c>
      <c r="L151" s="560" t="s">
        <v>3027</v>
      </c>
      <c r="M151" s="560" t="s">
        <v>3028</v>
      </c>
      <c r="N151" s="560" t="s">
        <v>3029</v>
      </c>
      <c r="O151" s="560"/>
      <c r="P151" s="870"/>
      <c r="Q151" s="531"/>
      <c r="R151" s="255"/>
      <c r="S151" s="843" t="s">
        <v>67</v>
      </c>
      <c r="T151" s="526" t="s">
        <v>196</v>
      </c>
      <c r="U151" s="527" t="e">
        <f>U150-#REF!</f>
        <v>#REF!</v>
      </c>
      <c r="V151" s="532" t="s">
        <v>15</v>
      </c>
      <c r="W151" s="529" t="e">
        <f>(#REF!+BM151)/1100000</f>
        <v>#REF!</v>
      </c>
      <c r="X151" s="89"/>
      <c r="Y151" s="73"/>
      <c r="Z151" s="837"/>
      <c r="AA151" s="837"/>
      <c r="AB151" s="735" t="s">
        <v>196</v>
      </c>
      <c r="AC151" s="744" t="e">
        <f>AC150-#REF!</f>
        <v>#REF!</v>
      </c>
      <c r="AD151" s="749" t="s">
        <v>100</v>
      </c>
      <c r="AE151" s="738"/>
      <c r="AF151" s="763"/>
      <c r="AG151" s="747"/>
      <c r="AH151" s="763"/>
      <c r="AI151" s="747"/>
      <c r="AJ151" s="763"/>
      <c r="AK151" s="747"/>
      <c r="AL151" s="763"/>
      <c r="AM151" s="747"/>
      <c r="AN151" s="763"/>
      <c r="AO151" s="747"/>
      <c r="AP151" s="763"/>
      <c r="AQ151" s="747"/>
      <c r="AR151" s="763"/>
      <c r="AS151" s="747"/>
      <c r="AT151" s="745"/>
      <c r="AU151" s="745"/>
      <c r="AV151" s="745"/>
      <c r="AW151" s="745"/>
      <c r="AX151" s="745"/>
      <c r="AY151" s="745"/>
    </row>
    <row r="152" spans="1:51" s="741" customFormat="1" ht="22.5" customHeight="1" thickBot="1">
      <c r="A152" s="257" t="s">
        <v>3030</v>
      </c>
      <c r="B152" s="824"/>
      <c r="C152" s="825">
        <f>B152+D152+E152+F152+G152+H152+I152+J152+K152+L152+M152+N152+O152</f>
        <v>2.1999999999999999E-2</v>
      </c>
      <c r="D152" s="826"/>
      <c r="E152" s="826"/>
      <c r="F152" s="826"/>
      <c r="G152" s="826"/>
      <c r="H152" s="826"/>
      <c r="I152" s="826"/>
      <c r="J152" s="826"/>
      <c r="K152" s="826"/>
      <c r="L152" s="826">
        <v>4.0000000000000001E-3</v>
      </c>
      <c r="M152" s="826">
        <v>4.0000000000000001E-3</v>
      </c>
      <c r="N152" s="826">
        <v>1.4E-2</v>
      </c>
      <c r="O152" s="826"/>
      <c r="P152" s="838" t="s">
        <v>3031</v>
      </c>
      <c r="Q152" s="537" t="s">
        <v>3032</v>
      </c>
      <c r="R152" s="254" t="s">
        <v>3033</v>
      </c>
      <c r="S152" s="828" t="s">
        <v>3034</v>
      </c>
      <c r="T152" s="521" t="s">
        <v>89</v>
      </c>
      <c r="U152" s="522">
        <f>BK152/1100000</f>
        <v>0</v>
      </c>
      <c r="V152" s="523" t="s">
        <v>7</v>
      </c>
      <c r="W152" s="524" t="e">
        <f>U152*0.8-(#REF!+W153)</f>
        <v>#REF!</v>
      </c>
      <c r="X152" s="299" t="s">
        <v>90</v>
      </c>
      <c r="Y152" s="547" t="s">
        <v>34</v>
      </c>
      <c r="Z152" s="925" t="s">
        <v>3035</v>
      </c>
      <c r="AA152" s="925"/>
      <c r="AB152" s="735" t="s">
        <v>89</v>
      </c>
      <c r="AC152" s="794">
        <v>559284000</v>
      </c>
      <c r="AD152" s="749" t="s">
        <v>98</v>
      </c>
      <c r="AE152" s="738">
        <f>SUM(AF152:AS152)</f>
        <v>0</v>
      </c>
      <c r="AF152" s="931" t="s">
        <v>1104</v>
      </c>
      <c r="AG152" s="740"/>
      <c r="AH152" s="832" t="s">
        <v>1105</v>
      </c>
      <c r="AI152" s="740"/>
      <c r="AJ152" s="832" t="s">
        <v>2543</v>
      </c>
      <c r="AK152" s="740"/>
      <c r="AL152" s="832" t="s">
        <v>55</v>
      </c>
      <c r="AM152" s="740"/>
      <c r="AN152" s="832" t="s">
        <v>52</v>
      </c>
      <c r="AO152" s="740"/>
      <c r="AP152" s="832"/>
      <c r="AQ152" s="740"/>
      <c r="AR152" s="832"/>
      <c r="AS152" s="740"/>
    </row>
    <row r="153" spans="1:51" s="741" customFormat="1" ht="22.5" customHeight="1" thickBot="1">
      <c r="A153" s="258"/>
      <c r="B153" s="833"/>
      <c r="C153" s="834"/>
      <c r="D153" s="560"/>
      <c r="E153" s="560"/>
      <c r="F153" s="560"/>
      <c r="G153" s="560"/>
      <c r="H153" s="560"/>
      <c r="I153" s="560"/>
      <c r="J153" s="841"/>
      <c r="K153" s="841"/>
      <c r="L153" s="560" t="s">
        <v>3005</v>
      </c>
      <c r="M153" s="560" t="s">
        <v>2911</v>
      </c>
      <c r="N153" s="560" t="s">
        <v>3036</v>
      </c>
      <c r="O153" s="560"/>
      <c r="P153" s="870"/>
      <c r="Q153" s="531"/>
      <c r="R153" s="255"/>
      <c r="S153" s="843" t="s">
        <v>67</v>
      </c>
      <c r="T153" s="526" t="s">
        <v>196</v>
      </c>
      <c r="U153" s="527" t="e">
        <f>U152-#REF!</f>
        <v>#REF!</v>
      </c>
      <c r="V153" s="532" t="s">
        <v>15</v>
      </c>
      <c r="W153" s="529" t="e">
        <f>(#REF!+BM153)/1100000</f>
        <v>#REF!</v>
      </c>
      <c r="X153" s="89"/>
      <c r="Y153" s="73"/>
      <c r="Z153" s="837"/>
      <c r="AA153" s="837"/>
      <c r="AB153" s="735" t="s">
        <v>196</v>
      </c>
      <c r="AC153" s="744" t="e">
        <f>AC152-#REF!</f>
        <v>#REF!</v>
      </c>
      <c r="AD153" s="749" t="s">
        <v>100</v>
      </c>
      <c r="AE153" s="738"/>
      <c r="AF153" s="763"/>
      <c r="AG153" s="747"/>
      <c r="AH153" s="763"/>
      <c r="AI153" s="747"/>
      <c r="AJ153" s="763"/>
      <c r="AK153" s="747"/>
      <c r="AL153" s="763"/>
      <c r="AM153" s="747"/>
      <c r="AN153" s="763"/>
      <c r="AO153" s="747"/>
      <c r="AP153" s="763"/>
      <c r="AQ153" s="747"/>
      <c r="AR153" s="763"/>
      <c r="AS153" s="747"/>
      <c r="AT153" s="745"/>
      <c r="AU153" s="745"/>
      <c r="AV153" s="745"/>
      <c r="AW153" s="745"/>
      <c r="AX153" s="745"/>
      <c r="AY153" s="745"/>
    </row>
    <row r="154" spans="1:51" s="741" customFormat="1" ht="22.5" customHeight="1" thickBot="1">
      <c r="A154" s="257" t="s">
        <v>3037</v>
      </c>
      <c r="B154" s="824"/>
      <c r="C154" s="825">
        <f>B154+D154+E154+F154+G154+H154+I154+J154+K154+L154+M154+N154+O154</f>
        <v>0.75</v>
      </c>
      <c r="D154" s="826"/>
      <c r="E154" s="826"/>
      <c r="F154" s="826"/>
      <c r="G154" s="826"/>
      <c r="H154" s="826"/>
      <c r="I154" s="826"/>
      <c r="J154" s="826"/>
      <c r="K154" s="826"/>
      <c r="L154" s="826">
        <v>0.25</v>
      </c>
      <c r="M154" s="826">
        <v>0.25</v>
      </c>
      <c r="N154" s="826">
        <v>0.25</v>
      </c>
      <c r="O154" s="826"/>
      <c r="P154" s="838" t="s">
        <v>3038</v>
      </c>
      <c r="Q154" s="537" t="s">
        <v>1302</v>
      </c>
      <c r="R154" s="254" t="s">
        <v>3039</v>
      </c>
      <c r="S154" s="828" t="s">
        <v>3040</v>
      </c>
      <c r="T154" s="521" t="s">
        <v>89</v>
      </c>
      <c r="U154" s="522">
        <f>BK154/1100000</f>
        <v>0</v>
      </c>
      <c r="V154" s="523" t="s">
        <v>7</v>
      </c>
      <c r="W154" s="932" t="e">
        <f>U154*0.8-(#REF!+W155)</f>
        <v>#REF!</v>
      </c>
      <c r="X154" s="299" t="s">
        <v>90</v>
      </c>
      <c r="Y154" s="547" t="s">
        <v>34</v>
      </c>
      <c r="Z154" s="925" t="s">
        <v>3041</v>
      </c>
      <c r="AA154" s="925"/>
      <c r="AB154" s="735" t="s">
        <v>89</v>
      </c>
      <c r="AC154" s="794">
        <v>20400000</v>
      </c>
      <c r="AD154" s="749" t="s">
        <v>98</v>
      </c>
      <c r="AE154" s="738">
        <f>SUM(AF154:AS154)</f>
        <v>14872234</v>
      </c>
      <c r="AF154" s="830" t="s">
        <v>1104</v>
      </c>
      <c r="AG154" s="740">
        <v>7436117</v>
      </c>
      <c r="AH154" s="832" t="s">
        <v>1105</v>
      </c>
      <c r="AI154" s="740">
        <v>7436117</v>
      </c>
      <c r="AJ154" s="832" t="s">
        <v>2543</v>
      </c>
      <c r="AK154" s="740"/>
      <c r="AL154" s="832" t="s">
        <v>55</v>
      </c>
      <c r="AM154" s="740"/>
      <c r="AN154" s="832" t="s">
        <v>52</v>
      </c>
      <c r="AO154" s="740"/>
      <c r="AP154" s="832"/>
      <c r="AQ154" s="740"/>
      <c r="AR154" s="832"/>
      <c r="AS154" s="740"/>
    </row>
    <row r="155" spans="1:51" s="741" customFormat="1" ht="22.5" customHeight="1" thickBot="1">
      <c r="A155" s="258"/>
      <c r="B155" s="833"/>
      <c r="C155" s="834"/>
      <c r="D155" s="560"/>
      <c r="E155" s="560"/>
      <c r="F155" s="560"/>
      <c r="G155" s="560"/>
      <c r="H155" s="560"/>
      <c r="I155" s="560"/>
      <c r="J155" s="841"/>
      <c r="K155" s="841"/>
      <c r="L155" s="560"/>
      <c r="M155" s="560"/>
      <c r="N155" s="560"/>
      <c r="O155" s="560"/>
      <c r="P155" s="870"/>
      <c r="Q155" s="531"/>
      <c r="R155" s="255"/>
      <c r="S155" s="843" t="s">
        <v>67</v>
      </c>
      <c r="T155" s="526" t="s">
        <v>196</v>
      </c>
      <c r="U155" s="527" t="e">
        <f>U154-#REF!</f>
        <v>#REF!</v>
      </c>
      <c r="V155" s="532" t="s">
        <v>15</v>
      </c>
      <c r="W155" s="529" t="e">
        <f>(#REF!+BM155)/1100000</f>
        <v>#REF!</v>
      </c>
      <c r="X155" s="89"/>
      <c r="Y155" s="73"/>
      <c r="Z155" s="837"/>
      <c r="AA155" s="837"/>
      <c r="AB155" s="735" t="s">
        <v>196</v>
      </c>
      <c r="AC155" s="744" t="e">
        <f>AC154-#REF!</f>
        <v>#REF!</v>
      </c>
      <c r="AD155" s="749" t="s">
        <v>100</v>
      </c>
      <c r="AE155" s="738"/>
      <c r="AF155" s="763"/>
      <c r="AG155" s="747"/>
      <c r="AH155" s="763"/>
      <c r="AI155" s="747"/>
      <c r="AJ155" s="763"/>
      <c r="AK155" s="747"/>
      <c r="AL155" s="763"/>
      <c r="AM155" s="747"/>
      <c r="AN155" s="763"/>
      <c r="AO155" s="747"/>
      <c r="AP155" s="763"/>
      <c r="AQ155" s="747"/>
      <c r="AR155" s="763"/>
      <c r="AS155" s="747"/>
      <c r="AT155" s="745"/>
      <c r="AU155" s="745"/>
      <c r="AV155" s="745"/>
      <c r="AW155" s="745"/>
      <c r="AX155" s="745"/>
      <c r="AY155" s="745"/>
    </row>
    <row r="156" spans="1:51" s="741" customFormat="1" ht="22.5" customHeight="1" thickBot="1">
      <c r="A156" s="257" t="s">
        <v>3042</v>
      </c>
      <c r="B156" s="824"/>
      <c r="C156" s="825">
        <f>B156+D156+E156+F156+G156+H156+I156+J156+K156+L156+M156+N156+O156</f>
        <v>0</v>
      </c>
      <c r="D156" s="826"/>
      <c r="E156" s="826"/>
      <c r="F156" s="826"/>
      <c r="G156" s="826"/>
      <c r="H156" s="826"/>
      <c r="I156" s="826"/>
      <c r="J156" s="826"/>
      <c r="K156" s="826"/>
      <c r="L156" s="826"/>
      <c r="M156" s="826"/>
      <c r="N156" s="826"/>
      <c r="O156" s="826"/>
      <c r="P156" s="838" t="s">
        <v>3043</v>
      </c>
      <c r="Q156" s="537" t="s">
        <v>3044</v>
      </c>
      <c r="R156" s="254" t="s">
        <v>3045</v>
      </c>
      <c r="S156" s="828" t="s">
        <v>3046</v>
      </c>
      <c r="T156" s="521" t="s">
        <v>89</v>
      </c>
      <c r="U156" s="522">
        <f>BK156/1100000</f>
        <v>0</v>
      </c>
      <c r="V156" s="523" t="s">
        <v>7</v>
      </c>
      <c r="W156" s="524" t="e">
        <f>U156*0.8-(#REF!+W157)</f>
        <v>#REF!</v>
      </c>
      <c r="X156" s="299" t="s">
        <v>90</v>
      </c>
      <c r="Y156" s="547" t="s">
        <v>34</v>
      </c>
      <c r="Z156" s="925" t="s">
        <v>3035</v>
      </c>
      <c r="AA156" s="925"/>
      <c r="AB156" s="735" t="s">
        <v>89</v>
      </c>
      <c r="AC156" s="794">
        <v>419340000</v>
      </c>
      <c r="AD156" s="749" t="s">
        <v>98</v>
      </c>
      <c r="AE156" s="738">
        <f>SUM(AF156:AS156)</f>
        <v>0</v>
      </c>
      <c r="AF156" s="830" t="s">
        <v>1104</v>
      </c>
      <c r="AG156" s="740"/>
      <c r="AH156" s="832" t="s">
        <v>1105</v>
      </c>
      <c r="AI156" s="740"/>
      <c r="AJ156" s="832" t="s">
        <v>2543</v>
      </c>
      <c r="AK156" s="740"/>
      <c r="AL156" s="832" t="s">
        <v>55</v>
      </c>
      <c r="AM156" s="740"/>
      <c r="AN156" s="832" t="s">
        <v>52</v>
      </c>
      <c r="AO156" s="740"/>
      <c r="AP156" s="832"/>
      <c r="AQ156" s="740"/>
      <c r="AR156" s="832"/>
      <c r="AS156" s="740"/>
    </row>
    <row r="157" spans="1:51" s="741" customFormat="1" ht="22.5" customHeight="1" thickBot="1">
      <c r="A157" s="258"/>
      <c r="B157" s="833"/>
      <c r="C157" s="834"/>
      <c r="D157" s="560"/>
      <c r="E157" s="560"/>
      <c r="F157" s="560"/>
      <c r="G157" s="560"/>
      <c r="H157" s="560"/>
      <c r="I157" s="560"/>
      <c r="J157" s="841"/>
      <c r="K157" s="841"/>
      <c r="L157" s="560"/>
      <c r="M157" s="560"/>
      <c r="N157" s="560"/>
      <c r="O157" s="560"/>
      <c r="P157" s="870"/>
      <c r="Q157" s="531"/>
      <c r="R157" s="255"/>
      <c r="S157" s="843" t="s">
        <v>3047</v>
      </c>
      <c r="T157" s="526" t="s">
        <v>196</v>
      </c>
      <c r="U157" s="527" t="e">
        <f>U156-#REF!</f>
        <v>#REF!</v>
      </c>
      <c r="V157" s="532" t="s">
        <v>15</v>
      </c>
      <c r="W157" s="529" t="e">
        <f>(#REF!+BM157)/1100000</f>
        <v>#REF!</v>
      </c>
      <c r="X157" s="89"/>
      <c r="Y157" s="73"/>
      <c r="Z157" s="837"/>
      <c r="AA157" s="837"/>
      <c r="AB157" s="735" t="s">
        <v>196</v>
      </c>
      <c r="AC157" s="744" t="e">
        <f>AC156-#REF!</f>
        <v>#REF!</v>
      </c>
      <c r="AD157" s="749" t="s">
        <v>100</v>
      </c>
      <c r="AE157" s="738"/>
      <c r="AF157" s="763"/>
      <c r="AG157" s="747"/>
      <c r="AH157" s="763"/>
      <c r="AI157" s="747"/>
      <c r="AJ157" s="763"/>
      <c r="AK157" s="747"/>
      <c r="AL157" s="763"/>
      <c r="AM157" s="747"/>
      <c r="AN157" s="763"/>
      <c r="AO157" s="747"/>
      <c r="AP157" s="763"/>
      <c r="AQ157" s="747"/>
      <c r="AR157" s="763"/>
      <c r="AS157" s="747"/>
      <c r="AT157" s="745"/>
      <c r="AU157" s="745"/>
      <c r="AV157" s="745"/>
      <c r="AW157" s="745"/>
      <c r="AX157" s="745"/>
      <c r="AY157" s="745"/>
    </row>
    <row r="158" spans="1:51" s="897" customFormat="1" ht="22.5" customHeight="1" thickBot="1">
      <c r="A158" s="877" t="s">
        <v>3048</v>
      </c>
      <c r="B158" s="878"/>
      <c r="C158" s="879">
        <f>B158+D158+E158+F158+G158+H158+I158+J158+K158+L158+M158+N158+O158</f>
        <v>0.125</v>
      </c>
      <c r="D158" s="880"/>
      <c r="E158" s="880"/>
      <c r="F158" s="880"/>
      <c r="G158" s="880"/>
      <c r="H158" s="880"/>
      <c r="I158" s="880"/>
      <c r="J158" s="880"/>
      <c r="K158" s="880"/>
      <c r="L158" s="880"/>
      <c r="M158" s="880"/>
      <c r="N158" s="880">
        <v>0.125</v>
      </c>
      <c r="O158" s="880"/>
      <c r="P158" s="914" t="s">
        <v>3049</v>
      </c>
      <c r="Q158" s="537" t="s">
        <v>3050</v>
      </c>
      <c r="R158" s="883" t="s">
        <v>3051</v>
      </c>
      <c r="S158" s="884" t="s">
        <v>3052</v>
      </c>
      <c r="T158" s="885" t="s">
        <v>89</v>
      </c>
      <c r="U158" s="886">
        <f>BK158/1100000</f>
        <v>0</v>
      </c>
      <c r="V158" s="887" t="s">
        <v>7</v>
      </c>
      <c r="W158" s="888" t="e">
        <f>U158*0.8-(#REF!+W159)</f>
        <v>#REF!</v>
      </c>
      <c r="X158" s="889" t="s">
        <v>90</v>
      </c>
      <c r="Y158" s="890" t="s">
        <v>34</v>
      </c>
      <c r="Z158" s="929" t="s">
        <v>178</v>
      </c>
      <c r="AA158" s="929"/>
      <c r="AB158" s="892" t="s">
        <v>89</v>
      </c>
      <c r="AC158" s="893">
        <v>88000000</v>
      </c>
      <c r="AD158" s="894" t="s">
        <v>98</v>
      </c>
      <c r="AE158" s="895">
        <f>SUM(AF158:AS158)</f>
        <v>0</v>
      </c>
      <c r="AF158" s="896" t="s">
        <v>1104</v>
      </c>
      <c r="AG158" s="895"/>
      <c r="AH158" s="894" t="s">
        <v>1105</v>
      </c>
      <c r="AI158" s="895"/>
      <c r="AJ158" s="894" t="s">
        <v>2543</v>
      </c>
      <c r="AK158" s="895"/>
      <c r="AL158" s="894" t="s">
        <v>55</v>
      </c>
      <c r="AM158" s="895"/>
      <c r="AN158" s="894" t="s">
        <v>52</v>
      </c>
      <c r="AO158" s="895"/>
      <c r="AP158" s="894"/>
      <c r="AQ158" s="895"/>
      <c r="AR158" s="894"/>
      <c r="AS158" s="895"/>
    </row>
    <row r="159" spans="1:51" s="897" customFormat="1" ht="22.5" customHeight="1" thickBot="1">
      <c r="A159" s="898"/>
      <c r="B159" s="899"/>
      <c r="C159" s="900"/>
      <c r="D159" s="901"/>
      <c r="E159" s="901"/>
      <c r="F159" s="901"/>
      <c r="G159" s="901"/>
      <c r="H159" s="901"/>
      <c r="I159" s="901"/>
      <c r="J159" s="924"/>
      <c r="K159" s="924"/>
      <c r="L159" s="901"/>
      <c r="M159" s="901"/>
      <c r="N159" s="901" t="s">
        <v>3053</v>
      </c>
      <c r="O159" s="901"/>
      <c r="P159" s="902"/>
      <c r="Q159" s="531"/>
      <c r="R159" s="904"/>
      <c r="S159" s="905" t="s">
        <v>67</v>
      </c>
      <c r="T159" s="906" t="s">
        <v>196</v>
      </c>
      <c r="U159" s="907" t="e">
        <f>U158-#REF!</f>
        <v>#REF!</v>
      </c>
      <c r="V159" s="908" t="s">
        <v>15</v>
      </c>
      <c r="W159" s="909" t="e">
        <f>(#REF!+BM159)/1100000</f>
        <v>#REF!</v>
      </c>
      <c r="X159" s="889"/>
      <c r="Y159" s="890"/>
      <c r="Z159" s="910"/>
      <c r="AA159" s="910"/>
      <c r="AB159" s="892" t="s">
        <v>196</v>
      </c>
      <c r="AC159" s="911" t="e">
        <f>AC158-#REF!</f>
        <v>#REF!</v>
      </c>
      <c r="AD159" s="894" t="s">
        <v>100</v>
      </c>
      <c r="AE159" s="895"/>
      <c r="AF159" s="912"/>
      <c r="AG159" s="913"/>
      <c r="AH159" s="912"/>
      <c r="AI159" s="913"/>
      <c r="AJ159" s="912"/>
      <c r="AK159" s="913"/>
      <c r="AL159" s="912"/>
      <c r="AM159" s="913"/>
      <c r="AN159" s="912"/>
      <c r="AO159" s="913"/>
      <c r="AP159" s="912"/>
      <c r="AQ159" s="913"/>
      <c r="AR159" s="912"/>
      <c r="AS159" s="913"/>
    </row>
    <row r="160" spans="1:51" s="897" customFormat="1" ht="22.5" customHeight="1" thickBot="1">
      <c r="A160" s="877" t="s">
        <v>3054</v>
      </c>
      <c r="B160" s="878"/>
      <c r="C160" s="879">
        <f>B160+D160+E160+F160+G160+H160+I160+J160+K160+L160+M160+N160+O160</f>
        <v>0.125</v>
      </c>
      <c r="D160" s="880"/>
      <c r="E160" s="880"/>
      <c r="F160" s="880"/>
      <c r="G160" s="880"/>
      <c r="H160" s="880"/>
      <c r="I160" s="880"/>
      <c r="J160" s="880"/>
      <c r="K160" s="880"/>
      <c r="L160" s="880"/>
      <c r="M160" s="880"/>
      <c r="N160" s="880">
        <v>0.125</v>
      </c>
      <c r="O160" s="880"/>
      <c r="P160" s="914" t="s">
        <v>3049</v>
      </c>
      <c r="Q160" s="537" t="s">
        <v>3050</v>
      </c>
      <c r="R160" s="883" t="s">
        <v>3055</v>
      </c>
      <c r="S160" s="884" t="s">
        <v>3052</v>
      </c>
      <c r="T160" s="885" t="s">
        <v>89</v>
      </c>
      <c r="U160" s="886">
        <f>BK160/1100000</f>
        <v>0</v>
      </c>
      <c r="V160" s="887" t="s">
        <v>7</v>
      </c>
      <c r="W160" s="888" t="e">
        <f>U160*0.8-(#REF!+W161)</f>
        <v>#REF!</v>
      </c>
      <c r="X160" s="889" t="s">
        <v>90</v>
      </c>
      <c r="Y160" s="890" t="s">
        <v>34</v>
      </c>
      <c r="Z160" s="929" t="s">
        <v>178</v>
      </c>
      <c r="AA160" s="929"/>
      <c r="AB160" s="892" t="s">
        <v>89</v>
      </c>
      <c r="AC160" s="893">
        <v>88000000</v>
      </c>
      <c r="AD160" s="894" t="s">
        <v>98</v>
      </c>
      <c r="AE160" s="895">
        <f>SUM(AF160:AS160)</f>
        <v>0</v>
      </c>
      <c r="AF160" s="896" t="s">
        <v>1104</v>
      </c>
      <c r="AG160" s="895"/>
      <c r="AH160" s="894" t="s">
        <v>1105</v>
      </c>
      <c r="AI160" s="895"/>
      <c r="AJ160" s="894" t="s">
        <v>2543</v>
      </c>
      <c r="AK160" s="895"/>
      <c r="AL160" s="894" t="s">
        <v>55</v>
      </c>
      <c r="AM160" s="895"/>
      <c r="AN160" s="894" t="s">
        <v>52</v>
      </c>
      <c r="AO160" s="895"/>
      <c r="AP160" s="894"/>
      <c r="AQ160" s="895"/>
      <c r="AR160" s="894"/>
      <c r="AS160" s="895"/>
    </row>
    <row r="161" spans="1:51" s="897" customFormat="1" ht="22.5" customHeight="1">
      <c r="A161" s="898"/>
      <c r="B161" s="899"/>
      <c r="C161" s="900"/>
      <c r="D161" s="901"/>
      <c r="E161" s="901"/>
      <c r="F161" s="901"/>
      <c r="G161" s="901"/>
      <c r="H161" s="901"/>
      <c r="I161" s="901"/>
      <c r="J161" s="924"/>
      <c r="K161" s="924"/>
      <c r="L161" s="901"/>
      <c r="M161" s="901"/>
      <c r="N161" s="901" t="s">
        <v>3053</v>
      </c>
      <c r="O161" s="901"/>
      <c r="P161" s="902"/>
      <c r="Q161" s="531"/>
      <c r="R161" s="904"/>
      <c r="S161" s="905" t="s">
        <v>67</v>
      </c>
      <c r="T161" s="906" t="s">
        <v>196</v>
      </c>
      <c r="U161" s="907" t="e">
        <f>U160-#REF!</f>
        <v>#REF!</v>
      </c>
      <c r="V161" s="908" t="s">
        <v>15</v>
      </c>
      <c r="W161" s="909" t="e">
        <f>(#REF!+BM161)/1100000</f>
        <v>#REF!</v>
      </c>
      <c r="X161" s="889"/>
      <c r="Y161" s="890"/>
      <c r="Z161" s="910"/>
      <c r="AA161" s="910"/>
      <c r="AB161" s="892" t="s">
        <v>196</v>
      </c>
      <c r="AC161" s="911" t="e">
        <f>AC160-#REF!</f>
        <v>#REF!</v>
      </c>
      <c r="AD161" s="894" t="s">
        <v>100</v>
      </c>
      <c r="AE161" s="895"/>
      <c r="AF161" s="912"/>
      <c r="AG161" s="913"/>
      <c r="AH161" s="912"/>
      <c r="AI161" s="913"/>
      <c r="AJ161" s="912"/>
      <c r="AK161" s="913"/>
      <c r="AL161" s="912"/>
      <c r="AM161" s="913"/>
      <c r="AN161" s="912"/>
      <c r="AO161" s="913"/>
      <c r="AP161" s="912"/>
      <c r="AQ161" s="913"/>
      <c r="AR161" s="912"/>
      <c r="AS161" s="913"/>
    </row>
    <row r="162" spans="1:51" s="741" customFormat="1" ht="22.5" hidden="1" customHeight="1">
      <c r="A162" s="241" t="e">
        <f>A160+1</f>
        <v>#VALUE!</v>
      </c>
      <c r="B162" s="824"/>
      <c r="C162" s="825">
        <f>B162+D162+E162+F162+G162+H162+I162+J162+K162+L162+M162+N162+O162</f>
        <v>0</v>
      </c>
      <c r="D162" s="826"/>
      <c r="E162" s="826"/>
      <c r="F162" s="826"/>
      <c r="G162" s="826"/>
      <c r="H162" s="826"/>
      <c r="I162" s="826"/>
      <c r="J162" s="826"/>
      <c r="K162" s="826"/>
      <c r="L162" s="826"/>
      <c r="M162" s="826"/>
      <c r="N162" s="826"/>
      <c r="O162" s="826"/>
      <c r="P162" s="838"/>
      <c r="Q162" s="537"/>
      <c r="R162" s="254"/>
      <c r="S162" s="828"/>
      <c r="T162" s="521" t="s">
        <v>814</v>
      </c>
      <c r="U162" s="522">
        <f t="shared" ref="U162:U163" si="147">BK162/1100000</f>
        <v>0</v>
      </c>
      <c r="V162" s="523" t="s">
        <v>832</v>
      </c>
      <c r="W162" s="524">
        <f t="shared" ref="W162" si="148">U162*0.8-(W163+W164)</f>
        <v>0</v>
      </c>
      <c r="X162" s="299" t="s">
        <v>812</v>
      </c>
      <c r="Y162" s="547" t="s">
        <v>813</v>
      </c>
      <c r="Z162" s="925" t="s">
        <v>3056</v>
      </c>
      <c r="AA162" s="925"/>
      <c r="AB162" s="735" t="s">
        <v>814</v>
      </c>
      <c r="AC162" s="794"/>
      <c r="AD162" s="749" t="s">
        <v>35</v>
      </c>
      <c r="AE162" s="738">
        <f>SUM(AF162:AS162)</f>
        <v>0</v>
      </c>
      <c r="AF162" s="830" t="s">
        <v>1078</v>
      </c>
      <c r="AG162" s="740"/>
      <c r="AH162" s="832" t="s">
        <v>1079</v>
      </c>
      <c r="AI162" s="740"/>
      <c r="AJ162" s="832" t="s">
        <v>2512</v>
      </c>
      <c r="AK162" s="740"/>
      <c r="AL162" s="832" t="s">
        <v>796</v>
      </c>
      <c r="AM162" s="740"/>
      <c r="AN162" s="832" t="s">
        <v>1081</v>
      </c>
      <c r="AO162" s="740"/>
      <c r="AP162" s="832"/>
      <c r="AQ162" s="740"/>
      <c r="AR162" s="832"/>
      <c r="AS162" s="740"/>
    </row>
    <row r="163" spans="1:51" s="741" customFormat="1" ht="22.5" hidden="1" customHeight="1" thickBot="1">
      <c r="A163" s="242"/>
      <c r="B163" s="833"/>
      <c r="C163" s="834"/>
      <c r="D163" s="530" t="e">
        <f>#REF!*D162</f>
        <v>#REF!</v>
      </c>
      <c r="E163" s="530" t="e">
        <f>#REF!*E162</f>
        <v>#REF!</v>
      </c>
      <c r="F163" s="530" t="e">
        <f>#REF!*F162</f>
        <v>#REF!</v>
      </c>
      <c r="G163" s="530" t="e">
        <f>#REF!*G162</f>
        <v>#REF!</v>
      </c>
      <c r="H163" s="530"/>
      <c r="I163" s="530" t="e">
        <f>#REF!*I162</f>
        <v>#REF!</v>
      </c>
      <c r="J163" s="530" t="e">
        <f>#REF!*J162</f>
        <v>#REF!</v>
      </c>
      <c r="K163" s="530" t="e">
        <f>#REF!*K162</f>
        <v>#REF!</v>
      </c>
      <c r="L163" s="530" t="e">
        <f>#REF!*L162</f>
        <v>#REF!</v>
      </c>
      <c r="M163" s="530" t="e">
        <f>#REF!*M162</f>
        <v>#REF!</v>
      </c>
      <c r="N163" s="530" t="e">
        <f>#REF!*N162</f>
        <v>#REF!</v>
      </c>
      <c r="O163" s="530" t="e">
        <f>#REF!*O162</f>
        <v>#REF!</v>
      </c>
      <c r="P163" s="917"/>
      <c r="Q163" s="531"/>
      <c r="R163" s="255"/>
      <c r="S163" s="840"/>
      <c r="T163" s="526" t="s">
        <v>798</v>
      </c>
      <c r="U163" s="527">
        <f t="shared" si="147"/>
        <v>0</v>
      </c>
      <c r="V163" s="528" t="s">
        <v>799</v>
      </c>
      <c r="W163" s="529">
        <f t="shared" ref="W163" si="149">BM162/1000000</f>
        <v>0</v>
      </c>
      <c r="X163" s="548" t="e">
        <f>(C162-B162)*#REF!</f>
        <v>#REF!</v>
      </c>
      <c r="Y163" s="743" t="e">
        <f>(1-C162)*#REF!</f>
        <v>#REF!</v>
      </c>
      <c r="Z163" s="837"/>
      <c r="AA163" s="837"/>
      <c r="AB163" s="735" t="s">
        <v>798</v>
      </c>
      <c r="AC163" s="794">
        <v>0</v>
      </c>
      <c r="AD163" s="749" t="s">
        <v>801</v>
      </c>
      <c r="AE163" s="738">
        <f>SUM(AF163:AS163)</f>
        <v>0</v>
      </c>
      <c r="AF163" s="830" t="s">
        <v>815</v>
      </c>
      <c r="AG163" s="740"/>
      <c r="AH163" s="832" t="s">
        <v>890</v>
      </c>
      <c r="AI163" s="740"/>
      <c r="AJ163" s="832" t="s">
        <v>1089</v>
      </c>
      <c r="AK163" s="740"/>
      <c r="AL163" s="832" t="s">
        <v>1090</v>
      </c>
      <c r="AM163" s="740"/>
      <c r="AN163" s="832" t="s">
        <v>1080</v>
      </c>
      <c r="AO163" s="740"/>
      <c r="AP163" s="832"/>
      <c r="AQ163" s="740"/>
      <c r="AR163" s="832"/>
      <c r="AS163" s="740"/>
      <c r="AT163" s="745"/>
      <c r="AU163" s="745"/>
      <c r="AV163" s="745"/>
      <c r="AW163" s="745"/>
      <c r="AX163" s="745"/>
      <c r="AY163" s="745"/>
    </row>
    <row r="164" spans="1:51" s="741" customFormat="1" ht="22.5" hidden="1" customHeight="1">
      <c r="A164" s="242"/>
      <c r="B164" s="833"/>
      <c r="C164" s="834"/>
      <c r="D164" s="560"/>
      <c r="E164" s="560"/>
      <c r="F164" s="560"/>
      <c r="G164" s="560"/>
      <c r="H164" s="560"/>
      <c r="I164" s="560"/>
      <c r="J164" s="841"/>
      <c r="K164" s="841"/>
      <c r="L164" s="560"/>
      <c r="M164" s="560"/>
      <c r="N164" s="560"/>
      <c r="O164" s="560"/>
      <c r="P164" s="870"/>
      <c r="Q164" s="531"/>
      <c r="R164" s="255"/>
      <c r="S164" s="843" t="s">
        <v>816</v>
      </c>
      <c r="T164" s="526" t="s">
        <v>817</v>
      </c>
      <c r="U164" s="527">
        <f t="shared" ref="U164" si="150">U162-U163</f>
        <v>0</v>
      </c>
      <c r="V164" s="532" t="s">
        <v>818</v>
      </c>
      <c r="W164" s="529">
        <f t="shared" ref="W164" si="151">(BM163+BM164)/1100000</f>
        <v>0</v>
      </c>
      <c r="X164" s="89"/>
      <c r="Y164" s="73"/>
      <c r="Z164" s="837"/>
      <c r="AA164" s="837"/>
      <c r="AB164" s="735" t="s">
        <v>817</v>
      </c>
      <c r="AC164" s="744">
        <f>AC162-AC163</f>
        <v>0</v>
      </c>
      <c r="AD164" s="749" t="s">
        <v>824</v>
      </c>
      <c r="AE164" s="738"/>
      <c r="AF164" s="763"/>
      <c r="AG164" s="747"/>
      <c r="AH164" s="763"/>
      <c r="AI164" s="747"/>
      <c r="AJ164" s="763"/>
      <c r="AK164" s="747"/>
      <c r="AL164" s="763"/>
      <c r="AM164" s="747"/>
      <c r="AN164" s="763"/>
      <c r="AO164" s="747"/>
      <c r="AP164" s="763"/>
      <c r="AQ164" s="747"/>
      <c r="AR164" s="763"/>
      <c r="AS164" s="747"/>
      <c r="AT164" s="745"/>
      <c r="AU164" s="745"/>
      <c r="AV164" s="745"/>
      <c r="AW164" s="745"/>
      <c r="AX164" s="745"/>
      <c r="AY164" s="745"/>
    </row>
    <row r="165" spans="1:51" s="741" customFormat="1" ht="22.5" hidden="1" customHeight="1" thickBot="1">
      <c r="A165" s="243"/>
      <c r="B165" s="844"/>
      <c r="C165" s="845"/>
      <c r="D165" s="562"/>
      <c r="E165" s="562"/>
      <c r="F165" s="562"/>
      <c r="G165" s="562"/>
      <c r="H165" s="562"/>
      <c r="I165" s="562"/>
      <c r="J165" s="846"/>
      <c r="K165" s="846"/>
      <c r="L165" s="562"/>
      <c r="M165" s="562"/>
      <c r="N165" s="562"/>
      <c r="O165" s="562"/>
      <c r="P165" s="592" t="e">
        <f>IF(#REF!=0,"",(C162-#REF!)*#REF!)</f>
        <v>#REF!</v>
      </c>
      <c r="Q165" s="534"/>
      <c r="R165" s="70"/>
      <c r="S165" s="847" t="s">
        <v>2531</v>
      </c>
      <c r="T165" s="535" t="s">
        <v>826</v>
      </c>
      <c r="U165" s="536" t="str">
        <f>IF(U162=0,"",ROUNDDOWN((U163/U162),3))</f>
        <v/>
      </c>
      <c r="V165" s="535" t="s">
        <v>827</v>
      </c>
      <c r="W165" s="536" t="str">
        <f>IF(U162=0,"",(U162-(W163+W164)/0.7)/U162)</f>
        <v/>
      </c>
      <c r="X165" s="549"/>
      <c r="Y165" s="550"/>
      <c r="Z165" s="848"/>
      <c r="AA165" s="848"/>
      <c r="AB165" s="735"/>
      <c r="AC165" s="748" t="e">
        <f>AC163/AC162</f>
        <v>#DIV/0!</v>
      </c>
      <c r="AD165" s="764" t="s">
        <v>828</v>
      </c>
      <c r="AE165" s="750">
        <f>SUM(AE162:AE164)</f>
        <v>0</v>
      </c>
      <c r="AF165" s="763"/>
      <c r="AG165" s="747"/>
      <c r="AH165" s="763"/>
      <c r="AI165" s="747"/>
      <c r="AJ165" s="763"/>
      <c r="AK165" s="747"/>
      <c r="AL165" s="763"/>
      <c r="AM165" s="747"/>
      <c r="AN165" s="763"/>
      <c r="AO165" s="747"/>
      <c r="AP165" s="763"/>
      <c r="AQ165" s="747"/>
      <c r="AR165" s="763"/>
      <c r="AS165" s="747"/>
    </row>
    <row r="166" spans="1:51" ht="19.5" customHeight="1"/>
    <row r="167" spans="1:51" ht="30.75" customHeight="1">
      <c r="R167" s="933"/>
    </row>
    <row r="170" spans="1:51" ht="30.75" customHeight="1">
      <c r="P170" s="934"/>
    </row>
    <row r="171" spans="1:51" ht="30.75" customHeight="1">
      <c r="S171" s="935"/>
    </row>
  </sheetData>
  <sheetProtection selectLockedCells="1" selectUnlockedCells="1"/>
  <phoneticPr fontId="2" type="noConversion"/>
  <printOptions horizontalCentered="1"/>
  <pageMargins left="0.15748031496062992" right="0.15748031496062992" top="0.47244094488188981" bottom="0.39370078740157483" header="0.31496062992125984" footer="0.31496062992125984"/>
  <pageSetup paperSize="9" orientation="landscape" r:id="rId1"/>
  <rowBreaks count="7" manualBreakCount="7">
    <brk id="45" max="34" man="1"/>
    <brk id="71" max="34" man="1"/>
    <brk id="101" max="34" man="1"/>
    <brk id="127" max="34" man="1"/>
    <brk id="137" max="34" man="1"/>
    <brk id="147" max="34" man="1"/>
    <brk id="157"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22</vt:i4>
      </vt:variant>
      <vt:variant>
        <vt:lpstr>이름 지정된 범위</vt:lpstr>
      </vt:variant>
      <vt:variant>
        <vt:i4>36</vt:i4>
      </vt:variant>
    </vt:vector>
  </HeadingPairs>
  <TitlesOfParts>
    <vt:vector size="58" baseType="lpstr">
      <vt:lpstr>수행과업</vt:lpstr>
      <vt:lpstr>부서협조</vt:lpstr>
      <vt:lpstr>외주관리</vt:lpstr>
      <vt:lpstr>수행과업 (토목)</vt:lpstr>
      <vt:lpstr>부서협조 (토목)</vt:lpstr>
      <vt:lpstr>수행과업(도시)</vt:lpstr>
      <vt:lpstr>부서협조 (도시)</vt:lpstr>
      <vt:lpstr>외주관리 (도시)</vt:lpstr>
      <vt:lpstr>수행과업(교통)</vt:lpstr>
      <vt:lpstr>부서협조(교통)</vt:lpstr>
      <vt:lpstr>외주관리(교통)</vt:lpstr>
      <vt:lpstr>수행과업 (환경)</vt:lpstr>
      <vt:lpstr>부서협조 (환경)</vt:lpstr>
      <vt:lpstr>수행과업 (상하)</vt:lpstr>
      <vt:lpstr>외주관리 (상하)</vt:lpstr>
      <vt:lpstr>수행과업 (수자)</vt:lpstr>
      <vt:lpstr>부서협조 (수자)</vt:lpstr>
      <vt:lpstr>외주관리 (수자)</vt:lpstr>
      <vt:lpstr>수행과업 (단지)</vt:lpstr>
      <vt:lpstr>부서협조 (단지)</vt:lpstr>
      <vt:lpstr>외주관리 (단지)</vt:lpstr>
      <vt:lpstr>수행과업(감리)</vt:lpstr>
      <vt:lpstr>부서협조!Print_Area</vt:lpstr>
      <vt:lpstr>'부서협조 (단지)'!Print_Area</vt:lpstr>
      <vt:lpstr>'부서협조 (도시)'!Print_Area</vt:lpstr>
      <vt:lpstr>'부서협조 (수자)'!Print_Area</vt:lpstr>
      <vt:lpstr>'부서협조 (토목)'!Print_Area</vt:lpstr>
      <vt:lpstr>'부서협조 (환경)'!Print_Area</vt:lpstr>
      <vt:lpstr>'부서협조(교통)'!Print_Area</vt:lpstr>
      <vt:lpstr>수행과업!Print_Area</vt:lpstr>
      <vt:lpstr>'수행과업 (단지)'!Print_Area</vt:lpstr>
      <vt:lpstr>'수행과업 (상하)'!Print_Area</vt:lpstr>
      <vt:lpstr>'수행과업 (수자)'!Print_Area</vt:lpstr>
      <vt:lpstr>'수행과업 (토목)'!Print_Area</vt:lpstr>
      <vt:lpstr>'수행과업 (환경)'!Print_Area</vt:lpstr>
      <vt:lpstr>'수행과업(감리)'!Print_Area</vt:lpstr>
      <vt:lpstr>'수행과업(교통)'!Print_Area</vt:lpstr>
      <vt:lpstr>'수행과업(도시)'!Print_Area</vt:lpstr>
      <vt:lpstr>외주관리!Print_Area</vt:lpstr>
      <vt:lpstr>'외주관리 (단지)'!Print_Area</vt:lpstr>
      <vt:lpstr>'외주관리 (도시)'!Print_Area</vt:lpstr>
      <vt:lpstr>'외주관리 (상하)'!Print_Area</vt:lpstr>
      <vt:lpstr>'외주관리 (수자)'!Print_Area</vt:lpstr>
      <vt:lpstr>'외주관리(교통)'!Print_Area</vt:lpstr>
      <vt:lpstr>부서협조!Print_Titles</vt:lpstr>
      <vt:lpstr>'부서협조 (단지)'!Print_Titles</vt:lpstr>
      <vt:lpstr>'부서협조 (수자)'!Print_Titles</vt:lpstr>
      <vt:lpstr>'부서협조 (환경)'!Print_Titles</vt:lpstr>
      <vt:lpstr>수행과업!Print_Titles</vt:lpstr>
      <vt:lpstr>'수행과업 (단지)'!Print_Titles</vt:lpstr>
      <vt:lpstr>'수행과업 (상하)'!Print_Titles</vt:lpstr>
      <vt:lpstr>'수행과업 (수자)'!Print_Titles</vt:lpstr>
      <vt:lpstr>'수행과업 (토목)'!Print_Titles</vt:lpstr>
      <vt:lpstr>'수행과업 (환경)'!Print_Titles</vt:lpstr>
      <vt:lpstr>'수행과업(감리)'!Print_Titles</vt:lpstr>
      <vt:lpstr>'수행과업(도시)'!Print_Titles</vt:lpstr>
      <vt:lpstr>외주관리!Print_Titles</vt:lpstr>
      <vt:lpstr>'외주관리 (수자)'!Print_Titles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ch677</dc:creator>
  <cp:lastModifiedBy>chi hyung an</cp:lastModifiedBy>
  <cp:lastPrinted>2021-12-09T06:06:59Z</cp:lastPrinted>
  <dcterms:created xsi:type="dcterms:W3CDTF">2019-07-11T08:22:01Z</dcterms:created>
  <dcterms:modified xsi:type="dcterms:W3CDTF">2021-12-22T02:56:55Z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Z:\05_행정서류\토목1부 주간&amp;월간업무보고\2020\01.월간업무보고\도토구 월간공정보고(6월).xlsx</vt:lpwstr>
  </property>
</Properties>
</file>