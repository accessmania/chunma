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_이전pc\천마기술단\"/>
    </mc:Choice>
  </mc:AlternateContent>
  <xr:revisionPtr revIDLastSave="0" documentId="13_ncr:1_{59C8AB5E-7F82-45F2-AED8-8C12D7FB01F1}" xr6:coauthVersionLast="47" xr6:coauthVersionMax="47" xr10:uidLastSave="{00000000-0000-0000-0000-000000000000}"/>
  <bookViews>
    <workbookView xWindow="1515" yWindow="1035" windowWidth="23925" windowHeight="13260" activeTab="2" xr2:uid="{00000000-000D-0000-FFFF-FFFF00000000}"/>
  </bookViews>
  <sheets>
    <sheet name="총괄" sheetId="9" r:id="rId1"/>
    <sheet name="수행과업" sheetId="4" r:id="rId2"/>
    <sheet name="부서협조" sheetId="5" r:id="rId3"/>
    <sheet name="일괄외주" sheetId="6" r:id="rId4"/>
  </sheets>
  <definedNames>
    <definedName name="_xlnm.Print_Area" localSheetId="2">부서협조!$A$1:$AI$12</definedName>
    <definedName name="_xlnm.Print_Area" localSheetId="1">수행과업!$A$1:$AI$12</definedName>
    <definedName name="_xlnm.Print_Area" localSheetId="3">일괄외주!$A$1:$AI$12</definedName>
    <definedName name="_xlnm.Print_Area" localSheetId="0">총괄!$A$1:$J$13</definedName>
    <definedName name="_xlnm.Print_Titles" localSheetId="1">수행과업!$2:$3</definedName>
    <definedName name="_xlnm.Print_Titles" localSheetId="3">일괄외주!$1:$3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G12" i="4"/>
  <c r="E12" i="4"/>
  <c r="AG5" i="5"/>
  <c r="AE5" i="5"/>
  <c r="AC5" i="5"/>
  <c r="AA5" i="5"/>
  <c r="U5" i="5"/>
  <c r="S5" i="5"/>
  <c r="Q5" i="5"/>
  <c r="O5" i="5"/>
  <c r="M5" i="5"/>
  <c r="K5" i="5"/>
  <c r="U5" i="4" l="1"/>
  <c r="U9" i="4"/>
  <c r="AC5" i="4"/>
  <c r="M5" i="4"/>
  <c r="AA5" i="4"/>
  <c r="S5" i="4"/>
  <c r="K5" i="4"/>
  <c r="AE5" i="4"/>
  <c r="O5" i="4"/>
  <c r="AG5" i="4"/>
  <c r="Q5" i="4"/>
  <c r="AC9" i="5" l="1"/>
  <c r="Q9" i="5"/>
  <c r="AE9" i="5"/>
  <c r="O9" i="5"/>
  <c r="AA9" i="5"/>
  <c r="U9" i="5"/>
  <c r="M9" i="5"/>
  <c r="AG9" i="5"/>
  <c r="K9" i="5"/>
  <c r="S9" i="5"/>
  <c r="O9" i="4"/>
  <c r="K9" i="4"/>
  <c r="S9" i="4"/>
  <c r="AC9" i="4"/>
  <c r="M9" i="4"/>
  <c r="Q9" i="4"/>
  <c r="AA9" i="4"/>
  <c r="AE9" i="4"/>
  <c r="AG9" i="4"/>
</calcChain>
</file>

<file path=xl/sharedStrings.xml><?xml version="1.0" encoding="utf-8"?>
<sst xmlns="http://schemas.openxmlformats.org/spreadsheetml/2006/main" count="280" uniqueCount="89">
  <si>
    <t>순서</t>
    <phoneticPr fontId="2" type="noConversion"/>
  </si>
  <si>
    <t>사 업 명 [발주처]</t>
    <phoneticPr fontId="2" type="noConversion"/>
  </si>
  <si>
    <t>과업기간</t>
    <phoneticPr fontId="2" type="noConversion"/>
  </si>
  <si>
    <t>금 액 현 황</t>
    <phoneticPr fontId="2" type="noConversion"/>
  </si>
  <si>
    <t>발주처/
담당자</t>
    <phoneticPr fontId="2" type="noConversion"/>
  </si>
  <si>
    <t>계약</t>
    <phoneticPr fontId="2" type="noConversion"/>
  </si>
  <si>
    <t>수행</t>
    <phoneticPr fontId="2" type="noConversion"/>
  </si>
  <si>
    <t>부서협조</t>
    <phoneticPr fontId="2" type="noConversion"/>
  </si>
  <si>
    <t>기타</t>
    <phoneticPr fontId="2" type="noConversion"/>
  </si>
  <si>
    <t>수금</t>
    <phoneticPr fontId="2" type="noConversion"/>
  </si>
  <si>
    <t>협조</t>
    <phoneticPr fontId="2" type="noConversion"/>
  </si>
  <si>
    <t>잔액</t>
    <phoneticPr fontId="2" type="noConversion"/>
  </si>
  <si>
    <t>외주 등</t>
    <phoneticPr fontId="2" type="noConversion"/>
  </si>
  <si>
    <t>진행
공정</t>
    <phoneticPr fontId="2" type="noConversion"/>
  </si>
  <si>
    <t>0 0 검토
0 0 산출</t>
    <phoneticPr fontId="2" type="noConversion"/>
  </si>
  <si>
    <t>수금율</t>
    <phoneticPr fontId="2" type="noConversion"/>
  </si>
  <si>
    <t>수행율</t>
    <phoneticPr fontId="2" type="noConversion"/>
  </si>
  <si>
    <t>주요보고사항</t>
    <phoneticPr fontId="2" type="noConversion"/>
  </si>
  <si>
    <t>환산</t>
    <phoneticPr fontId="2" type="noConversion"/>
  </si>
  <si>
    <t>1. 수행업무</t>
    <phoneticPr fontId="2" type="noConversion"/>
  </si>
  <si>
    <t>(단위: 백만원)</t>
    <phoneticPr fontId="2" type="noConversion"/>
  </si>
  <si>
    <t>수행금액</t>
    <phoneticPr fontId="2" type="noConversion"/>
  </si>
  <si>
    <t>9월 기성</t>
    <phoneticPr fontId="2" type="noConversion"/>
  </si>
  <si>
    <t>10월 기성</t>
    <phoneticPr fontId="2" type="noConversion"/>
  </si>
  <si>
    <t>11월 기성</t>
    <phoneticPr fontId="2" type="noConversion"/>
  </si>
  <si>
    <t>12월 기성</t>
    <phoneticPr fontId="2" type="noConversion"/>
  </si>
  <si>
    <t>잔여:</t>
    <phoneticPr fontId="2" type="noConversion"/>
  </si>
  <si>
    <t>전년
공정</t>
    <phoneticPr fontId="2" type="noConversion"/>
  </si>
  <si>
    <t>당해
공정</t>
    <phoneticPr fontId="2" type="noConversion"/>
  </si>
  <si>
    <t>공정</t>
    <phoneticPr fontId="2" type="noConversion"/>
  </si>
  <si>
    <t>1월 공정</t>
    <phoneticPr fontId="2" type="noConversion"/>
  </si>
  <si>
    <t>2월 공정</t>
    <phoneticPr fontId="2" type="noConversion"/>
  </si>
  <si>
    <t>3월 공정</t>
    <phoneticPr fontId="2" type="noConversion"/>
  </si>
  <si>
    <t>4월 공정</t>
    <phoneticPr fontId="2" type="noConversion"/>
  </si>
  <si>
    <t>5월 공정</t>
    <phoneticPr fontId="2" type="noConversion"/>
  </si>
  <si>
    <t>6월 공정</t>
    <phoneticPr fontId="2" type="noConversion"/>
  </si>
  <si>
    <t>7월 공정</t>
    <phoneticPr fontId="2" type="noConversion"/>
  </si>
  <si>
    <t>8월 공정</t>
    <phoneticPr fontId="2" type="noConversion"/>
  </si>
  <si>
    <t>2. 부서협조</t>
    <phoneticPr fontId="2" type="noConversion"/>
  </si>
  <si>
    <t>사 업 명 [주관부서]</t>
    <phoneticPr fontId="2" type="noConversion"/>
  </si>
  <si>
    <t>담당자</t>
    <phoneticPr fontId="2" type="noConversion"/>
  </si>
  <si>
    <t>협조금액</t>
    <phoneticPr fontId="2" type="noConversion"/>
  </si>
  <si>
    <t>외주</t>
    <phoneticPr fontId="2" type="noConversion"/>
  </si>
  <si>
    <t>3. 외주관리</t>
    <phoneticPr fontId="2" type="noConversion"/>
  </si>
  <si>
    <t>금액현황</t>
    <phoneticPr fontId="2" type="noConversion"/>
  </si>
  <si>
    <t>외주금액</t>
    <phoneticPr fontId="2" type="noConversion"/>
  </si>
  <si>
    <t>주요사항/처리업체</t>
    <phoneticPr fontId="2" type="noConversion"/>
  </si>
  <si>
    <t>-</t>
    <phoneticPr fontId="2" type="noConversion"/>
  </si>
  <si>
    <t>재심의조치계획</t>
    <phoneticPr fontId="2" type="noConversion"/>
  </si>
  <si>
    <t>1. 공 정 실 적 보 고</t>
    <phoneticPr fontId="2" type="noConversion"/>
  </si>
  <si>
    <t>구 부</t>
    <phoneticPr fontId="2" type="noConversion"/>
  </si>
  <si>
    <t>건수
(인원)</t>
    <phoneticPr fontId="2" type="noConversion"/>
  </si>
  <si>
    <r>
      <t xml:space="preserve">계약 금액
</t>
    </r>
    <r>
      <rPr>
        <sz val="8"/>
        <color theme="1"/>
        <rFont val="HY신명조"/>
        <family val="1"/>
        <charset val="129"/>
      </rPr>
      <t>(V A T 제외)</t>
    </r>
    <phoneticPr fontId="2" type="noConversion"/>
  </si>
  <si>
    <t>수행 금액</t>
    <phoneticPr fontId="2" type="noConversion"/>
  </si>
  <si>
    <t>당해년도
공정합계</t>
    <phoneticPr fontId="2" type="noConversion"/>
  </si>
  <si>
    <t>공정 잔액</t>
    <phoneticPr fontId="2" type="noConversion"/>
  </si>
  <si>
    <t>공정-수금
차액</t>
    <phoneticPr fontId="2" type="noConversion"/>
  </si>
  <si>
    <t>비 고</t>
    <phoneticPr fontId="2" type="noConversion"/>
  </si>
  <si>
    <t>계</t>
    <phoneticPr fontId="2" type="noConversion"/>
  </si>
  <si>
    <t>수행업무</t>
    <phoneticPr fontId="2" type="noConversion"/>
  </si>
  <si>
    <t>일괄외주</t>
    <phoneticPr fontId="2" type="noConversion"/>
  </si>
  <si>
    <t>기술지원 등
(  명 제외)</t>
    <phoneticPr fontId="2" type="noConversion"/>
  </si>
  <si>
    <t>인당</t>
    <phoneticPr fontId="2" type="noConversion"/>
  </si>
  <si>
    <t>월 간  공 정  보 고 ( 토 목 부 )</t>
    <phoneticPr fontId="2" type="noConversion"/>
  </si>
  <si>
    <r>
      <t xml:space="preserve">주요보고사항
</t>
    </r>
    <r>
      <rPr>
        <sz val="10"/>
        <color theme="1"/>
        <rFont val="HY신명조"/>
        <family val="1"/>
        <charset val="129"/>
      </rPr>
      <t>(공정-수금 차액)</t>
    </r>
  </si>
  <si>
    <t>계</t>
  </si>
  <si>
    <t>계약</t>
  </si>
  <si>
    <t>수행</t>
  </si>
  <si>
    <t>환산</t>
  </si>
  <si>
    <t>수금</t>
  </si>
  <si>
    <t>협조</t>
  </si>
  <si>
    <t>잔액</t>
  </si>
  <si>
    <t>외주 등</t>
  </si>
  <si>
    <t>수금율</t>
  </si>
  <si>
    <t>수행율</t>
  </si>
  <si>
    <t>외주</t>
  </si>
  <si>
    <t>공정</t>
  </si>
  <si>
    <t>지급</t>
  </si>
  <si>
    <t>진행
공정</t>
  </si>
  <si>
    <t>외주
율</t>
  </si>
  <si>
    <t>월 간 보 고 총 괄 ( 토목부 )</t>
    <phoneticPr fontId="2" type="noConversion"/>
  </si>
  <si>
    <t>외주</t>
    <phoneticPr fontId="2" type="noConversion"/>
  </si>
  <si>
    <t>기타</t>
    <phoneticPr fontId="2" type="noConversion"/>
  </si>
  <si>
    <t>(7월)공정
환산금액</t>
    <phoneticPr fontId="2" type="noConversion"/>
  </si>
  <si>
    <t>(8월)공정
환산금액</t>
    <phoneticPr fontId="2" type="noConversion"/>
  </si>
  <si>
    <t>2. 참 여 인 원</t>
    <phoneticPr fontId="2" type="noConversion"/>
  </si>
  <si>
    <t>작성자</t>
    <phoneticPr fontId="2" type="noConversion"/>
  </si>
  <si>
    <t>용역명</t>
    <phoneticPr fontId="2" type="noConversion"/>
  </si>
  <si>
    <t>업무시간합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</si>
</sst>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,##0_ "/>
    <numFmt numFmtId="177" formatCode="_-* #,##0.0_-;\-* #,##0.0_-;_-* &quot;-&quot;_-;_-@_-"/>
    <numFmt numFmtId="178" formatCode="_-* #,##0.0_-;\-* #,##0.0_-;_-* &quot;-&quot;??_-;_-@_-"/>
    <numFmt numFmtId="179" formatCode="0.0%"/>
    <numFmt numFmtId="180" formatCode="_ * #,##0_ ;_ * \-#,##0_ ;_ * &quot;-&quot;_ ;_ @_ "/>
    <numFmt numFmtId="181" formatCode="_ * #,##0.00_ ;_ * \-#,##0.00_ ;_ * &quot;-&quot;??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&quot;₩&quot;#,##0;[Red]&quot;₩&quot;&quot;₩&quot;\-#,##0"/>
    <numFmt numFmtId="185" formatCode="&quot;₩&quot;#,##0.00;[Red]&quot;₩&quot;&quot;₩&quot;&quot;₩&quot;&quot;₩&quot;&quot;₩&quot;&quot;₩&quot;\-#,##0.00"/>
    <numFmt numFmtId="186" formatCode="#,##0.0_ "/>
    <numFmt numFmtId="187" formatCode="#,##0.0_ ;[Red]\-#,##0.0\ "/>
    <numFmt numFmtId="188" formatCode="0.0_);[Red]\(0.0\)"/>
    <numFmt numFmtId="189" formatCode="0.0_ "/>
    <numFmt numFmtId="190" formatCode="#,##0_ &quot;인&quot;"/>
    <numFmt numFmtId="191" formatCode="&quot;계약대비: &quot;0.0%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6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b/>
      <sz val="22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8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0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6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5" fillId="0" borderId="0"/>
    <xf numFmtId="0" fontId="8" fillId="0" borderId="0"/>
    <xf numFmtId="0" fontId="10" fillId="0" borderId="0">
      <alignment vertical="center"/>
    </xf>
  </cellStyleXfs>
  <cellXfs count="223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41" fontId="12" fillId="0" borderId="0" xfId="1" applyFont="1" applyAlignment="1">
      <alignment horizontal="center" vertical="center"/>
    </xf>
    <xf numFmtId="41" fontId="12" fillId="0" borderId="0" xfId="1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9" fontId="12" fillId="0" borderId="0" xfId="2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9" fontId="17" fillId="0" borderId="0" xfId="2" applyFont="1" applyAlignment="1">
      <alignment horizontal="right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88" fontId="21" fillId="0" borderId="1" xfId="2" applyNumberFormat="1" applyFont="1" applyBorder="1" applyAlignment="1">
      <alignment horizontal="center" vertical="center"/>
    </xf>
    <xf numFmtId="9" fontId="21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90" fontId="14" fillId="0" borderId="0" xfId="0" applyNumberFormat="1" applyFont="1" applyBorder="1" applyAlignment="1">
      <alignment horizontal="center" vertical="center"/>
    </xf>
    <xf numFmtId="9" fontId="14" fillId="0" borderId="0" xfId="2" applyFont="1" applyBorder="1" applyAlignment="1">
      <alignment horizontal="center" vertical="center"/>
    </xf>
    <xf numFmtId="41" fontId="14" fillId="0" borderId="0" xfId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76" fontId="17" fillId="0" borderId="6" xfId="1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86" fontId="17" fillId="0" borderId="16" xfId="1" applyNumberFormat="1" applyFont="1" applyBorder="1" applyAlignment="1">
      <alignment horizontal="right" vertical="center" wrapText="1"/>
    </xf>
    <xf numFmtId="186" fontId="17" fillId="0" borderId="32" xfId="1" applyNumberFormat="1" applyFont="1" applyBorder="1" applyAlignment="1">
      <alignment horizontal="right" vertical="center" wrapText="1"/>
    </xf>
    <xf numFmtId="186" fontId="17" fillId="0" borderId="24" xfId="1" applyNumberFormat="1" applyFont="1" applyBorder="1" applyAlignment="1">
      <alignment horizontal="right" vertical="center" wrapText="1"/>
    </xf>
    <xf numFmtId="187" fontId="20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177" fontId="20" fillId="0" borderId="11" xfId="1" applyNumberFormat="1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20" fillId="0" borderId="0" xfId="0" applyFont="1" applyFill="1">
      <alignment vertical="center"/>
    </xf>
    <xf numFmtId="0" fontId="20" fillId="0" borderId="0" xfId="0" applyFont="1">
      <alignment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 wrapText="1"/>
    </xf>
    <xf numFmtId="9" fontId="17" fillId="3" borderId="2" xfId="2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186" fontId="20" fillId="0" borderId="33" xfId="1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186" fontId="20" fillId="0" borderId="7" xfId="1" applyNumberFormat="1" applyFont="1" applyBorder="1" applyAlignment="1">
      <alignment horizontal="right" vertical="center" wrapText="1"/>
    </xf>
    <xf numFmtId="176" fontId="17" fillId="0" borderId="6" xfId="1" applyNumberFormat="1" applyFont="1" applyBorder="1" applyAlignment="1">
      <alignment horizontal="center" vertical="center"/>
    </xf>
    <xf numFmtId="177" fontId="17" fillId="0" borderId="7" xfId="1" applyNumberFormat="1" applyFont="1" applyBorder="1" applyAlignment="1">
      <alignment horizontal="right" vertical="center" wrapText="1"/>
    </xf>
    <xf numFmtId="9" fontId="17" fillId="0" borderId="6" xfId="2" applyFont="1" applyBorder="1" applyAlignment="1">
      <alignment horizontal="center" vertical="center"/>
    </xf>
    <xf numFmtId="9" fontId="17" fillId="0" borderId="7" xfId="2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6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/>
    </xf>
    <xf numFmtId="177" fontId="20" fillId="0" borderId="11" xfId="1" applyNumberFormat="1" applyFont="1" applyBorder="1" applyAlignment="1">
      <alignment horizontal="right" vertical="center" wrapText="1"/>
    </xf>
    <xf numFmtId="176" fontId="20" fillId="0" borderId="10" xfId="1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9" fontId="17" fillId="0" borderId="15" xfId="2" applyNumberFormat="1" applyFont="1" applyBorder="1" applyAlignment="1">
      <alignment horizontal="right" vertical="center" wrapText="1"/>
    </xf>
    <xf numFmtId="186" fontId="20" fillId="0" borderId="24" xfId="1" applyNumberFormat="1" applyFont="1" applyBorder="1" applyAlignment="1">
      <alignment horizontal="right" vertical="center" wrapText="1"/>
    </xf>
    <xf numFmtId="186" fontId="20" fillId="0" borderId="32" xfId="1" applyNumberFormat="1" applyFont="1" applyBorder="1" applyAlignment="1">
      <alignment horizontal="right" vertical="center" wrapText="1"/>
    </xf>
    <xf numFmtId="9" fontId="17" fillId="0" borderId="10" xfId="2" applyFont="1" applyBorder="1" applyAlignment="1">
      <alignment horizontal="center" vertical="center" wrapText="1"/>
    </xf>
    <xf numFmtId="178" fontId="17" fillId="0" borderId="11" xfId="0" applyNumberFormat="1" applyFont="1" applyBorder="1" applyAlignment="1">
      <alignment horizontal="center" vertical="center"/>
    </xf>
    <xf numFmtId="188" fontId="21" fillId="0" borderId="1" xfId="2" applyNumberFormat="1" applyFont="1" applyBorder="1" applyAlignment="1">
      <alignment horizontal="center" vertical="center"/>
    </xf>
    <xf numFmtId="9" fontId="20" fillId="0" borderId="10" xfId="2" applyFont="1" applyBorder="1" applyAlignment="1">
      <alignment horizontal="center" vertical="center" wrapText="1"/>
    </xf>
    <xf numFmtId="178" fontId="20" fillId="0" borderId="1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9" fontId="20" fillId="0" borderId="8" xfId="2" applyFont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9" fontId="20" fillId="0" borderId="8" xfId="2" applyFont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179" fontId="17" fillId="0" borderId="16" xfId="2" applyNumberFormat="1" applyFont="1" applyBorder="1" applyAlignment="1">
      <alignment horizontal="right" vertical="center" wrapText="1"/>
    </xf>
    <xf numFmtId="9" fontId="20" fillId="0" borderId="18" xfId="2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87" fontId="20" fillId="0" borderId="4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7" fontId="20" fillId="0" borderId="1" xfId="1" applyNumberFormat="1" applyFont="1" applyBorder="1" applyAlignment="1">
      <alignment horizontal="center" vertical="center"/>
    </xf>
    <xf numFmtId="177" fontId="20" fillId="3" borderId="1" xfId="1" applyNumberFormat="1" applyFont="1" applyFill="1" applyBorder="1" applyAlignment="1">
      <alignment horizontal="center" vertical="center"/>
    </xf>
    <xf numFmtId="187" fontId="20" fillId="0" borderId="1" xfId="1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177" fontId="17" fillId="3" borderId="1" xfId="1" applyNumberFormat="1" applyFont="1" applyFill="1" applyBorder="1" applyAlignment="1">
      <alignment horizontal="center" vertical="center"/>
    </xf>
    <xf numFmtId="187" fontId="17" fillId="0" borderId="1" xfId="1" applyNumberFormat="1" applyFont="1" applyBorder="1" applyAlignment="1">
      <alignment horizontal="right" vertical="center"/>
    </xf>
    <xf numFmtId="190" fontId="17" fillId="0" borderId="1" xfId="0" applyNumberFormat="1" applyFont="1" applyBorder="1" applyAlignment="1">
      <alignment horizontal="center" vertical="center"/>
    </xf>
    <xf numFmtId="189" fontId="17" fillId="0" borderId="1" xfId="0" applyNumberFormat="1" applyFont="1" applyBorder="1" applyAlignment="1">
      <alignment horizontal="righ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4" xfId="0" quotePrefix="1" applyFont="1" applyBorder="1" applyAlignment="1">
      <alignment horizontal="center" vertical="center" wrapText="1"/>
    </xf>
    <xf numFmtId="0" fontId="19" fillId="0" borderId="8" xfId="0" quotePrefix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76" fontId="22" fillId="0" borderId="1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49" fontId="18" fillId="0" borderId="4" xfId="2" applyNumberFormat="1" applyFont="1" applyBorder="1" applyAlignment="1">
      <alignment horizontal="center" vertical="center" wrapText="1"/>
    </xf>
    <xf numFmtId="49" fontId="18" fillId="0" borderId="12" xfId="2" applyNumberFormat="1" applyFont="1" applyBorder="1" applyAlignment="1">
      <alignment horizontal="center" vertical="center" wrapText="1"/>
    </xf>
    <xf numFmtId="191" fontId="17" fillId="0" borderId="2" xfId="2" applyNumberFormat="1" applyFont="1" applyBorder="1" applyAlignment="1">
      <alignment horizontal="right" vertical="center" wrapText="1"/>
    </xf>
    <xf numFmtId="191" fontId="17" fillId="0" borderId="3" xfId="2" applyNumberFormat="1" applyFont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8" fontId="17" fillId="0" borderId="30" xfId="0" applyNumberFormat="1" applyFont="1" applyBorder="1" applyAlignment="1">
      <alignment horizontal="center" vertical="center"/>
    </xf>
    <xf numFmtId="178" fontId="17" fillId="0" borderId="31" xfId="0" applyNumberFormat="1" applyFont="1" applyBorder="1" applyAlignment="1">
      <alignment horizontal="center" vertical="center"/>
    </xf>
    <xf numFmtId="178" fontId="17" fillId="0" borderId="28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9" fontId="17" fillId="0" borderId="29" xfId="2" applyFont="1" applyBorder="1" applyAlignment="1">
      <alignment horizontal="center" vertical="center" wrapText="1"/>
    </xf>
    <xf numFmtId="9" fontId="17" fillId="0" borderId="18" xfId="2" applyFont="1" applyBorder="1" applyAlignment="1">
      <alignment horizontal="center" vertical="center" wrapText="1"/>
    </xf>
    <xf numFmtId="9" fontId="17" fillId="0" borderId="19" xfId="2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9" fontId="20" fillId="0" borderId="4" xfId="2" applyFont="1" applyBorder="1" applyAlignment="1">
      <alignment horizontal="center" vertical="center"/>
    </xf>
    <xf numFmtId="9" fontId="20" fillId="0" borderId="8" xfId="2" applyFont="1" applyBorder="1" applyAlignment="1">
      <alignment horizontal="center" vertical="center"/>
    </xf>
    <xf numFmtId="9" fontId="20" fillId="0" borderId="12" xfId="2" applyFont="1" applyBorder="1" applyAlignment="1">
      <alignment horizontal="center" vertical="center"/>
    </xf>
    <xf numFmtId="9" fontId="20" fillId="0" borderId="18" xfId="2" applyFont="1" applyBorder="1" applyAlignment="1">
      <alignment horizontal="center" vertical="center" wrapText="1"/>
    </xf>
    <xf numFmtId="9" fontId="20" fillId="0" borderId="19" xfId="2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9" fontId="20" fillId="3" borderId="4" xfId="2" applyFont="1" applyFill="1" applyBorder="1" applyAlignment="1">
      <alignment horizontal="center" vertical="center"/>
    </xf>
    <xf numFmtId="9" fontId="20" fillId="3" borderId="8" xfId="2" applyFont="1" applyFill="1" applyBorder="1" applyAlignment="1">
      <alignment horizontal="center" vertical="center"/>
    </xf>
    <xf numFmtId="9" fontId="20" fillId="3" borderId="12" xfId="2" applyFont="1" applyFill="1" applyBorder="1" applyAlignment="1">
      <alignment horizontal="center" vertical="center"/>
    </xf>
    <xf numFmtId="9" fontId="17" fillId="3" borderId="4" xfId="2" applyFont="1" applyFill="1" applyBorder="1" applyAlignment="1">
      <alignment horizontal="center" vertical="center"/>
    </xf>
    <xf numFmtId="9" fontId="17" fillId="3" borderId="8" xfId="2" applyFont="1" applyFill="1" applyBorder="1" applyAlignment="1">
      <alignment horizontal="center" vertical="center"/>
    </xf>
    <xf numFmtId="9" fontId="17" fillId="3" borderId="12" xfId="2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8" xfId="0" quotePrefix="1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 wrapText="1"/>
    </xf>
    <xf numFmtId="187" fontId="17" fillId="0" borderId="4" xfId="0" applyNumberFormat="1" applyFont="1" applyBorder="1" applyAlignment="1">
      <alignment horizontal="center" vertical="center" wrapText="1"/>
    </xf>
    <xf numFmtId="187" fontId="17" fillId="0" borderId="8" xfId="0" applyNumberFormat="1" applyFont="1" applyBorder="1" applyAlignment="1">
      <alignment horizontal="center" vertical="center" wrapText="1"/>
    </xf>
    <xf numFmtId="187" fontId="17" fillId="0" borderId="12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6" fontId="20" fillId="0" borderId="24" xfId="1" applyNumberFormat="1" applyFont="1" applyBorder="1" applyAlignment="1">
      <alignment horizontal="center" vertical="center" wrapText="1"/>
    </xf>
    <xf numFmtId="186" fontId="20" fillId="0" borderId="16" xfId="1" applyNumberFormat="1" applyFont="1" applyBorder="1" applyAlignment="1">
      <alignment horizontal="center" vertical="center" wrapText="1"/>
    </xf>
    <xf numFmtId="186" fontId="20" fillId="0" borderId="17" xfId="1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4" xfId="0" quotePrefix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9" fontId="17" fillId="0" borderId="19" xfId="2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</cellXfs>
  <cellStyles count="164">
    <cellStyle name="Comma [0]_ SG&amp;A Bridge " xfId="3" xr:uid="{00000000-0005-0000-0000-000000000000}"/>
    <cellStyle name="Comma_ SG&amp;A Bridge " xfId="4" xr:uid="{00000000-0005-0000-0000-000001000000}"/>
    <cellStyle name="Currency [0]_ SG&amp;A Bridge " xfId="5" xr:uid="{00000000-0005-0000-0000-000002000000}"/>
    <cellStyle name="Currency_ SG&amp;A Bridge " xfId="6" xr:uid="{00000000-0005-0000-0000-000003000000}"/>
    <cellStyle name="Normal_ SG&amp;A Bridge " xfId="7" xr:uid="{00000000-0005-0000-0000-000004000000}"/>
    <cellStyle name="경고문 2" xfId="8" xr:uid="{00000000-0005-0000-0000-000005000000}"/>
    <cellStyle name="백분율" xfId="2" builtinId="5"/>
    <cellStyle name="백분율 2" xfId="9" xr:uid="{00000000-0005-0000-0000-000007000000}"/>
    <cellStyle name="백분율 2 2" xfId="10" xr:uid="{00000000-0005-0000-0000-000008000000}"/>
    <cellStyle name="백분율 2 3" xfId="11" xr:uid="{00000000-0005-0000-0000-000009000000}"/>
    <cellStyle name="백분율 4" xfId="12" xr:uid="{00000000-0005-0000-0000-00000A000000}"/>
    <cellStyle name="백분율 5" xfId="13" xr:uid="{00000000-0005-0000-0000-00000B000000}"/>
    <cellStyle name="백분율 6" xfId="14" xr:uid="{00000000-0005-0000-0000-00000C000000}"/>
    <cellStyle name="뷭?_BOOKSHIP" xfId="15" xr:uid="{00000000-0005-0000-0000-00000D000000}"/>
    <cellStyle name="쉼표 [0]" xfId="1" builtinId="6"/>
    <cellStyle name="쉼표 [0] 2" xfId="16" xr:uid="{00000000-0005-0000-0000-00000F000000}"/>
    <cellStyle name="쉼표 [0] 2 2" xfId="17" xr:uid="{00000000-0005-0000-0000-000010000000}"/>
    <cellStyle name="쉼표 [0] 2 2 2" xfId="18" xr:uid="{00000000-0005-0000-0000-000011000000}"/>
    <cellStyle name="쉼표 [0] 2 2 3" xfId="19" xr:uid="{00000000-0005-0000-0000-000012000000}"/>
    <cellStyle name="쉼표 [0] 2 3" xfId="20" xr:uid="{00000000-0005-0000-0000-000013000000}"/>
    <cellStyle name="쉼표 [0] 2 4" xfId="21" xr:uid="{00000000-0005-0000-0000-000014000000}"/>
    <cellStyle name="쉼표 [0] 2 5" xfId="22" xr:uid="{00000000-0005-0000-0000-000015000000}"/>
    <cellStyle name="쉼표 [0] 2 6" xfId="23" xr:uid="{00000000-0005-0000-0000-000016000000}"/>
    <cellStyle name="쉼표 [0] 2 7" xfId="24" xr:uid="{00000000-0005-0000-0000-000017000000}"/>
    <cellStyle name="쉼표 [0] 3" xfId="25" xr:uid="{00000000-0005-0000-0000-000018000000}"/>
    <cellStyle name="쉼표 [0] 3 2" xfId="26" xr:uid="{00000000-0005-0000-0000-000019000000}"/>
    <cellStyle name="쉼표 [0] 3 2 2" xfId="27" xr:uid="{00000000-0005-0000-0000-00001A000000}"/>
    <cellStyle name="쉼표 [0] 3 2 2 2" xfId="28" xr:uid="{00000000-0005-0000-0000-00001B000000}"/>
    <cellStyle name="쉼표 [0] 3 2 2 3" xfId="29" xr:uid="{00000000-0005-0000-0000-00001C000000}"/>
    <cellStyle name="쉼표 [0] 3 2 2 4" xfId="30" xr:uid="{00000000-0005-0000-0000-00001D000000}"/>
    <cellStyle name="쉼표 [0] 3 2 3" xfId="31" xr:uid="{00000000-0005-0000-0000-00001E000000}"/>
    <cellStyle name="쉼표 [0] 3 2 4" xfId="32" xr:uid="{00000000-0005-0000-0000-00001F000000}"/>
    <cellStyle name="쉼표 [0] 3 3" xfId="33" xr:uid="{00000000-0005-0000-0000-000020000000}"/>
    <cellStyle name="쉼표 [0] 3 4" xfId="34" xr:uid="{00000000-0005-0000-0000-000021000000}"/>
    <cellStyle name="쉼표 [0] 3 5" xfId="35" xr:uid="{00000000-0005-0000-0000-000022000000}"/>
    <cellStyle name="쉼표 [0] 4" xfId="36" xr:uid="{00000000-0005-0000-0000-000023000000}"/>
    <cellStyle name="쉼표 [0] 4 2" xfId="37" xr:uid="{00000000-0005-0000-0000-000024000000}"/>
    <cellStyle name="쉼표 [0] 4 3" xfId="38" xr:uid="{00000000-0005-0000-0000-000025000000}"/>
    <cellStyle name="쉼표 [0] 4 4" xfId="39" xr:uid="{00000000-0005-0000-0000-000026000000}"/>
    <cellStyle name="쉼표 [0] 4 5" xfId="40" xr:uid="{00000000-0005-0000-0000-000027000000}"/>
    <cellStyle name="쉼표 [0] 4 6" xfId="41" xr:uid="{00000000-0005-0000-0000-000028000000}"/>
    <cellStyle name="쉼표 [0] 5" xfId="42" xr:uid="{00000000-0005-0000-0000-000029000000}"/>
    <cellStyle name="쉼표 [0] 5 2" xfId="43" xr:uid="{00000000-0005-0000-0000-00002A000000}"/>
    <cellStyle name="쉼표 [0] 5 3" xfId="44" xr:uid="{00000000-0005-0000-0000-00002B000000}"/>
    <cellStyle name="쉼표 [0] 6" xfId="45" xr:uid="{00000000-0005-0000-0000-00002C000000}"/>
    <cellStyle name="쉼표 [0] 7" xfId="46" xr:uid="{00000000-0005-0000-0000-00002D000000}"/>
    <cellStyle name="쉼표 [0] 8" xfId="47" xr:uid="{00000000-0005-0000-0000-00002E000000}"/>
    <cellStyle name="좋음 2" xfId="48" xr:uid="{00000000-0005-0000-0000-00002F000000}"/>
    <cellStyle name="콤마 [0]_1202" xfId="49" xr:uid="{00000000-0005-0000-0000-000030000000}"/>
    <cellStyle name="콤마_1202" xfId="50" xr:uid="{00000000-0005-0000-0000-000031000000}"/>
    <cellStyle name="표준" xfId="0" builtinId="0"/>
    <cellStyle name="표준 10" xfId="51" xr:uid="{00000000-0005-0000-0000-000033000000}"/>
    <cellStyle name="표준 10 2" xfId="52" xr:uid="{00000000-0005-0000-0000-000034000000}"/>
    <cellStyle name="표준 10 3" xfId="53" xr:uid="{00000000-0005-0000-0000-000035000000}"/>
    <cellStyle name="표준 11" xfId="54" xr:uid="{00000000-0005-0000-0000-000036000000}"/>
    <cellStyle name="표준 11 2" xfId="55" xr:uid="{00000000-0005-0000-0000-000037000000}"/>
    <cellStyle name="표준 11 3" xfId="56" xr:uid="{00000000-0005-0000-0000-000038000000}"/>
    <cellStyle name="표준 12" xfId="57" xr:uid="{00000000-0005-0000-0000-000039000000}"/>
    <cellStyle name="표준 13" xfId="58" xr:uid="{00000000-0005-0000-0000-00003A000000}"/>
    <cellStyle name="표준 14" xfId="59" xr:uid="{00000000-0005-0000-0000-00003B000000}"/>
    <cellStyle name="표준 2" xfId="60" xr:uid="{00000000-0005-0000-0000-00003C000000}"/>
    <cellStyle name="표준 2 10" xfId="61" xr:uid="{00000000-0005-0000-0000-00003D000000}"/>
    <cellStyle name="표준 2 10 2" xfId="62" xr:uid="{00000000-0005-0000-0000-00003E000000}"/>
    <cellStyle name="표준 2 11" xfId="63" xr:uid="{00000000-0005-0000-0000-00003F000000}"/>
    <cellStyle name="표준 2 2" xfId="64" xr:uid="{00000000-0005-0000-0000-000040000000}"/>
    <cellStyle name="표준 2 2 2" xfId="65" xr:uid="{00000000-0005-0000-0000-000041000000}"/>
    <cellStyle name="표준 2 2 2 2" xfId="66" xr:uid="{00000000-0005-0000-0000-000042000000}"/>
    <cellStyle name="표준 2 2 3" xfId="67" xr:uid="{00000000-0005-0000-0000-000043000000}"/>
    <cellStyle name="표준 2 3" xfId="68" xr:uid="{00000000-0005-0000-0000-000044000000}"/>
    <cellStyle name="표준 2 3 2" xfId="69" xr:uid="{00000000-0005-0000-0000-000045000000}"/>
    <cellStyle name="표준 2 3 3" xfId="70" xr:uid="{00000000-0005-0000-0000-000046000000}"/>
    <cellStyle name="표준 2 3 4" xfId="71" xr:uid="{00000000-0005-0000-0000-000047000000}"/>
    <cellStyle name="표준 2 4" xfId="72" xr:uid="{00000000-0005-0000-0000-000048000000}"/>
    <cellStyle name="표준 2 5" xfId="73" xr:uid="{00000000-0005-0000-0000-000049000000}"/>
    <cellStyle name="표준 2 5 2" xfId="74" xr:uid="{00000000-0005-0000-0000-00004A000000}"/>
    <cellStyle name="표준 2 6" xfId="75" xr:uid="{00000000-0005-0000-0000-00004B000000}"/>
    <cellStyle name="표준 2 7" xfId="76" xr:uid="{00000000-0005-0000-0000-00004C000000}"/>
    <cellStyle name="표준 2 8" xfId="77" xr:uid="{00000000-0005-0000-0000-00004D000000}"/>
    <cellStyle name="표준 2 8 2" xfId="78" xr:uid="{00000000-0005-0000-0000-00004E000000}"/>
    <cellStyle name="표준 2 8 3" xfId="79" xr:uid="{00000000-0005-0000-0000-00004F000000}"/>
    <cellStyle name="표준 2 9" xfId="80" xr:uid="{00000000-0005-0000-0000-000050000000}"/>
    <cellStyle name="표준 3" xfId="81" xr:uid="{00000000-0005-0000-0000-000051000000}"/>
    <cellStyle name="표준 3 10" xfId="82" xr:uid="{00000000-0005-0000-0000-000052000000}"/>
    <cellStyle name="표준 3 2" xfId="83" xr:uid="{00000000-0005-0000-0000-000053000000}"/>
    <cellStyle name="표준 3 2 2" xfId="84" xr:uid="{00000000-0005-0000-0000-000054000000}"/>
    <cellStyle name="표준 3 2 2 2" xfId="85" xr:uid="{00000000-0005-0000-0000-000055000000}"/>
    <cellStyle name="표준 3 2 2 2 2" xfId="86" xr:uid="{00000000-0005-0000-0000-000056000000}"/>
    <cellStyle name="표준 3 2 2 2 3" xfId="87" xr:uid="{00000000-0005-0000-0000-000057000000}"/>
    <cellStyle name="표준 3 2 2 3" xfId="88" xr:uid="{00000000-0005-0000-0000-000058000000}"/>
    <cellStyle name="표준 3 2 2 3 2" xfId="89" xr:uid="{00000000-0005-0000-0000-000059000000}"/>
    <cellStyle name="표준 3 2 2 3 3" xfId="90" xr:uid="{00000000-0005-0000-0000-00005A000000}"/>
    <cellStyle name="표준 3 2 2 4" xfId="91" xr:uid="{00000000-0005-0000-0000-00005B000000}"/>
    <cellStyle name="표준 3 2 2 5" xfId="92" xr:uid="{00000000-0005-0000-0000-00005C000000}"/>
    <cellStyle name="표준 3 2 3" xfId="93" xr:uid="{00000000-0005-0000-0000-00005D000000}"/>
    <cellStyle name="표준 3 2 3 2" xfId="94" xr:uid="{00000000-0005-0000-0000-00005E000000}"/>
    <cellStyle name="표준 3 2 3 2 2" xfId="95" xr:uid="{00000000-0005-0000-0000-00005F000000}"/>
    <cellStyle name="표준 3 2 3 2 3" xfId="96" xr:uid="{00000000-0005-0000-0000-000060000000}"/>
    <cellStyle name="표준 3 2 3 3" xfId="97" xr:uid="{00000000-0005-0000-0000-000061000000}"/>
    <cellStyle name="표준 3 2 3 3 2" xfId="98" xr:uid="{00000000-0005-0000-0000-000062000000}"/>
    <cellStyle name="표준 3 2 3 3 3" xfId="99" xr:uid="{00000000-0005-0000-0000-000063000000}"/>
    <cellStyle name="표준 3 2 3 4" xfId="100" xr:uid="{00000000-0005-0000-0000-000064000000}"/>
    <cellStyle name="표준 3 2 3 5" xfId="101" xr:uid="{00000000-0005-0000-0000-000065000000}"/>
    <cellStyle name="표준 3 2 4" xfId="102" xr:uid="{00000000-0005-0000-0000-000066000000}"/>
    <cellStyle name="표준 3 2 4 2" xfId="103" xr:uid="{00000000-0005-0000-0000-000067000000}"/>
    <cellStyle name="표준 3 2 4 3" xfId="104" xr:uid="{00000000-0005-0000-0000-000068000000}"/>
    <cellStyle name="표준 3 2 5" xfId="105" xr:uid="{00000000-0005-0000-0000-000069000000}"/>
    <cellStyle name="표준 3 2 5 2" xfId="106" xr:uid="{00000000-0005-0000-0000-00006A000000}"/>
    <cellStyle name="표준 3 2 5 3" xfId="107" xr:uid="{00000000-0005-0000-0000-00006B000000}"/>
    <cellStyle name="표준 3 2 6" xfId="108" xr:uid="{00000000-0005-0000-0000-00006C000000}"/>
    <cellStyle name="표준 3 2 7" xfId="109" xr:uid="{00000000-0005-0000-0000-00006D000000}"/>
    <cellStyle name="표준 3 2 8" xfId="110" xr:uid="{00000000-0005-0000-0000-00006E000000}"/>
    <cellStyle name="표준 3 3" xfId="111" xr:uid="{00000000-0005-0000-0000-00006F000000}"/>
    <cellStyle name="표준 3 3 2" xfId="112" xr:uid="{00000000-0005-0000-0000-000070000000}"/>
    <cellStyle name="표준 3 3 2 2" xfId="113" xr:uid="{00000000-0005-0000-0000-000071000000}"/>
    <cellStyle name="표준 3 3 2 3" xfId="114" xr:uid="{00000000-0005-0000-0000-000072000000}"/>
    <cellStyle name="표준 3 3 3" xfId="115" xr:uid="{00000000-0005-0000-0000-000073000000}"/>
    <cellStyle name="표준 3 3 3 2" xfId="116" xr:uid="{00000000-0005-0000-0000-000074000000}"/>
    <cellStyle name="표준 3 3 3 3" xfId="117" xr:uid="{00000000-0005-0000-0000-000075000000}"/>
    <cellStyle name="표준 3 3 4" xfId="118" xr:uid="{00000000-0005-0000-0000-000076000000}"/>
    <cellStyle name="표준 3 3 5" xfId="119" xr:uid="{00000000-0005-0000-0000-000077000000}"/>
    <cellStyle name="표준 3 4" xfId="120" xr:uid="{00000000-0005-0000-0000-000078000000}"/>
    <cellStyle name="표준 3 4 2" xfId="121" xr:uid="{00000000-0005-0000-0000-000079000000}"/>
    <cellStyle name="표준 3 4 2 2" xfId="122" xr:uid="{00000000-0005-0000-0000-00007A000000}"/>
    <cellStyle name="표준 3 4 2 3" xfId="123" xr:uid="{00000000-0005-0000-0000-00007B000000}"/>
    <cellStyle name="표준 3 4 3" xfId="124" xr:uid="{00000000-0005-0000-0000-00007C000000}"/>
    <cellStyle name="표준 3 4 3 2" xfId="125" xr:uid="{00000000-0005-0000-0000-00007D000000}"/>
    <cellStyle name="표준 3 4 3 3" xfId="126" xr:uid="{00000000-0005-0000-0000-00007E000000}"/>
    <cellStyle name="표준 3 4 4" xfId="127" xr:uid="{00000000-0005-0000-0000-00007F000000}"/>
    <cellStyle name="표준 3 4 5" xfId="128" xr:uid="{00000000-0005-0000-0000-000080000000}"/>
    <cellStyle name="표준 3 5" xfId="129" xr:uid="{00000000-0005-0000-0000-000081000000}"/>
    <cellStyle name="표준 3 5 2" xfId="130" xr:uid="{00000000-0005-0000-0000-000082000000}"/>
    <cellStyle name="표준 3 5 3" xfId="131" xr:uid="{00000000-0005-0000-0000-000083000000}"/>
    <cellStyle name="표준 3 6" xfId="132" xr:uid="{00000000-0005-0000-0000-000084000000}"/>
    <cellStyle name="표준 3 6 2" xfId="133" xr:uid="{00000000-0005-0000-0000-000085000000}"/>
    <cellStyle name="표준 3 6 3" xfId="134" xr:uid="{00000000-0005-0000-0000-000086000000}"/>
    <cellStyle name="표준 3 7" xfId="135" xr:uid="{00000000-0005-0000-0000-000087000000}"/>
    <cellStyle name="표준 3 8" xfId="136" xr:uid="{00000000-0005-0000-0000-000088000000}"/>
    <cellStyle name="표준 3 9" xfId="137" xr:uid="{00000000-0005-0000-0000-000089000000}"/>
    <cellStyle name="표준 4" xfId="138" xr:uid="{00000000-0005-0000-0000-00008A000000}"/>
    <cellStyle name="표준 4 2" xfId="139" xr:uid="{00000000-0005-0000-0000-00008B000000}"/>
    <cellStyle name="표준 4 2 2" xfId="140" xr:uid="{00000000-0005-0000-0000-00008C000000}"/>
    <cellStyle name="표준 4 2 3" xfId="141" xr:uid="{00000000-0005-0000-0000-00008D000000}"/>
    <cellStyle name="표준 4 3" xfId="142" xr:uid="{00000000-0005-0000-0000-00008E000000}"/>
    <cellStyle name="표준 4 4" xfId="143" xr:uid="{00000000-0005-0000-0000-00008F000000}"/>
    <cellStyle name="표준 4 5" xfId="144" xr:uid="{00000000-0005-0000-0000-000090000000}"/>
    <cellStyle name="표준 4 6" xfId="145" xr:uid="{00000000-0005-0000-0000-000091000000}"/>
    <cellStyle name="표준 5" xfId="146" xr:uid="{00000000-0005-0000-0000-000092000000}"/>
    <cellStyle name="표준 5 2" xfId="147" xr:uid="{00000000-0005-0000-0000-000093000000}"/>
    <cellStyle name="표준 5 2 2" xfId="148" xr:uid="{00000000-0005-0000-0000-000094000000}"/>
    <cellStyle name="표준 5 2 3" xfId="149" xr:uid="{00000000-0005-0000-0000-000095000000}"/>
    <cellStyle name="표준 5 3" xfId="150" xr:uid="{00000000-0005-0000-0000-000096000000}"/>
    <cellStyle name="표준 5 4" xfId="151" xr:uid="{00000000-0005-0000-0000-000097000000}"/>
    <cellStyle name="표준 6" xfId="152" xr:uid="{00000000-0005-0000-0000-000098000000}"/>
    <cellStyle name="표준 6 2" xfId="153" xr:uid="{00000000-0005-0000-0000-000099000000}"/>
    <cellStyle name="표준 6 3" xfId="154" xr:uid="{00000000-0005-0000-0000-00009A000000}"/>
    <cellStyle name="표준 6 4" xfId="155" xr:uid="{00000000-0005-0000-0000-00009B000000}"/>
    <cellStyle name="표준 7" xfId="156" xr:uid="{00000000-0005-0000-0000-00009C000000}"/>
    <cellStyle name="표준 7 2" xfId="157" xr:uid="{00000000-0005-0000-0000-00009D000000}"/>
    <cellStyle name="표준 7 3" xfId="158" xr:uid="{00000000-0005-0000-0000-00009E000000}"/>
    <cellStyle name="표준 7 4" xfId="159" xr:uid="{00000000-0005-0000-0000-00009F000000}"/>
    <cellStyle name="표준 8" xfId="160" xr:uid="{00000000-0005-0000-0000-0000A0000000}"/>
    <cellStyle name="표준 8 2" xfId="161" xr:uid="{00000000-0005-0000-0000-0000A1000000}"/>
    <cellStyle name="표준 8 3" xfId="162" xr:uid="{00000000-0005-0000-0000-0000A2000000}"/>
    <cellStyle name="표준 9" xfId="163" xr:uid="{00000000-0005-0000-0000-0000A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13"/>
  <sheetViews>
    <sheetView view="pageBreakPreview" zoomScale="85" zoomScaleNormal="85" zoomScaleSheetLayoutView="85" workbookViewId="0">
      <selection sqref="A1:J1"/>
    </sheetView>
  </sheetViews>
  <sheetFormatPr defaultColWidth="10.25" defaultRowHeight="30.75" customHeight="1"/>
  <cols>
    <col min="1" max="1" width="10.25" style="12"/>
    <col min="2" max="2" width="9.375" style="12" customWidth="1"/>
    <col min="3" max="3" width="15.25" style="12" customWidth="1"/>
    <col min="4" max="4" width="14.75" style="12" customWidth="1"/>
    <col min="5" max="9" width="12.125" style="12" customWidth="1"/>
    <col min="10" max="10" width="19.875" style="10" customWidth="1"/>
    <col min="11" max="11" width="4.25" style="10" customWidth="1"/>
    <col min="12" max="12" width="7.125" style="11" customWidth="1"/>
    <col min="13" max="13" width="6.25" style="12" customWidth="1"/>
    <col min="14" max="14" width="6.25" style="10" customWidth="1"/>
    <col min="15" max="15" width="6.25" style="12" customWidth="1"/>
    <col min="16" max="16" width="6.25" style="10" customWidth="1"/>
    <col min="17" max="17" width="6.25" style="12" customWidth="1"/>
    <col min="18" max="18" width="6.25" style="10" customWidth="1"/>
    <col min="19" max="19" width="6.25" style="12" customWidth="1"/>
    <col min="20" max="20" width="6.25" style="10" customWidth="1"/>
    <col min="21" max="21" width="6.25" style="12" customWidth="1"/>
    <col min="22" max="22" width="6.25" style="10" customWidth="1"/>
    <col min="23" max="23" width="6.25" style="12" customWidth="1"/>
    <col min="24" max="24" width="6.25" style="10" customWidth="1"/>
    <col min="25" max="25" width="7.75" style="12" customWidth="1"/>
    <col min="26" max="26" width="10.25" style="10"/>
    <col min="27" max="27" width="10.25" style="12"/>
    <col min="28" max="28" width="10.25" style="10"/>
    <col min="29" max="29" width="10.25" style="12"/>
    <col min="30" max="30" width="10.25" style="10"/>
    <col min="31" max="31" width="10.25" style="12"/>
    <col min="32" max="32" width="10.25" style="10"/>
    <col min="33" max="33" width="10.25" style="12"/>
    <col min="34" max="34" width="10.25" style="10"/>
    <col min="35" max="41" width="10.25" style="12"/>
    <col min="42" max="66" width="10.25" style="26"/>
    <col min="67" max="16384" width="10.25" style="12"/>
  </cols>
  <sheetData>
    <row r="1" spans="1:66" ht="39" customHeight="1">
      <c r="A1" s="148" t="s">
        <v>80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66" ht="30.75" customHeight="1">
      <c r="A2" s="13" t="s">
        <v>49</v>
      </c>
      <c r="J2" s="14" t="s">
        <v>20</v>
      </c>
      <c r="K2" s="12"/>
      <c r="L2" s="10"/>
      <c r="R2" s="12"/>
      <c r="T2" s="12"/>
      <c r="V2" s="12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 spans="1:66" ht="30.75" customHeight="1">
      <c r="A3" s="15" t="s">
        <v>50</v>
      </c>
      <c r="B3" s="16" t="s">
        <v>51</v>
      </c>
      <c r="C3" s="16" t="s">
        <v>52</v>
      </c>
      <c r="D3" s="15" t="s">
        <v>53</v>
      </c>
      <c r="E3" s="16" t="s">
        <v>83</v>
      </c>
      <c r="F3" s="17" t="s">
        <v>84</v>
      </c>
      <c r="G3" s="16" t="s">
        <v>54</v>
      </c>
      <c r="H3" s="16" t="s">
        <v>55</v>
      </c>
      <c r="I3" s="16" t="s">
        <v>56</v>
      </c>
      <c r="J3" s="18" t="s">
        <v>57</v>
      </c>
      <c r="K3" s="12"/>
      <c r="L3" s="10"/>
      <c r="R3" s="12"/>
      <c r="T3" s="12"/>
      <c r="V3" s="12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 spans="1:66" ht="30.75" customHeight="1">
      <c r="A4" s="19" t="s">
        <v>59</v>
      </c>
      <c r="B4" s="130"/>
      <c r="C4" s="131"/>
      <c r="D4" s="131"/>
      <c r="E4" s="131"/>
      <c r="F4" s="132"/>
      <c r="G4" s="133"/>
      <c r="H4" s="133"/>
      <c r="I4" s="133"/>
      <c r="J4" s="20"/>
      <c r="K4" s="12"/>
      <c r="L4" s="10"/>
      <c r="R4" s="12"/>
      <c r="T4" s="12"/>
      <c r="V4" s="12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 spans="1:66" ht="30.75" customHeight="1">
      <c r="A5" s="19" t="s">
        <v>7</v>
      </c>
      <c r="B5" s="130"/>
      <c r="C5" s="131"/>
      <c r="D5" s="131"/>
      <c r="E5" s="131"/>
      <c r="F5" s="132"/>
      <c r="G5" s="133"/>
      <c r="H5" s="133"/>
      <c r="I5" s="133"/>
      <c r="J5" s="111"/>
      <c r="K5" s="12"/>
      <c r="L5" s="10"/>
      <c r="R5" s="12"/>
      <c r="T5" s="12"/>
      <c r="V5" s="12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 spans="1:66" ht="30.75" customHeight="1">
      <c r="A6" s="19" t="s">
        <v>60</v>
      </c>
      <c r="B6" s="130"/>
      <c r="C6" s="131"/>
      <c r="D6" s="131"/>
      <c r="E6" s="131"/>
      <c r="F6" s="132"/>
      <c r="G6" s="133"/>
      <c r="H6" s="133"/>
      <c r="I6" s="133"/>
      <c r="J6" s="21"/>
      <c r="K6" s="12"/>
      <c r="L6" s="10"/>
      <c r="R6" s="12"/>
      <c r="T6" s="12"/>
      <c r="V6" s="12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 spans="1:66" ht="30.75" customHeight="1">
      <c r="A7" s="22" t="s">
        <v>58</v>
      </c>
      <c r="B7" s="134"/>
      <c r="C7" s="135"/>
      <c r="D7" s="135"/>
      <c r="E7" s="135"/>
      <c r="F7" s="136"/>
      <c r="G7" s="137"/>
      <c r="H7" s="137"/>
      <c r="I7" s="137"/>
      <c r="J7" s="149" t="s">
        <v>61</v>
      </c>
      <c r="K7" s="12"/>
      <c r="L7" s="10"/>
      <c r="R7" s="12"/>
      <c r="T7" s="12"/>
      <c r="V7" s="12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 spans="1:66" ht="30.75" customHeight="1">
      <c r="A8" s="22" t="s">
        <v>62</v>
      </c>
      <c r="B8" s="138"/>
      <c r="C8" s="151"/>
      <c r="D8" s="152"/>
      <c r="E8" s="135"/>
      <c r="F8" s="136"/>
      <c r="G8" s="139"/>
      <c r="H8" s="139"/>
      <c r="I8" s="134"/>
      <c r="J8" s="150"/>
    </row>
    <row r="9" spans="1:66" ht="18" customHeight="1">
      <c r="A9" s="23"/>
      <c r="B9" s="24"/>
      <c r="C9" s="23"/>
      <c r="D9" s="23"/>
      <c r="E9" s="23"/>
      <c r="F9" s="23"/>
      <c r="G9" s="23"/>
      <c r="H9" s="23"/>
      <c r="I9" s="23"/>
      <c r="J9" s="25"/>
    </row>
    <row r="10" spans="1:66" ht="30.75" customHeight="1">
      <c r="A10" s="13" t="s">
        <v>85</v>
      </c>
      <c r="J10" s="14" t="s">
        <v>20</v>
      </c>
    </row>
    <row r="11" spans="1:66" ht="30" customHeight="1">
      <c r="A11" s="153" t="s">
        <v>86</v>
      </c>
      <c r="B11" s="154"/>
      <c r="C11" s="129" t="s">
        <v>88</v>
      </c>
      <c r="D11" s="153" t="s">
        <v>87</v>
      </c>
      <c r="E11" s="157"/>
      <c r="F11" s="157"/>
      <c r="G11" s="157"/>
      <c r="H11" s="157"/>
      <c r="I11" s="157"/>
      <c r="J11" s="154"/>
    </row>
    <row r="12" spans="1:66" ht="30" customHeight="1">
      <c r="A12" s="155"/>
      <c r="B12" s="156"/>
      <c r="C12" s="147"/>
      <c r="D12" s="158"/>
      <c r="E12" s="159"/>
      <c r="F12" s="159"/>
      <c r="G12" s="159"/>
      <c r="H12" s="159"/>
      <c r="I12" s="159"/>
      <c r="J12" s="160"/>
    </row>
    <row r="13" spans="1:66" ht="18" customHeight="1">
      <c r="A13" s="23"/>
      <c r="B13" s="24"/>
      <c r="C13" s="23"/>
      <c r="D13" s="23"/>
      <c r="E13" s="23"/>
      <c r="F13" s="23"/>
      <c r="G13" s="23"/>
      <c r="H13" s="23"/>
      <c r="I13" s="23"/>
      <c r="J13" s="25"/>
    </row>
  </sheetData>
  <mergeCells count="7">
    <mergeCell ref="A1:J1"/>
    <mergeCell ref="J7:J8"/>
    <mergeCell ref="C8:D8"/>
    <mergeCell ref="A11:B11"/>
    <mergeCell ref="A12:B12"/>
    <mergeCell ref="D11:J11"/>
    <mergeCell ref="D12:J12"/>
  </mergeCells>
  <phoneticPr fontId="2" type="noConversion"/>
  <printOptions horizontalCentered="1"/>
  <pageMargins left="0.19685039370078741" right="0.19685039370078741" top="0.39370078740157483" bottom="0.15748031496062992" header="0.31496062992125984" footer="0.1574803149606299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M21"/>
  <sheetViews>
    <sheetView view="pageBreakPreview" zoomScaleNormal="11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10.75" style="1" customWidth="1"/>
    <col min="8" max="8" width="4.875" style="6" customWidth="1"/>
    <col min="9" max="9" width="6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0.25" style="1" hidden="1" customWidth="1"/>
    <col min="20" max="21" width="0.25" style="9" hidden="1" customWidth="1"/>
    <col min="22" max="22" width="5.125" style="6" customWidth="1"/>
    <col min="23" max="23" width="10.5" style="1" customWidth="1"/>
    <col min="24" max="24" width="5.125" style="6" customWidth="1"/>
    <col min="25" max="25" width="10.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4.25" style="1" customWidth="1"/>
    <col min="35" max="35" width="12.625" style="1" customWidth="1"/>
    <col min="36" max="37" width="12.625" style="48" customWidth="1"/>
    <col min="38" max="38" width="4.5" style="1" customWidth="1"/>
    <col min="39" max="39" width="6.125" style="1" customWidth="1"/>
    <col min="40" max="40" width="17.125" style="1" customWidth="1"/>
    <col min="41" max="41" width="10.25" style="2"/>
    <col min="42" max="42" width="15.75" style="3" customWidth="1"/>
    <col min="43" max="65" width="16.5" style="3" customWidth="1"/>
    <col min="66" max="16384" width="9" style="4"/>
  </cols>
  <sheetData>
    <row r="1" spans="1:65" ht="24.75" customHeight="1">
      <c r="A1" s="148" t="s">
        <v>63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1.75" customHeight="1">
      <c r="A2" s="5" t="s">
        <v>19</v>
      </c>
      <c r="AI2" s="7" t="s">
        <v>20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22.5" customHeight="1">
      <c r="A3" s="27" t="s">
        <v>0</v>
      </c>
      <c r="B3" s="27" t="s">
        <v>1</v>
      </c>
      <c r="C3" s="27" t="s">
        <v>2</v>
      </c>
      <c r="D3" s="194" t="s">
        <v>3</v>
      </c>
      <c r="E3" s="194"/>
      <c r="F3" s="195" t="s">
        <v>21</v>
      </c>
      <c r="G3" s="196"/>
      <c r="H3" s="28" t="s">
        <v>27</v>
      </c>
      <c r="I3" s="29" t="s">
        <v>28</v>
      </c>
      <c r="J3" s="197" t="s">
        <v>30</v>
      </c>
      <c r="K3" s="196"/>
      <c r="L3" s="197" t="s">
        <v>31</v>
      </c>
      <c r="M3" s="196"/>
      <c r="N3" s="197" t="s">
        <v>32</v>
      </c>
      <c r="O3" s="196"/>
      <c r="P3" s="197" t="s">
        <v>33</v>
      </c>
      <c r="Q3" s="196"/>
      <c r="R3" s="197" t="s">
        <v>34</v>
      </c>
      <c r="S3" s="196"/>
      <c r="T3" s="197" t="s">
        <v>35</v>
      </c>
      <c r="U3" s="196"/>
      <c r="V3" s="197" t="s">
        <v>36</v>
      </c>
      <c r="W3" s="196"/>
      <c r="X3" s="197" t="s">
        <v>37</v>
      </c>
      <c r="Y3" s="196"/>
      <c r="Z3" s="197" t="s">
        <v>22</v>
      </c>
      <c r="AA3" s="196"/>
      <c r="AB3" s="197" t="s">
        <v>23</v>
      </c>
      <c r="AC3" s="196"/>
      <c r="AD3" s="197" t="s">
        <v>24</v>
      </c>
      <c r="AE3" s="196"/>
      <c r="AF3" s="197" t="s">
        <v>25</v>
      </c>
      <c r="AG3" s="196"/>
      <c r="AH3" s="49" t="s">
        <v>64</v>
      </c>
      <c r="AI3" s="30" t="s">
        <v>4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22.5" customHeight="1">
      <c r="A4" s="176">
        <v>1</v>
      </c>
      <c r="B4" s="179"/>
      <c r="C4" s="143"/>
      <c r="D4" s="31" t="s">
        <v>5</v>
      </c>
      <c r="E4" s="32"/>
      <c r="F4" s="33" t="s">
        <v>6</v>
      </c>
      <c r="G4" s="34"/>
      <c r="H4" s="181"/>
      <c r="I4" s="188"/>
      <c r="J4" s="35" t="s">
        <v>29</v>
      </c>
      <c r="K4" s="36"/>
      <c r="L4" s="35" t="s">
        <v>29</v>
      </c>
      <c r="M4" s="36"/>
      <c r="N4" s="35" t="s">
        <v>29</v>
      </c>
      <c r="O4" s="36"/>
      <c r="P4" s="35" t="s">
        <v>29</v>
      </c>
      <c r="Q4" s="36"/>
      <c r="R4" s="35" t="s">
        <v>29</v>
      </c>
      <c r="S4" s="36"/>
      <c r="T4" s="35" t="s">
        <v>29</v>
      </c>
      <c r="U4" s="36"/>
      <c r="V4" s="35" t="s">
        <v>29</v>
      </c>
      <c r="W4" s="36"/>
      <c r="X4" s="35" t="s">
        <v>29</v>
      </c>
      <c r="Y4" s="36"/>
      <c r="Z4" s="35" t="s">
        <v>29</v>
      </c>
      <c r="AA4" s="36"/>
      <c r="AB4" s="35" t="s">
        <v>29</v>
      </c>
      <c r="AC4" s="36"/>
      <c r="AD4" s="35" t="s">
        <v>29</v>
      </c>
      <c r="AE4" s="36"/>
      <c r="AF4" s="35" t="s">
        <v>29</v>
      </c>
      <c r="AG4" s="36"/>
      <c r="AH4" s="201"/>
      <c r="AI4" s="201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22.5" customHeight="1">
      <c r="A5" s="177"/>
      <c r="B5" s="180"/>
      <c r="C5" s="144"/>
      <c r="D5" s="37" t="s">
        <v>9</v>
      </c>
      <c r="E5" s="38"/>
      <c r="F5" s="39" t="s">
        <v>10</v>
      </c>
      <c r="G5" s="40"/>
      <c r="H5" s="182"/>
      <c r="I5" s="189"/>
      <c r="J5" s="41" t="s">
        <v>18</v>
      </c>
      <c r="K5" s="42">
        <f>$G4*K4</f>
        <v>0</v>
      </c>
      <c r="L5" s="41" t="s">
        <v>18</v>
      </c>
      <c r="M5" s="42">
        <f>$G4*M4</f>
        <v>0</v>
      </c>
      <c r="N5" s="41" t="s">
        <v>18</v>
      </c>
      <c r="O5" s="42">
        <f>$G4*O4</f>
        <v>0</v>
      </c>
      <c r="P5" s="41" t="s">
        <v>18</v>
      </c>
      <c r="Q5" s="42">
        <f>$G4*Q4</f>
        <v>0</v>
      </c>
      <c r="R5" s="41" t="s">
        <v>18</v>
      </c>
      <c r="S5" s="42">
        <f>$G4*S4</f>
        <v>0</v>
      </c>
      <c r="T5" s="41" t="s">
        <v>18</v>
      </c>
      <c r="U5" s="42">
        <f>$G4*U4</f>
        <v>0</v>
      </c>
      <c r="V5" s="41" t="s">
        <v>18</v>
      </c>
      <c r="W5" s="61"/>
      <c r="X5" s="41" t="s">
        <v>18</v>
      </c>
      <c r="Y5" s="42"/>
      <c r="Z5" s="41" t="s">
        <v>18</v>
      </c>
      <c r="AA5" s="42">
        <f>$G4*AA4</f>
        <v>0</v>
      </c>
      <c r="AB5" s="41" t="s">
        <v>18</v>
      </c>
      <c r="AC5" s="42">
        <f>$G4*AC4</f>
        <v>0</v>
      </c>
      <c r="AD5" s="41" t="s">
        <v>18</v>
      </c>
      <c r="AE5" s="42">
        <f>$G4*AE4</f>
        <v>0</v>
      </c>
      <c r="AF5" s="41" t="s">
        <v>18</v>
      </c>
      <c r="AG5" s="42">
        <f>$G4*AG4</f>
        <v>0</v>
      </c>
      <c r="AH5" s="202"/>
      <c r="AI5" s="207"/>
      <c r="AJ5" s="8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22.5" customHeight="1">
      <c r="A6" s="177"/>
      <c r="B6" s="180"/>
      <c r="C6" s="145"/>
      <c r="D6" s="37" t="s">
        <v>11</v>
      </c>
      <c r="E6" s="38"/>
      <c r="F6" s="43" t="s">
        <v>12</v>
      </c>
      <c r="G6" s="40"/>
      <c r="H6" s="182"/>
      <c r="I6" s="189"/>
      <c r="J6" s="184" t="s">
        <v>13</v>
      </c>
      <c r="K6" s="186" t="s">
        <v>47</v>
      </c>
      <c r="L6" s="184" t="s">
        <v>13</v>
      </c>
      <c r="M6" s="186" t="s">
        <v>47</v>
      </c>
      <c r="N6" s="184" t="s">
        <v>13</v>
      </c>
      <c r="O6" s="186" t="s">
        <v>47</v>
      </c>
      <c r="P6" s="184" t="s">
        <v>13</v>
      </c>
      <c r="Q6" s="186" t="s">
        <v>47</v>
      </c>
      <c r="R6" s="184" t="s">
        <v>13</v>
      </c>
      <c r="S6" s="186" t="s">
        <v>47</v>
      </c>
      <c r="T6" s="184" t="s">
        <v>13</v>
      </c>
      <c r="U6" s="186" t="s">
        <v>47</v>
      </c>
      <c r="V6" s="184" t="s">
        <v>13</v>
      </c>
      <c r="W6" s="186"/>
      <c r="X6" s="184" t="s">
        <v>13</v>
      </c>
      <c r="Y6" s="186"/>
      <c r="Z6" s="184" t="s">
        <v>13</v>
      </c>
      <c r="AA6" s="186"/>
      <c r="AB6" s="184" t="s">
        <v>13</v>
      </c>
      <c r="AC6" s="186" t="s">
        <v>14</v>
      </c>
      <c r="AD6" s="184" t="s">
        <v>13</v>
      </c>
      <c r="AE6" s="186" t="s">
        <v>14</v>
      </c>
      <c r="AF6" s="184" t="s">
        <v>13</v>
      </c>
      <c r="AG6" s="186" t="s">
        <v>14</v>
      </c>
      <c r="AH6" s="203"/>
      <c r="AI6" s="207"/>
      <c r="AJ6" s="8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ht="22.5" customHeight="1">
      <c r="A7" s="178"/>
      <c r="B7" s="44"/>
      <c r="C7" s="146"/>
      <c r="D7" s="45" t="s">
        <v>15</v>
      </c>
      <c r="E7" s="46"/>
      <c r="F7" s="45" t="s">
        <v>16</v>
      </c>
      <c r="G7" s="46"/>
      <c r="H7" s="183"/>
      <c r="I7" s="190"/>
      <c r="J7" s="185"/>
      <c r="K7" s="187"/>
      <c r="L7" s="185"/>
      <c r="M7" s="187"/>
      <c r="N7" s="185"/>
      <c r="O7" s="187"/>
      <c r="P7" s="185"/>
      <c r="Q7" s="187"/>
      <c r="R7" s="185"/>
      <c r="S7" s="187"/>
      <c r="T7" s="185"/>
      <c r="U7" s="187"/>
      <c r="V7" s="185"/>
      <c r="W7" s="187"/>
      <c r="X7" s="185"/>
      <c r="Y7" s="187"/>
      <c r="Z7" s="185"/>
      <c r="AA7" s="187"/>
      <c r="AB7" s="185"/>
      <c r="AC7" s="187"/>
      <c r="AD7" s="185"/>
      <c r="AE7" s="187"/>
      <c r="AF7" s="185"/>
      <c r="AG7" s="187"/>
      <c r="AH7" s="59"/>
      <c r="AI7" s="208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ht="22.5" customHeight="1">
      <c r="A8" s="121"/>
      <c r="B8" s="47"/>
      <c r="C8" s="123"/>
      <c r="D8" s="124"/>
      <c r="E8" s="125"/>
      <c r="F8" s="124"/>
      <c r="G8" s="125"/>
      <c r="H8" s="119"/>
      <c r="I8" s="120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28"/>
      <c r="AI8" s="118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ht="22.5" customHeight="1">
      <c r="A9" s="164" t="s">
        <v>65</v>
      </c>
      <c r="B9" s="165"/>
      <c r="C9" s="166"/>
      <c r="D9" s="50" t="s">
        <v>66</v>
      </c>
      <c r="E9" s="58"/>
      <c r="F9" s="51" t="s">
        <v>67</v>
      </c>
      <c r="G9" s="58"/>
      <c r="H9" s="181"/>
      <c r="I9" s="191"/>
      <c r="J9" s="173" t="s">
        <v>68</v>
      </c>
      <c r="K9" s="161" t="e">
        <f>K5+#REF!+#REF!+#REF!+#REF!+#REF!+#REF!+#REF!+#REF!+#REF!+#REF!+#REF!+#REF!+#REF!</f>
        <v>#REF!</v>
      </c>
      <c r="L9" s="173" t="s">
        <v>68</v>
      </c>
      <c r="M9" s="161" t="e">
        <f>M5+#REF!+#REF!+#REF!+#REF!+#REF!+#REF!+#REF!+#REF!+#REF!+#REF!+#REF!+#REF!+#REF!</f>
        <v>#REF!</v>
      </c>
      <c r="N9" s="173" t="s">
        <v>68</v>
      </c>
      <c r="O9" s="161" t="e">
        <f>O5+#REF!+#REF!+#REF!+#REF!+#REF!+#REF!+#REF!+#REF!+#REF!+#REF!+#REF!+#REF!+#REF!</f>
        <v>#REF!</v>
      </c>
      <c r="P9" s="173" t="s">
        <v>68</v>
      </c>
      <c r="Q9" s="161" t="e">
        <f>Q5+#REF!+#REF!+#REF!+#REF!+#REF!+#REF!+#REF!+#REF!+#REF!+#REF!+#REF!+#REF!+#REF!</f>
        <v>#REF!</v>
      </c>
      <c r="R9" s="173" t="s">
        <v>68</v>
      </c>
      <c r="S9" s="161" t="e">
        <f>S5+#REF!+#REF!+#REF!+#REF!+#REF!+#REF!+#REF!+#REF!+#REF!+#REF!+#REF!+#REF!+#REF!</f>
        <v>#REF!</v>
      </c>
      <c r="T9" s="173" t="s">
        <v>68</v>
      </c>
      <c r="U9" s="161" t="e">
        <f>U5+#REF!+#REF!+#REF!+#REF!+#REF!+#REF!+#REF!+#REF!+#REF!+#REF!+#REF!+#REF!+#REF!</f>
        <v>#REF!</v>
      </c>
      <c r="V9" s="173" t="s">
        <v>68</v>
      </c>
      <c r="W9" s="161"/>
      <c r="X9" s="173" t="s">
        <v>68</v>
      </c>
      <c r="Y9" s="161"/>
      <c r="Z9" s="173" t="s">
        <v>68</v>
      </c>
      <c r="AA9" s="161" t="e">
        <f>AA5+#REF!+#REF!+#REF!+#REF!+#REF!+#REF!+#REF!+#REF!+#REF!+#REF!+#REF!+#REF!+#REF!</f>
        <v>#REF!</v>
      </c>
      <c r="AB9" s="173" t="s">
        <v>68</v>
      </c>
      <c r="AC9" s="161" t="e">
        <f>AC5+#REF!+#REF!+#REF!+#REF!+#REF!+#REF!+#REF!+#REF!+#REF!+#REF!+#REF!+#REF!+#REF!</f>
        <v>#REF!</v>
      </c>
      <c r="AD9" s="173" t="s">
        <v>68</v>
      </c>
      <c r="AE9" s="161" t="e">
        <f>AE5+#REF!+#REF!+#REF!+#REF!+#REF!+#REF!+#REF!+#REF!+#REF!+#REF!+#REF!+#REF!+#REF!</f>
        <v>#REF!</v>
      </c>
      <c r="AF9" s="173" t="s">
        <v>68</v>
      </c>
      <c r="AG9" s="161" t="e">
        <f>AG5+#REF!+#REF!+#REF!+#REF!+#REF!+#REF!+#REF!+#REF!+#REF!+#REF!+#REF!+#REF!+#REF!</f>
        <v>#REF!</v>
      </c>
      <c r="AH9" s="204"/>
      <c r="AI9" s="198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ht="22.5" customHeight="1">
      <c r="A10" s="167"/>
      <c r="B10" s="168"/>
      <c r="C10" s="169"/>
      <c r="D10" s="52" t="s">
        <v>69</v>
      </c>
      <c r="E10" s="57"/>
      <c r="F10" s="53" t="s">
        <v>70</v>
      </c>
      <c r="G10" s="57"/>
      <c r="H10" s="182"/>
      <c r="I10" s="192"/>
      <c r="J10" s="174"/>
      <c r="K10" s="162"/>
      <c r="L10" s="174"/>
      <c r="M10" s="162"/>
      <c r="N10" s="174"/>
      <c r="O10" s="162"/>
      <c r="P10" s="174"/>
      <c r="Q10" s="162"/>
      <c r="R10" s="174"/>
      <c r="S10" s="162"/>
      <c r="T10" s="174"/>
      <c r="U10" s="162"/>
      <c r="V10" s="174"/>
      <c r="W10" s="162"/>
      <c r="X10" s="174"/>
      <c r="Y10" s="162"/>
      <c r="Z10" s="174"/>
      <c r="AA10" s="162"/>
      <c r="AB10" s="174"/>
      <c r="AC10" s="162"/>
      <c r="AD10" s="174"/>
      <c r="AE10" s="162"/>
      <c r="AF10" s="174"/>
      <c r="AG10" s="162"/>
      <c r="AH10" s="205"/>
      <c r="AI10" s="199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ht="22.5" customHeight="1">
      <c r="A11" s="167"/>
      <c r="B11" s="168"/>
      <c r="C11" s="169"/>
      <c r="D11" s="52" t="s">
        <v>71</v>
      </c>
      <c r="E11" s="56"/>
      <c r="F11" s="54" t="s">
        <v>72</v>
      </c>
      <c r="G11" s="56"/>
      <c r="H11" s="182"/>
      <c r="I11" s="192"/>
      <c r="J11" s="174"/>
      <c r="K11" s="162"/>
      <c r="L11" s="174"/>
      <c r="M11" s="162"/>
      <c r="N11" s="174"/>
      <c r="O11" s="162"/>
      <c r="P11" s="174"/>
      <c r="Q11" s="162"/>
      <c r="R11" s="174"/>
      <c r="S11" s="162"/>
      <c r="T11" s="174"/>
      <c r="U11" s="162"/>
      <c r="V11" s="174"/>
      <c r="W11" s="162"/>
      <c r="X11" s="174"/>
      <c r="Y11" s="162"/>
      <c r="Z11" s="174"/>
      <c r="AA11" s="162"/>
      <c r="AB11" s="174"/>
      <c r="AC11" s="162"/>
      <c r="AD11" s="174"/>
      <c r="AE11" s="162"/>
      <c r="AF11" s="174"/>
      <c r="AG11" s="162"/>
      <c r="AH11" s="205"/>
      <c r="AI11" s="199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ht="22.5" customHeight="1">
      <c r="A12" s="170"/>
      <c r="B12" s="171"/>
      <c r="C12" s="172"/>
      <c r="D12" s="55" t="s">
        <v>73</v>
      </c>
      <c r="E12" s="106" t="e">
        <f t="shared" ref="E12" si="0">E10/E9</f>
        <v>#DIV/0!</v>
      </c>
      <c r="F12" s="55" t="s">
        <v>74</v>
      </c>
      <c r="G12" s="106" t="e">
        <f t="shared" ref="G12" si="1">(E9-(G10+G11)/0.7)/E9</f>
        <v>#DIV/0!</v>
      </c>
      <c r="H12" s="183"/>
      <c r="I12" s="193"/>
      <c r="J12" s="175"/>
      <c r="K12" s="163"/>
      <c r="L12" s="175"/>
      <c r="M12" s="163"/>
      <c r="N12" s="175"/>
      <c r="O12" s="163"/>
      <c r="P12" s="175"/>
      <c r="Q12" s="163"/>
      <c r="R12" s="175"/>
      <c r="S12" s="163"/>
      <c r="T12" s="175"/>
      <c r="U12" s="163"/>
      <c r="V12" s="175"/>
      <c r="W12" s="163"/>
      <c r="X12" s="175"/>
      <c r="Y12" s="163"/>
      <c r="Z12" s="175"/>
      <c r="AA12" s="163"/>
      <c r="AB12" s="175"/>
      <c r="AC12" s="163"/>
      <c r="AD12" s="175"/>
      <c r="AE12" s="163"/>
      <c r="AF12" s="175"/>
      <c r="AG12" s="163"/>
      <c r="AH12" s="206"/>
      <c r="AI12" s="200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ht="22.5" customHeight="1"/>
    <row r="14" spans="1:65" ht="22.5" customHeight="1"/>
    <row r="15" spans="1:65" ht="22.5" customHeight="1"/>
    <row r="16" spans="1:65" ht="22.5" customHeight="1"/>
    <row r="17" ht="22.5" customHeight="1"/>
    <row r="18" ht="22.5" customHeight="1"/>
    <row r="19" ht="22.5" customHeight="1"/>
    <row r="20" ht="22.5" customHeight="1"/>
    <row r="21" ht="22.5" customHeight="1"/>
  </sheetData>
  <mergeCells count="74">
    <mergeCell ref="T6:T7"/>
    <mergeCell ref="U6:U7"/>
    <mergeCell ref="S9:S12"/>
    <mergeCell ref="AD6:AD7"/>
    <mergeCell ref="AE6:AE7"/>
    <mergeCell ref="AI9:AI12"/>
    <mergeCell ref="AF9:AF12"/>
    <mergeCell ref="AG9:AG12"/>
    <mergeCell ref="AH4:AH6"/>
    <mergeCell ref="AH9:AH12"/>
    <mergeCell ref="AG6:AG7"/>
    <mergeCell ref="AI4:AI7"/>
    <mergeCell ref="AF6:AF7"/>
    <mergeCell ref="AD9:AD12"/>
    <mergeCell ref="AE9:AE12"/>
    <mergeCell ref="AC6:AC7"/>
    <mergeCell ref="A1:AI1"/>
    <mergeCell ref="D3:E3"/>
    <mergeCell ref="F3:G3"/>
    <mergeCell ref="J3:K3"/>
    <mergeCell ref="L3:M3"/>
    <mergeCell ref="N3:O3"/>
    <mergeCell ref="AB3:AC3"/>
    <mergeCell ref="AD3:AE3"/>
    <mergeCell ref="AF3:AG3"/>
    <mergeCell ref="T3:U3"/>
    <mergeCell ref="Z3:AA3"/>
    <mergeCell ref="P3:Q3"/>
    <mergeCell ref="R3:S3"/>
    <mergeCell ref="V3:W3"/>
    <mergeCell ref="X3:Y3"/>
    <mergeCell ref="N9:N12"/>
    <mergeCell ref="I9:I12"/>
    <mergeCell ref="AB6:AB7"/>
    <mergeCell ref="X6:X7"/>
    <mergeCell ref="Y6:Y7"/>
    <mergeCell ref="Z6:Z7"/>
    <mergeCell ref="AA6:AA7"/>
    <mergeCell ref="V6:V7"/>
    <mergeCell ref="W6:W7"/>
    <mergeCell ref="Q9:Q12"/>
    <mergeCell ref="R9:R12"/>
    <mergeCell ref="W9:W12"/>
    <mergeCell ref="Q6:Q7"/>
    <mergeCell ref="S6:S7"/>
    <mergeCell ref="V9:V12"/>
    <mergeCell ref="R6:R7"/>
    <mergeCell ref="P6:P7"/>
    <mergeCell ref="L6:L7"/>
    <mergeCell ref="M6:M7"/>
    <mergeCell ref="N6:N7"/>
    <mergeCell ref="O6:O7"/>
    <mergeCell ref="A4:A7"/>
    <mergeCell ref="B4:B6"/>
    <mergeCell ref="H4:H7"/>
    <mergeCell ref="J6:J7"/>
    <mergeCell ref="K6:K7"/>
    <mergeCell ref="I4:I7"/>
    <mergeCell ref="AC9:AC12"/>
    <mergeCell ref="A9:C12"/>
    <mergeCell ref="T9:T12"/>
    <mergeCell ref="U9:U12"/>
    <mergeCell ref="Y9:Y12"/>
    <mergeCell ref="Z9:Z12"/>
    <mergeCell ref="AA9:AA12"/>
    <mergeCell ref="AB9:AB12"/>
    <mergeCell ref="X9:X12"/>
    <mergeCell ref="P9:P12"/>
    <mergeCell ref="M9:M12"/>
    <mergeCell ref="O9:O12"/>
    <mergeCell ref="L9:L12"/>
    <mergeCell ref="H9:H12"/>
    <mergeCell ref="J9:J12"/>
    <mergeCell ref="K9:K12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orientation="landscape" r:id="rId1"/>
  <rowBreaks count="1" manualBreakCount="1">
    <brk id="8" max="3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M14"/>
  <sheetViews>
    <sheetView tabSelected="1" view="pageBreakPreview" zoomScaleNormal="115" zoomScaleSheetLayoutView="100" workbookViewId="0">
      <selection activeCell="B7" sqref="B7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4.875" style="6" customWidth="1"/>
    <col min="9" max="9" width="5.2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hidden="1" customWidth="1"/>
    <col min="21" max="21" width="8.875" style="1" hidden="1" customWidth="1"/>
    <col min="22" max="22" width="5.125" style="6" customWidth="1"/>
    <col min="23" max="23" width="8.875" style="1" customWidth="1"/>
    <col min="24" max="24" width="5.125" style="6" customWidth="1"/>
    <col min="25" max="25" width="8.875" style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" style="1" customWidth="1"/>
    <col min="36" max="36" width="11" style="60" customWidth="1"/>
    <col min="37" max="37" width="10.25" style="1"/>
    <col min="38" max="38" width="4.5" style="1" customWidth="1"/>
    <col min="39" max="39" width="6.125" style="1" customWidth="1"/>
    <col min="40" max="40" width="16" style="1" customWidth="1"/>
    <col min="41" max="41" width="14.625" style="2" customWidth="1"/>
    <col min="42" max="65" width="16" style="3" customWidth="1"/>
    <col min="66" max="66" width="10.25" style="4"/>
    <col min="67" max="16384" width="9" style="4"/>
  </cols>
  <sheetData>
    <row r="1" spans="1:65" ht="25.5" customHeight="1">
      <c r="A1" s="5" t="s">
        <v>38</v>
      </c>
      <c r="G1" s="60"/>
      <c r="AI1" s="7" t="s">
        <v>20</v>
      </c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25.5" customHeight="1">
      <c r="A2" s="5"/>
      <c r="C2" s="60"/>
      <c r="D2" s="60"/>
      <c r="E2" s="60"/>
      <c r="F2" s="60"/>
      <c r="G2" s="60"/>
      <c r="K2" s="60"/>
      <c r="M2" s="60"/>
      <c r="O2" s="60"/>
      <c r="Q2" s="60"/>
      <c r="S2" s="60"/>
      <c r="U2" s="60"/>
      <c r="W2" s="60"/>
      <c r="Y2" s="60"/>
      <c r="AA2" s="60"/>
      <c r="AC2" s="60"/>
      <c r="AE2" s="60"/>
      <c r="AG2" s="60"/>
      <c r="AH2" s="60"/>
      <c r="AI2" s="7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 ht="25.5" customHeight="1">
      <c r="A3" s="63" t="s">
        <v>0</v>
      </c>
      <c r="B3" s="63" t="s">
        <v>39</v>
      </c>
      <c r="C3" s="63" t="s">
        <v>2</v>
      </c>
      <c r="D3" s="194" t="s">
        <v>41</v>
      </c>
      <c r="E3" s="194"/>
      <c r="F3" s="195" t="s">
        <v>21</v>
      </c>
      <c r="G3" s="196"/>
      <c r="H3" s="64" t="s">
        <v>27</v>
      </c>
      <c r="I3" s="65" t="s">
        <v>28</v>
      </c>
      <c r="J3" s="197" t="s">
        <v>30</v>
      </c>
      <c r="K3" s="196"/>
      <c r="L3" s="197" t="s">
        <v>31</v>
      </c>
      <c r="M3" s="196"/>
      <c r="N3" s="197" t="s">
        <v>32</v>
      </c>
      <c r="O3" s="196"/>
      <c r="P3" s="197" t="s">
        <v>33</v>
      </c>
      <c r="Q3" s="196"/>
      <c r="R3" s="197" t="s">
        <v>34</v>
      </c>
      <c r="S3" s="196"/>
      <c r="T3" s="197" t="s">
        <v>35</v>
      </c>
      <c r="U3" s="196"/>
      <c r="V3" s="197" t="s">
        <v>36</v>
      </c>
      <c r="W3" s="196"/>
      <c r="X3" s="197" t="s">
        <v>37</v>
      </c>
      <c r="Y3" s="196"/>
      <c r="Z3" s="197" t="s">
        <v>22</v>
      </c>
      <c r="AA3" s="196"/>
      <c r="AB3" s="197" t="s">
        <v>23</v>
      </c>
      <c r="AC3" s="196"/>
      <c r="AD3" s="197" t="s">
        <v>24</v>
      </c>
      <c r="AE3" s="196"/>
      <c r="AF3" s="197" t="s">
        <v>25</v>
      </c>
      <c r="AG3" s="196"/>
      <c r="AH3" s="63" t="s">
        <v>17</v>
      </c>
      <c r="AI3" s="66" t="s">
        <v>40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ht="22.5" customHeight="1">
      <c r="A4" s="176">
        <v>1</v>
      </c>
      <c r="B4" s="179"/>
      <c r="C4" s="143"/>
      <c r="D4" s="94" t="s">
        <v>10</v>
      </c>
      <c r="E4" s="95"/>
      <c r="F4" s="96" t="s">
        <v>6</v>
      </c>
      <c r="G4" s="97"/>
      <c r="H4" s="181"/>
      <c r="I4" s="188"/>
      <c r="J4" s="98" t="s">
        <v>29</v>
      </c>
      <c r="K4" s="99">
        <v>0.03</v>
      </c>
      <c r="L4" s="98" t="s">
        <v>29</v>
      </c>
      <c r="M4" s="99">
        <v>0.03</v>
      </c>
      <c r="N4" s="98" t="s">
        <v>29</v>
      </c>
      <c r="O4" s="99">
        <v>0.03</v>
      </c>
      <c r="P4" s="98" t="s">
        <v>29</v>
      </c>
      <c r="Q4" s="99">
        <v>0.04</v>
      </c>
      <c r="R4" s="98" t="s">
        <v>29</v>
      </c>
      <c r="S4" s="99">
        <v>0.03</v>
      </c>
      <c r="T4" s="98" t="s">
        <v>29</v>
      </c>
      <c r="U4" s="99">
        <v>0.02</v>
      </c>
      <c r="V4" s="98" t="s">
        <v>29</v>
      </c>
      <c r="W4" s="99"/>
      <c r="X4" s="98" t="s">
        <v>29</v>
      </c>
      <c r="Y4" s="99"/>
      <c r="Z4" s="98" t="s">
        <v>29</v>
      </c>
      <c r="AA4" s="99"/>
      <c r="AB4" s="98" t="s">
        <v>29</v>
      </c>
      <c r="AC4" s="99"/>
      <c r="AD4" s="98" t="s">
        <v>29</v>
      </c>
      <c r="AE4" s="99"/>
      <c r="AF4" s="98" t="s">
        <v>29</v>
      </c>
      <c r="AG4" s="99"/>
      <c r="AH4" s="218"/>
      <c r="AI4" s="201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 ht="22.5" customHeight="1">
      <c r="A5" s="177"/>
      <c r="B5" s="180"/>
      <c r="C5" s="144"/>
      <c r="D5" s="100"/>
      <c r="E5" s="101"/>
      <c r="F5" s="102" t="s">
        <v>42</v>
      </c>
      <c r="G5" s="103"/>
      <c r="H5" s="182"/>
      <c r="I5" s="189"/>
      <c r="J5" s="112" t="s">
        <v>18</v>
      </c>
      <c r="K5" s="113">
        <f>$G4*K4</f>
        <v>0</v>
      </c>
      <c r="L5" s="112" t="s">
        <v>18</v>
      </c>
      <c r="M5" s="113">
        <f>$G4*M4</f>
        <v>0</v>
      </c>
      <c r="N5" s="112" t="s">
        <v>18</v>
      </c>
      <c r="O5" s="113">
        <f>$G4*O4</f>
        <v>0</v>
      </c>
      <c r="P5" s="112" t="s">
        <v>18</v>
      </c>
      <c r="Q5" s="113">
        <f>$G4*Q4</f>
        <v>0</v>
      </c>
      <c r="R5" s="112" t="s">
        <v>18</v>
      </c>
      <c r="S5" s="113">
        <f>$G4*S4</f>
        <v>0</v>
      </c>
      <c r="T5" s="112" t="s">
        <v>18</v>
      </c>
      <c r="U5" s="113">
        <f>$G4*U4</f>
        <v>0</v>
      </c>
      <c r="V5" s="112" t="s">
        <v>18</v>
      </c>
      <c r="W5" s="113"/>
      <c r="X5" s="112" t="s">
        <v>18</v>
      </c>
      <c r="Y5" s="113"/>
      <c r="Z5" s="112" t="s">
        <v>18</v>
      </c>
      <c r="AA5" s="113">
        <f>$G4*AA4</f>
        <v>0</v>
      </c>
      <c r="AB5" s="112" t="s">
        <v>18</v>
      </c>
      <c r="AC5" s="113">
        <f>$G4*AC4</f>
        <v>0</v>
      </c>
      <c r="AD5" s="112" t="s">
        <v>18</v>
      </c>
      <c r="AE5" s="113">
        <f>$G4*AE4</f>
        <v>0</v>
      </c>
      <c r="AF5" s="112" t="s">
        <v>18</v>
      </c>
      <c r="AG5" s="113">
        <f>$G4*AG4</f>
        <v>0</v>
      </c>
      <c r="AH5" s="207"/>
      <c r="AI5" s="207"/>
      <c r="AJ5" s="8"/>
      <c r="AK5" s="8"/>
      <c r="AL5" s="8"/>
      <c r="AM5" s="8"/>
      <c r="AN5" s="8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 ht="22.5" customHeight="1">
      <c r="A6" s="177"/>
      <c r="B6" s="180"/>
      <c r="C6" s="145"/>
      <c r="D6" s="219"/>
      <c r="E6" s="220"/>
      <c r="F6" s="104" t="s">
        <v>8</v>
      </c>
      <c r="G6" s="103"/>
      <c r="H6" s="182"/>
      <c r="I6" s="189"/>
      <c r="J6" s="184" t="s">
        <v>13</v>
      </c>
      <c r="K6" s="186" t="s">
        <v>14</v>
      </c>
      <c r="L6" s="184" t="s">
        <v>13</v>
      </c>
      <c r="M6" s="186" t="s">
        <v>14</v>
      </c>
      <c r="N6" s="184" t="s">
        <v>13</v>
      </c>
      <c r="O6" s="186" t="s">
        <v>14</v>
      </c>
      <c r="P6" s="184" t="s">
        <v>13</v>
      </c>
      <c r="Q6" s="186" t="s">
        <v>14</v>
      </c>
      <c r="R6" s="184" t="s">
        <v>13</v>
      </c>
      <c r="S6" s="186" t="s">
        <v>14</v>
      </c>
      <c r="T6" s="184" t="s">
        <v>13</v>
      </c>
      <c r="U6" s="186" t="s">
        <v>48</v>
      </c>
      <c r="V6" s="184" t="s">
        <v>13</v>
      </c>
      <c r="W6" s="186"/>
      <c r="X6" s="184" t="s">
        <v>13</v>
      </c>
      <c r="Y6" s="186"/>
      <c r="Z6" s="184" t="s">
        <v>13</v>
      </c>
      <c r="AA6" s="186" t="s">
        <v>14</v>
      </c>
      <c r="AB6" s="184" t="s">
        <v>13</v>
      </c>
      <c r="AC6" s="186" t="s">
        <v>14</v>
      </c>
      <c r="AD6" s="184" t="s">
        <v>13</v>
      </c>
      <c r="AE6" s="186" t="s">
        <v>14</v>
      </c>
      <c r="AF6" s="184" t="s">
        <v>13</v>
      </c>
      <c r="AG6" s="186" t="s">
        <v>14</v>
      </c>
      <c r="AH6" s="207"/>
      <c r="AI6" s="207"/>
      <c r="AJ6" s="8"/>
      <c r="AK6" s="8"/>
      <c r="AL6" s="8"/>
      <c r="AM6" s="8"/>
      <c r="AN6" s="8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spans="1:65" ht="22.5" customHeight="1">
      <c r="A7" s="178"/>
      <c r="B7" s="70"/>
      <c r="C7" s="117" t="s">
        <v>26</v>
      </c>
      <c r="D7" s="105" t="s">
        <v>15</v>
      </c>
      <c r="E7" s="106"/>
      <c r="F7" s="105" t="s">
        <v>16</v>
      </c>
      <c r="G7" s="106"/>
      <c r="H7" s="183"/>
      <c r="I7" s="190"/>
      <c r="J7" s="185"/>
      <c r="K7" s="187"/>
      <c r="L7" s="185"/>
      <c r="M7" s="187"/>
      <c r="N7" s="185"/>
      <c r="O7" s="187"/>
      <c r="P7" s="185"/>
      <c r="Q7" s="187"/>
      <c r="R7" s="185"/>
      <c r="S7" s="187"/>
      <c r="T7" s="185"/>
      <c r="U7" s="187"/>
      <c r="V7" s="185"/>
      <c r="W7" s="187"/>
      <c r="X7" s="185"/>
      <c r="Y7" s="187"/>
      <c r="Z7" s="185"/>
      <c r="AA7" s="187"/>
      <c r="AB7" s="185"/>
      <c r="AC7" s="187"/>
      <c r="AD7" s="185"/>
      <c r="AE7" s="187"/>
      <c r="AF7" s="185"/>
      <c r="AG7" s="187"/>
      <c r="AH7" s="208"/>
      <c r="AI7" s="208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ht="22.5" customHeight="1">
      <c r="A8" s="121"/>
      <c r="B8" s="122"/>
      <c r="C8" s="123"/>
      <c r="D8" s="124"/>
      <c r="E8" s="125"/>
      <c r="F8" s="124"/>
      <c r="G8" s="125"/>
      <c r="H8" s="115"/>
      <c r="I8" s="116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14"/>
      <c r="AI8" s="11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ht="22.5" customHeight="1">
      <c r="A9" s="164" t="s">
        <v>65</v>
      </c>
      <c r="B9" s="165"/>
      <c r="C9" s="166"/>
      <c r="D9" s="209" t="s">
        <v>70</v>
      </c>
      <c r="E9" s="212"/>
      <c r="F9" s="67" t="s">
        <v>67</v>
      </c>
      <c r="G9" s="68"/>
      <c r="H9" s="181"/>
      <c r="I9" s="188"/>
      <c r="J9" s="173" t="s">
        <v>68</v>
      </c>
      <c r="K9" s="161" t="e">
        <f>#REF!+#REF!+#REF!</f>
        <v>#REF!</v>
      </c>
      <c r="L9" s="173" t="s">
        <v>68</v>
      </c>
      <c r="M9" s="161" t="e">
        <f>#REF!+#REF!+#REF!</f>
        <v>#REF!</v>
      </c>
      <c r="N9" s="173" t="s">
        <v>68</v>
      </c>
      <c r="O9" s="161" t="e">
        <f>#REF!+#REF!+#REF!</f>
        <v>#REF!</v>
      </c>
      <c r="P9" s="173" t="s">
        <v>68</v>
      </c>
      <c r="Q9" s="161" t="e">
        <f>#REF!+#REF!+#REF!</f>
        <v>#REF!</v>
      </c>
      <c r="R9" s="173" t="s">
        <v>68</v>
      </c>
      <c r="S9" s="161" t="e">
        <f>#REF!+#REF!+#REF!</f>
        <v>#REF!</v>
      </c>
      <c r="T9" s="173" t="s">
        <v>68</v>
      </c>
      <c r="U9" s="161" t="e">
        <f>#REF!+#REF!+#REF!</f>
        <v>#REF!</v>
      </c>
      <c r="V9" s="173" t="s">
        <v>68</v>
      </c>
      <c r="W9" s="161"/>
      <c r="X9" s="173" t="s">
        <v>68</v>
      </c>
      <c r="Y9" s="161"/>
      <c r="Z9" s="173" t="s">
        <v>68</v>
      </c>
      <c r="AA9" s="161" t="e">
        <f>#REF!+#REF!+#REF!</f>
        <v>#REF!</v>
      </c>
      <c r="AB9" s="173" t="s">
        <v>68</v>
      </c>
      <c r="AC9" s="161" t="e">
        <f>#REF!+#REF!+#REF!</f>
        <v>#REF!</v>
      </c>
      <c r="AD9" s="173" t="s">
        <v>68</v>
      </c>
      <c r="AE9" s="161" t="e">
        <f>#REF!+#REF!+#REF!</f>
        <v>#REF!</v>
      </c>
      <c r="AF9" s="173" t="s">
        <v>68</v>
      </c>
      <c r="AG9" s="161" t="e">
        <f>#REF!+#REF!+#REF!</f>
        <v>#REF!</v>
      </c>
      <c r="AH9" s="204"/>
      <c r="AI9" s="215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ht="22.5" customHeight="1">
      <c r="A10" s="167"/>
      <c r="B10" s="168"/>
      <c r="C10" s="169"/>
      <c r="D10" s="210"/>
      <c r="E10" s="213"/>
      <c r="F10" s="102" t="s">
        <v>81</v>
      </c>
      <c r="G10" s="69"/>
      <c r="H10" s="182"/>
      <c r="I10" s="189"/>
      <c r="J10" s="174"/>
      <c r="K10" s="162"/>
      <c r="L10" s="174"/>
      <c r="M10" s="162"/>
      <c r="N10" s="174"/>
      <c r="O10" s="162"/>
      <c r="P10" s="174"/>
      <c r="Q10" s="162"/>
      <c r="R10" s="174"/>
      <c r="S10" s="162"/>
      <c r="T10" s="174"/>
      <c r="U10" s="162"/>
      <c r="V10" s="174"/>
      <c r="W10" s="162"/>
      <c r="X10" s="174"/>
      <c r="Y10" s="162"/>
      <c r="Z10" s="174"/>
      <c r="AA10" s="162"/>
      <c r="AB10" s="174"/>
      <c r="AC10" s="162"/>
      <c r="AD10" s="174"/>
      <c r="AE10" s="162"/>
      <c r="AF10" s="174"/>
      <c r="AG10" s="162"/>
      <c r="AH10" s="205"/>
      <c r="AI10" s="216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ht="22.5" customHeight="1">
      <c r="A11" s="167"/>
      <c r="B11" s="168"/>
      <c r="C11" s="169"/>
      <c r="D11" s="210"/>
      <c r="E11" s="213"/>
      <c r="F11" s="104" t="s">
        <v>82</v>
      </c>
      <c r="G11" s="69"/>
      <c r="H11" s="182"/>
      <c r="I11" s="189"/>
      <c r="J11" s="174"/>
      <c r="K11" s="162"/>
      <c r="L11" s="174"/>
      <c r="M11" s="162"/>
      <c r="N11" s="174"/>
      <c r="O11" s="162"/>
      <c r="P11" s="174"/>
      <c r="Q11" s="162"/>
      <c r="R11" s="174"/>
      <c r="S11" s="162"/>
      <c r="T11" s="174"/>
      <c r="U11" s="162"/>
      <c r="V11" s="174"/>
      <c r="W11" s="162"/>
      <c r="X11" s="174"/>
      <c r="Y11" s="162"/>
      <c r="Z11" s="174"/>
      <c r="AA11" s="162"/>
      <c r="AB11" s="174"/>
      <c r="AC11" s="162"/>
      <c r="AD11" s="174"/>
      <c r="AE11" s="162"/>
      <c r="AF11" s="174"/>
      <c r="AG11" s="162"/>
      <c r="AH11" s="205"/>
      <c r="AI11" s="216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ht="22.5" customHeight="1">
      <c r="A12" s="170"/>
      <c r="B12" s="171"/>
      <c r="C12" s="172"/>
      <c r="D12" s="211"/>
      <c r="E12" s="214"/>
      <c r="F12" s="71" t="s">
        <v>74</v>
      </c>
      <c r="G12" s="106" t="e">
        <f>(E9-(G10+G11)/0.7)/E9</f>
        <v>#DIV/0!</v>
      </c>
      <c r="H12" s="183"/>
      <c r="I12" s="190"/>
      <c r="J12" s="175"/>
      <c r="K12" s="163"/>
      <c r="L12" s="175"/>
      <c r="M12" s="163"/>
      <c r="N12" s="175"/>
      <c r="O12" s="163"/>
      <c r="P12" s="175"/>
      <c r="Q12" s="163"/>
      <c r="R12" s="175"/>
      <c r="S12" s="163"/>
      <c r="T12" s="175"/>
      <c r="U12" s="163"/>
      <c r="V12" s="175"/>
      <c r="W12" s="163"/>
      <c r="X12" s="175"/>
      <c r="Y12" s="163"/>
      <c r="Z12" s="175"/>
      <c r="AA12" s="163"/>
      <c r="AB12" s="175"/>
      <c r="AC12" s="163"/>
      <c r="AD12" s="175"/>
      <c r="AE12" s="163"/>
      <c r="AF12" s="175"/>
      <c r="AG12" s="163"/>
      <c r="AH12" s="206"/>
      <c r="AI12" s="217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ht="30.75" customHeight="1"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 ht="30.75" customHeight="1"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</sheetData>
  <mergeCells count="76">
    <mergeCell ref="AD6:AD7"/>
    <mergeCell ref="AE6:AE7"/>
    <mergeCell ref="AF6:AF7"/>
    <mergeCell ref="AG6:AG7"/>
    <mergeCell ref="A4:A7"/>
    <mergeCell ref="B4:B6"/>
    <mergeCell ref="H4:H7"/>
    <mergeCell ref="I4:I7"/>
    <mergeCell ref="W6:W7"/>
    <mergeCell ref="X6:X7"/>
    <mergeCell ref="Z6:Z7"/>
    <mergeCell ref="AA6:AA7"/>
    <mergeCell ref="AB6:AB7"/>
    <mergeCell ref="AC6:AC7"/>
    <mergeCell ref="AH4:AH7"/>
    <mergeCell ref="AI4:AI7"/>
    <mergeCell ref="D6:E6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J9:J12"/>
    <mergeCell ref="K9:K12"/>
    <mergeCell ref="L9:L12"/>
    <mergeCell ref="AA9:AA12"/>
    <mergeCell ref="AB9:AB12"/>
    <mergeCell ref="X9:X12"/>
    <mergeCell ref="Y9:Y12"/>
    <mergeCell ref="Z9:Z12"/>
    <mergeCell ref="Q9:Q12"/>
    <mergeCell ref="R9:R12"/>
    <mergeCell ref="S9:S12"/>
    <mergeCell ref="AH9:AH12"/>
    <mergeCell ref="AI9:AI12"/>
    <mergeCell ref="T9:T12"/>
    <mergeCell ref="AC9:AC12"/>
    <mergeCell ref="AD9:AD12"/>
    <mergeCell ref="AE9:AE12"/>
    <mergeCell ref="AF9:AF12"/>
    <mergeCell ref="AG9:AG12"/>
    <mergeCell ref="Z3:AA3"/>
    <mergeCell ref="AB3:AC3"/>
    <mergeCell ref="AD3:AE3"/>
    <mergeCell ref="AF3:AG3"/>
    <mergeCell ref="A9:C12"/>
    <mergeCell ref="U9:U12"/>
    <mergeCell ref="V9:V12"/>
    <mergeCell ref="W9:W12"/>
    <mergeCell ref="D9:D12"/>
    <mergeCell ref="E9:E12"/>
    <mergeCell ref="H9:H12"/>
    <mergeCell ref="I9:I12"/>
    <mergeCell ref="M9:M12"/>
    <mergeCell ref="N9:N12"/>
    <mergeCell ref="O9:O12"/>
    <mergeCell ref="P9:P12"/>
    <mergeCell ref="D3:E3"/>
    <mergeCell ref="F3:G3"/>
    <mergeCell ref="J3:K3"/>
    <mergeCell ref="L3:M3"/>
    <mergeCell ref="N3:O3"/>
    <mergeCell ref="P3:Q3"/>
    <mergeCell ref="R3:S3"/>
    <mergeCell ref="T3:U3"/>
    <mergeCell ref="V3:W3"/>
    <mergeCell ref="Y6:Y7"/>
    <mergeCell ref="X3:Y3"/>
  </mergeCells>
  <phoneticPr fontId="2" type="noConversion"/>
  <printOptions horizontalCentered="1"/>
  <pageMargins left="0.17" right="0.17" top="0.47" bottom="0.3937007874015748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12"/>
  <sheetViews>
    <sheetView view="pageBreakPreview" zoomScaleNormal="115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L8" sqref="AL8"/>
    </sheetView>
  </sheetViews>
  <sheetFormatPr defaultRowHeight="30.75" customHeight="1"/>
  <cols>
    <col min="1" max="1" width="4.5" style="1" customWidth="1"/>
    <col min="2" max="2" width="19.375" style="4" customWidth="1"/>
    <col min="3" max="3" width="9.875" style="1" customWidth="1"/>
    <col min="4" max="4" width="5.125" style="1" customWidth="1"/>
    <col min="5" max="5" width="8.75" style="1" customWidth="1"/>
    <col min="6" max="6" width="5.125" style="1" customWidth="1"/>
    <col min="7" max="7" width="8.625" style="1" customWidth="1"/>
    <col min="8" max="8" width="6.625" style="6" customWidth="1"/>
    <col min="9" max="9" width="5.875" style="6" customWidth="1"/>
    <col min="10" max="10" width="5.125" style="6" hidden="1" customWidth="1"/>
    <col min="11" max="11" width="8.875" style="1" hidden="1" customWidth="1"/>
    <col min="12" max="12" width="5.125" style="6" hidden="1" customWidth="1"/>
    <col min="13" max="13" width="8.875" style="1" hidden="1" customWidth="1"/>
    <col min="14" max="14" width="5.125" style="6" hidden="1" customWidth="1"/>
    <col min="15" max="15" width="8.875" style="1" hidden="1" customWidth="1"/>
    <col min="16" max="16" width="5.125" style="6" hidden="1" customWidth="1"/>
    <col min="17" max="17" width="8.875" style="1" hidden="1" customWidth="1"/>
    <col min="18" max="18" width="5.125" style="6" hidden="1" customWidth="1"/>
    <col min="19" max="19" width="8.875" style="1" hidden="1" customWidth="1"/>
    <col min="20" max="20" width="5.125" style="6" customWidth="1"/>
    <col min="21" max="21" width="8.875" style="1" customWidth="1"/>
    <col min="22" max="22" width="5.125" style="6" customWidth="1"/>
    <col min="23" max="23" width="8.875" style="1" customWidth="1"/>
    <col min="24" max="24" width="5.125" style="6" hidden="1" customWidth="1"/>
    <col min="25" max="25" width="8.875" style="1" hidden="1" customWidth="1"/>
    <col min="26" max="26" width="5.125" style="6" hidden="1" customWidth="1"/>
    <col min="27" max="27" width="8.875" style="1" hidden="1" customWidth="1"/>
    <col min="28" max="28" width="5.125" style="6" hidden="1" customWidth="1"/>
    <col min="29" max="29" width="8.875" style="1" hidden="1" customWidth="1"/>
    <col min="30" max="30" width="5.125" style="6" hidden="1" customWidth="1"/>
    <col min="31" max="31" width="8.875" style="1" hidden="1" customWidth="1"/>
    <col min="32" max="32" width="5.125" style="6" hidden="1" customWidth="1"/>
    <col min="33" max="33" width="8.875" style="1" hidden="1" customWidth="1"/>
    <col min="34" max="34" width="18.875" style="1" customWidth="1"/>
    <col min="35" max="35" width="11.25" style="1" customWidth="1"/>
    <col min="36" max="36" width="10.25" style="1"/>
    <col min="37" max="37" width="4.5" style="1" customWidth="1"/>
    <col min="38" max="38" width="6.125" style="1" customWidth="1"/>
    <col min="39" max="16384" width="9" style="4"/>
  </cols>
  <sheetData>
    <row r="1" spans="1:40" ht="25.5" customHeight="1">
      <c r="A1" s="5" t="s">
        <v>43</v>
      </c>
      <c r="AI1" s="7" t="s">
        <v>20</v>
      </c>
      <c r="AJ1" s="4"/>
      <c r="AK1" s="4"/>
      <c r="AL1" s="4"/>
    </row>
    <row r="2" spans="1:40" ht="25.5" customHeight="1">
      <c r="A2" s="5"/>
      <c r="C2" s="60"/>
      <c r="D2" s="60"/>
      <c r="E2" s="60"/>
      <c r="F2" s="60"/>
      <c r="G2" s="60"/>
      <c r="K2" s="60"/>
      <c r="M2" s="60"/>
      <c r="O2" s="60"/>
      <c r="Q2" s="60"/>
      <c r="S2" s="60"/>
      <c r="U2" s="60"/>
      <c r="W2" s="60"/>
      <c r="Y2" s="60"/>
      <c r="AA2" s="60"/>
      <c r="AC2" s="60"/>
      <c r="AE2" s="60"/>
      <c r="AG2" s="60"/>
      <c r="AH2" s="60"/>
      <c r="AI2" s="7"/>
      <c r="AJ2" s="4"/>
      <c r="AK2" s="4"/>
      <c r="AL2" s="4"/>
    </row>
    <row r="3" spans="1:40" ht="22.5" customHeight="1">
      <c r="A3" s="74" t="s">
        <v>0</v>
      </c>
      <c r="B3" s="74" t="s">
        <v>1</v>
      </c>
      <c r="C3" s="74" t="s">
        <v>2</v>
      </c>
      <c r="D3" s="194" t="s">
        <v>44</v>
      </c>
      <c r="E3" s="194"/>
      <c r="F3" s="195" t="s">
        <v>45</v>
      </c>
      <c r="G3" s="196"/>
      <c r="H3" s="75" t="s">
        <v>27</v>
      </c>
      <c r="I3" s="76" t="s">
        <v>28</v>
      </c>
      <c r="J3" s="197" t="s">
        <v>30</v>
      </c>
      <c r="K3" s="196"/>
      <c r="L3" s="197" t="s">
        <v>31</v>
      </c>
      <c r="M3" s="196"/>
      <c r="N3" s="197" t="s">
        <v>32</v>
      </c>
      <c r="O3" s="196"/>
      <c r="P3" s="197" t="s">
        <v>33</v>
      </c>
      <c r="Q3" s="196"/>
      <c r="R3" s="197" t="s">
        <v>34</v>
      </c>
      <c r="S3" s="196"/>
      <c r="T3" s="197" t="s">
        <v>35</v>
      </c>
      <c r="U3" s="196"/>
      <c r="V3" s="197" t="s">
        <v>36</v>
      </c>
      <c r="W3" s="196"/>
      <c r="X3" s="197" t="s">
        <v>37</v>
      </c>
      <c r="Y3" s="196"/>
      <c r="Z3" s="197" t="s">
        <v>22</v>
      </c>
      <c r="AA3" s="196"/>
      <c r="AB3" s="197" t="s">
        <v>23</v>
      </c>
      <c r="AC3" s="196"/>
      <c r="AD3" s="197" t="s">
        <v>24</v>
      </c>
      <c r="AE3" s="196"/>
      <c r="AF3" s="197" t="s">
        <v>25</v>
      </c>
      <c r="AG3" s="196"/>
      <c r="AH3" s="74" t="s">
        <v>46</v>
      </c>
      <c r="AI3" s="77" t="s">
        <v>4</v>
      </c>
      <c r="AJ3" s="73"/>
      <c r="AK3" s="4"/>
      <c r="AL3" s="4"/>
    </row>
    <row r="4" spans="1:40" ht="22.5" customHeight="1">
      <c r="A4" s="176"/>
      <c r="B4" s="179"/>
      <c r="C4" s="140"/>
      <c r="D4" s="78"/>
      <c r="E4" s="79"/>
      <c r="F4" s="80"/>
      <c r="G4" s="81"/>
      <c r="H4" s="181"/>
      <c r="I4" s="188"/>
      <c r="J4" s="82"/>
      <c r="K4" s="83"/>
      <c r="L4" s="82"/>
      <c r="M4" s="83"/>
      <c r="N4" s="82"/>
      <c r="O4" s="83"/>
      <c r="P4" s="82"/>
      <c r="Q4" s="83"/>
      <c r="R4" s="82"/>
      <c r="S4" s="83"/>
      <c r="T4" s="98" t="s">
        <v>29</v>
      </c>
      <c r="U4" s="99"/>
      <c r="V4" s="82"/>
      <c r="W4" s="83"/>
      <c r="X4" s="82"/>
      <c r="Y4" s="83"/>
      <c r="Z4" s="82"/>
      <c r="AA4" s="83"/>
      <c r="AB4" s="82"/>
      <c r="AC4" s="83"/>
      <c r="AD4" s="82"/>
      <c r="AE4" s="83"/>
      <c r="AF4" s="82"/>
      <c r="AG4" s="83"/>
      <c r="AH4" s="201"/>
      <c r="AI4" s="201"/>
      <c r="AJ4" s="73"/>
      <c r="AK4" s="4"/>
      <c r="AL4" s="4"/>
    </row>
    <row r="5" spans="1:40" ht="22.5" customHeight="1">
      <c r="A5" s="177"/>
      <c r="B5" s="180"/>
      <c r="C5" s="141"/>
      <c r="D5" s="84"/>
      <c r="E5" s="85"/>
      <c r="F5" s="86"/>
      <c r="G5" s="87"/>
      <c r="H5" s="182"/>
      <c r="I5" s="189"/>
      <c r="J5" s="88"/>
      <c r="K5" s="89"/>
      <c r="L5" s="88"/>
      <c r="M5" s="89"/>
      <c r="N5" s="88"/>
      <c r="O5" s="89"/>
      <c r="P5" s="88"/>
      <c r="Q5" s="89"/>
      <c r="R5" s="88"/>
      <c r="S5" s="89"/>
      <c r="T5" s="112"/>
      <c r="U5" s="113"/>
      <c r="V5" s="88"/>
      <c r="W5" s="113"/>
      <c r="X5" s="88"/>
      <c r="Y5" s="89"/>
      <c r="Z5" s="88"/>
      <c r="AA5" s="89"/>
      <c r="AB5" s="88"/>
      <c r="AC5" s="89"/>
      <c r="AD5" s="88"/>
      <c r="AE5" s="89"/>
      <c r="AF5" s="88"/>
      <c r="AG5" s="89"/>
      <c r="AH5" s="207"/>
      <c r="AI5" s="207"/>
      <c r="AJ5" s="72"/>
      <c r="AK5" s="8"/>
      <c r="AL5" s="8"/>
      <c r="AM5" s="8"/>
      <c r="AN5" s="8"/>
    </row>
    <row r="6" spans="1:40" ht="22.5" customHeight="1">
      <c r="A6" s="177"/>
      <c r="B6" s="180"/>
      <c r="C6" s="141"/>
      <c r="D6" s="84"/>
      <c r="E6" s="85"/>
      <c r="F6" s="90"/>
      <c r="G6" s="87"/>
      <c r="H6" s="182"/>
      <c r="I6" s="189"/>
      <c r="J6" s="184"/>
      <c r="K6" s="186"/>
      <c r="L6" s="184"/>
      <c r="M6" s="186"/>
      <c r="N6" s="184"/>
      <c r="O6" s="186"/>
      <c r="P6" s="184"/>
      <c r="Q6" s="186"/>
      <c r="R6" s="184"/>
      <c r="S6" s="186"/>
      <c r="T6" s="184" t="s">
        <v>13</v>
      </c>
      <c r="U6" s="186"/>
      <c r="V6" s="184"/>
      <c r="W6" s="186"/>
      <c r="X6" s="184"/>
      <c r="Y6" s="186"/>
      <c r="Z6" s="184"/>
      <c r="AA6" s="186"/>
      <c r="AB6" s="184"/>
      <c r="AC6" s="186"/>
      <c r="AD6" s="184"/>
      <c r="AE6" s="186"/>
      <c r="AF6" s="184"/>
      <c r="AG6" s="186"/>
      <c r="AH6" s="207"/>
      <c r="AI6" s="207"/>
      <c r="AJ6" s="72"/>
      <c r="AK6" s="8"/>
      <c r="AL6" s="8"/>
      <c r="AM6" s="8"/>
      <c r="AN6" s="8"/>
    </row>
    <row r="7" spans="1:40" ht="22.5" customHeight="1">
      <c r="A7" s="178"/>
      <c r="B7" s="44"/>
      <c r="C7" s="142"/>
      <c r="D7" s="91"/>
      <c r="E7" s="92"/>
      <c r="F7" s="91"/>
      <c r="G7" s="92"/>
      <c r="H7" s="183"/>
      <c r="I7" s="190"/>
      <c r="J7" s="185"/>
      <c r="K7" s="187"/>
      <c r="L7" s="185"/>
      <c r="M7" s="187"/>
      <c r="N7" s="185"/>
      <c r="O7" s="187"/>
      <c r="P7" s="185"/>
      <c r="Q7" s="187"/>
      <c r="R7" s="185"/>
      <c r="S7" s="187"/>
      <c r="T7" s="185"/>
      <c r="U7" s="187"/>
      <c r="V7" s="185"/>
      <c r="W7" s="187"/>
      <c r="X7" s="185"/>
      <c r="Y7" s="187"/>
      <c r="Z7" s="185"/>
      <c r="AA7" s="187"/>
      <c r="AB7" s="185"/>
      <c r="AC7" s="187"/>
      <c r="AD7" s="185"/>
      <c r="AE7" s="187"/>
      <c r="AF7" s="185"/>
      <c r="AG7" s="187"/>
      <c r="AH7" s="59"/>
      <c r="AI7" s="208"/>
      <c r="AJ7" s="73"/>
      <c r="AK7" s="4"/>
      <c r="AL7" s="4"/>
    </row>
    <row r="8" spans="1:40" ht="22.5" customHeight="1">
      <c r="A8" s="121"/>
      <c r="B8" s="47"/>
      <c r="C8" s="123"/>
      <c r="D8" s="124"/>
      <c r="E8" s="125"/>
      <c r="F8" s="124"/>
      <c r="G8" s="125"/>
      <c r="H8" s="119"/>
      <c r="I8" s="120"/>
      <c r="J8" s="126"/>
      <c r="K8" s="127"/>
      <c r="L8" s="126"/>
      <c r="M8" s="127"/>
      <c r="N8" s="126"/>
      <c r="O8" s="127"/>
      <c r="P8" s="126"/>
      <c r="Q8" s="127"/>
      <c r="R8" s="126"/>
      <c r="S8" s="127"/>
      <c r="T8" s="126"/>
      <c r="U8" s="127"/>
      <c r="V8" s="126"/>
      <c r="W8" s="127"/>
      <c r="X8" s="126"/>
      <c r="Y8" s="127"/>
      <c r="Z8" s="126"/>
      <c r="AA8" s="127"/>
      <c r="AB8" s="126"/>
      <c r="AC8" s="127"/>
      <c r="AD8" s="126"/>
      <c r="AE8" s="127"/>
      <c r="AF8" s="126"/>
      <c r="AG8" s="127"/>
      <c r="AH8" s="128"/>
      <c r="AI8" s="118"/>
      <c r="AJ8" s="73"/>
      <c r="AK8" s="4"/>
      <c r="AL8" s="4"/>
    </row>
    <row r="9" spans="1:40" ht="22.5" customHeight="1">
      <c r="A9" s="164" t="s">
        <v>65</v>
      </c>
      <c r="B9" s="165"/>
      <c r="C9" s="166"/>
      <c r="D9" s="94" t="s">
        <v>66</v>
      </c>
      <c r="E9" s="107"/>
      <c r="F9" s="96" t="s">
        <v>75</v>
      </c>
      <c r="G9" s="107"/>
      <c r="H9" s="181"/>
      <c r="I9" s="191"/>
      <c r="J9" s="98" t="s">
        <v>76</v>
      </c>
      <c r="K9" s="99"/>
      <c r="L9" s="98" t="s">
        <v>76</v>
      </c>
      <c r="M9" s="99"/>
      <c r="N9" s="98" t="s">
        <v>76</v>
      </c>
      <c r="O9" s="99"/>
      <c r="P9" s="98" t="s">
        <v>76</v>
      </c>
      <c r="Q9" s="99"/>
      <c r="R9" s="98" t="s">
        <v>76</v>
      </c>
      <c r="S9" s="99"/>
      <c r="T9" s="173"/>
      <c r="U9" s="161"/>
      <c r="V9" s="173"/>
      <c r="W9" s="161"/>
      <c r="X9" s="98" t="s">
        <v>76</v>
      </c>
      <c r="Y9" s="99"/>
      <c r="Z9" s="98" t="s">
        <v>76</v>
      </c>
      <c r="AA9" s="99"/>
      <c r="AB9" s="98" t="s">
        <v>76</v>
      </c>
      <c r="AC9" s="99"/>
      <c r="AD9" s="98" t="s">
        <v>76</v>
      </c>
      <c r="AE9" s="99"/>
      <c r="AF9" s="98" t="s">
        <v>76</v>
      </c>
      <c r="AG9" s="99"/>
      <c r="AH9" s="204"/>
      <c r="AI9" s="198"/>
      <c r="AJ9" s="62"/>
      <c r="AK9" s="62"/>
      <c r="AL9" s="62"/>
      <c r="AM9" s="73"/>
      <c r="AN9" s="73"/>
    </row>
    <row r="10" spans="1:40" ht="22.5" customHeight="1">
      <c r="A10" s="167"/>
      <c r="B10" s="168"/>
      <c r="C10" s="169"/>
      <c r="D10" s="100" t="s">
        <v>69</v>
      </c>
      <c r="E10" s="108"/>
      <c r="F10" s="102" t="s">
        <v>77</v>
      </c>
      <c r="G10" s="108"/>
      <c r="H10" s="182"/>
      <c r="I10" s="192"/>
      <c r="J10" s="109" t="s">
        <v>68</v>
      </c>
      <c r="K10" s="110">
        <v>0</v>
      </c>
      <c r="L10" s="109" t="s">
        <v>68</v>
      </c>
      <c r="M10" s="110">
        <v>0</v>
      </c>
      <c r="N10" s="109" t="s">
        <v>68</v>
      </c>
      <c r="O10" s="110">
        <v>0</v>
      </c>
      <c r="P10" s="109" t="s">
        <v>68</v>
      </c>
      <c r="Q10" s="110">
        <v>0</v>
      </c>
      <c r="R10" s="109" t="s">
        <v>68</v>
      </c>
      <c r="S10" s="110">
        <v>0</v>
      </c>
      <c r="T10" s="174"/>
      <c r="U10" s="162"/>
      <c r="V10" s="174"/>
      <c r="W10" s="162"/>
      <c r="X10" s="109" t="s">
        <v>68</v>
      </c>
      <c r="Y10" s="110">
        <v>0</v>
      </c>
      <c r="Z10" s="109" t="s">
        <v>68</v>
      </c>
      <c r="AA10" s="110">
        <v>0</v>
      </c>
      <c r="AB10" s="109" t="s">
        <v>68</v>
      </c>
      <c r="AC10" s="110">
        <v>0</v>
      </c>
      <c r="AD10" s="109" t="s">
        <v>68</v>
      </c>
      <c r="AE10" s="110">
        <v>0</v>
      </c>
      <c r="AF10" s="109" t="s">
        <v>68</v>
      </c>
      <c r="AG10" s="110">
        <v>0</v>
      </c>
      <c r="AH10" s="205"/>
      <c r="AI10" s="199"/>
    </row>
    <row r="11" spans="1:40" ht="22.5" customHeight="1">
      <c r="A11" s="167"/>
      <c r="B11" s="168"/>
      <c r="C11" s="169"/>
      <c r="D11" s="100" t="s">
        <v>71</v>
      </c>
      <c r="E11" s="93"/>
      <c r="F11" s="104" t="s">
        <v>71</v>
      </c>
      <c r="G11" s="93"/>
      <c r="H11" s="182"/>
      <c r="I11" s="192"/>
      <c r="J11" s="174" t="s">
        <v>78</v>
      </c>
      <c r="K11" s="169"/>
      <c r="L11" s="174" t="s">
        <v>78</v>
      </c>
      <c r="M11" s="169"/>
      <c r="N11" s="174" t="s">
        <v>78</v>
      </c>
      <c r="O11" s="169"/>
      <c r="P11" s="174" t="s">
        <v>78</v>
      </c>
      <c r="Q11" s="169"/>
      <c r="R11" s="174" t="s">
        <v>78</v>
      </c>
      <c r="S11" s="169"/>
      <c r="T11" s="174"/>
      <c r="U11" s="162"/>
      <c r="V11" s="174"/>
      <c r="W11" s="162"/>
      <c r="X11" s="174" t="s">
        <v>78</v>
      </c>
      <c r="Y11" s="169"/>
      <c r="Z11" s="174" t="s">
        <v>78</v>
      </c>
      <c r="AA11" s="169"/>
      <c r="AB11" s="174" t="s">
        <v>78</v>
      </c>
      <c r="AC11" s="169"/>
      <c r="AD11" s="174" t="s">
        <v>78</v>
      </c>
      <c r="AE11" s="169"/>
      <c r="AF11" s="174" t="s">
        <v>78</v>
      </c>
      <c r="AG11" s="169"/>
      <c r="AH11" s="205"/>
      <c r="AI11" s="199"/>
    </row>
    <row r="12" spans="1:40" ht="22.5" customHeight="1">
      <c r="A12" s="170"/>
      <c r="B12" s="171"/>
      <c r="C12" s="172"/>
      <c r="D12" s="105" t="s">
        <v>73</v>
      </c>
      <c r="E12" s="106"/>
      <c r="F12" s="105" t="s">
        <v>79</v>
      </c>
      <c r="G12" s="106"/>
      <c r="H12" s="183"/>
      <c r="I12" s="193"/>
      <c r="J12" s="221"/>
      <c r="K12" s="222"/>
      <c r="L12" s="221"/>
      <c r="M12" s="222"/>
      <c r="N12" s="221"/>
      <c r="O12" s="222"/>
      <c r="P12" s="221"/>
      <c r="Q12" s="222"/>
      <c r="R12" s="221"/>
      <c r="S12" s="222"/>
      <c r="T12" s="175"/>
      <c r="U12" s="163"/>
      <c r="V12" s="175"/>
      <c r="W12" s="163"/>
      <c r="X12" s="221"/>
      <c r="Y12" s="222"/>
      <c r="Z12" s="221"/>
      <c r="AA12" s="222"/>
      <c r="AB12" s="221"/>
      <c r="AC12" s="222"/>
      <c r="AD12" s="221"/>
      <c r="AE12" s="222"/>
      <c r="AF12" s="221"/>
      <c r="AG12" s="222"/>
      <c r="AH12" s="206"/>
      <c r="AI12" s="200"/>
    </row>
  </sheetData>
  <mergeCells count="73">
    <mergeCell ref="AG6:AG7"/>
    <mergeCell ref="AC11:AC12"/>
    <mergeCell ref="AD11:AD12"/>
    <mergeCell ref="AE11:AE12"/>
    <mergeCell ref="X11:X12"/>
    <mergeCell ref="AC6:AC7"/>
    <mergeCell ref="AD6:AD7"/>
    <mergeCell ref="AE6:AE7"/>
    <mergeCell ref="Y6:Y7"/>
    <mergeCell ref="Z6:Z7"/>
    <mergeCell ref="AA6:AA7"/>
    <mergeCell ref="AB6:AB7"/>
    <mergeCell ref="A9:C12"/>
    <mergeCell ref="U9:U12"/>
    <mergeCell ref="V9:V12"/>
    <mergeCell ref="AH9:AH12"/>
    <mergeCell ref="AF6:AF7"/>
    <mergeCell ref="H4:H7"/>
    <mergeCell ref="I4:I7"/>
    <mergeCell ref="A4:A7"/>
    <mergeCell ref="H9:H12"/>
    <mergeCell ref="I9:I12"/>
    <mergeCell ref="P11:P12"/>
    <mergeCell ref="Q11:Q12"/>
    <mergeCell ref="R11:R12"/>
    <mergeCell ref="S11:S12"/>
    <mergeCell ref="Y11:Y12"/>
    <mergeCell ref="T9:T12"/>
    <mergeCell ref="AI9:AI12"/>
    <mergeCell ref="J11:J12"/>
    <mergeCell ref="K11:K12"/>
    <mergeCell ref="L11:L12"/>
    <mergeCell ref="M11:M12"/>
    <mergeCell ref="N11:N12"/>
    <mergeCell ref="O11:O12"/>
    <mergeCell ref="AF11:AF12"/>
    <mergeCell ref="AG11:AG12"/>
    <mergeCell ref="Z11:Z12"/>
    <mergeCell ref="AA11:AA12"/>
    <mergeCell ref="AB11:AB12"/>
    <mergeCell ref="W9:W12"/>
    <mergeCell ref="D3:E3"/>
    <mergeCell ref="F3:G3"/>
    <mergeCell ref="J3:K3"/>
    <mergeCell ref="AI4:A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AH4:AH6"/>
    <mergeCell ref="B4:B6"/>
    <mergeCell ref="U6:U7"/>
    <mergeCell ref="V6:V7"/>
    <mergeCell ref="W6:W7"/>
    <mergeCell ref="X6:X7"/>
    <mergeCell ref="L3:M3"/>
    <mergeCell ref="N3:O3"/>
    <mergeCell ref="AD3:AE3"/>
    <mergeCell ref="AF3:AG3"/>
    <mergeCell ref="R3:S3"/>
    <mergeCell ref="T3:U3"/>
    <mergeCell ref="V3:W3"/>
    <mergeCell ref="X3:Y3"/>
    <mergeCell ref="Z3:AA3"/>
    <mergeCell ref="AB3:AC3"/>
    <mergeCell ref="P3:Q3"/>
  </mergeCells>
  <phoneticPr fontId="2" type="noConversion"/>
  <printOptions horizontalCentered="1"/>
  <pageMargins left="0.15748031496062992" right="0.15748031496062992" top="0.47244094488188981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총괄</vt:lpstr>
      <vt:lpstr>수행과업</vt:lpstr>
      <vt:lpstr>부서협조</vt:lpstr>
      <vt:lpstr>일괄외주</vt:lpstr>
      <vt:lpstr>부서협조!Print_Area</vt:lpstr>
      <vt:lpstr>수행과업!Print_Area</vt:lpstr>
      <vt:lpstr>일괄외주!Print_Area</vt:lpstr>
      <vt:lpstr>총괄!Print_Area</vt:lpstr>
      <vt:lpstr>수행과업!Print_Titles</vt:lpstr>
      <vt:lpstr>일괄외주!Print_Titles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ch677</dc:creator>
  <cp:lastModifiedBy>chi hyung an</cp:lastModifiedBy>
  <cp:lastPrinted>2019-08-29T02:13:04Z</cp:lastPrinted>
  <dcterms:created xsi:type="dcterms:W3CDTF">2019-07-11T08:22:01Z</dcterms:created>
  <dcterms:modified xsi:type="dcterms:W3CDTF">2022-01-07T04:04:49Z</dcterms:modified>
</cp:coreProperties>
</file>