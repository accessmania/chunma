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이전pc\천마기술단\"/>
    </mc:Choice>
  </mc:AlternateContent>
  <xr:revisionPtr revIDLastSave="0" documentId="13_ncr:1_{E71B9212-0415-484C-A144-3F8597F372D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총  괄 " sheetId="9" r:id="rId1"/>
    <sheet name="수행과업" sheetId="4" r:id="rId2"/>
    <sheet name="부서협조" sheetId="5" r:id="rId3"/>
    <sheet name="일괄외주관리(없음)-출력X" sheetId="6" r:id="rId4"/>
    <sheet name="외주관리-부가세포함(토목부 백업)-출력X" sheetId="10" r:id="rId5"/>
    <sheet name="Sheet1" sheetId="1" r:id="rId6"/>
    <sheet name="Sheet2" sheetId="2" r:id="rId7"/>
    <sheet name="Sheet3" sheetId="3" r:id="rId8"/>
    <sheet name="Sheet4" sheetId="8" r:id="rId9"/>
  </sheets>
  <definedNames>
    <definedName name="_xlnm.Print_Area" localSheetId="2">부서협조!$A$1:$AI$18</definedName>
    <definedName name="_xlnm.Print_Area" localSheetId="1">수행과업!$A$1:$AI$67</definedName>
    <definedName name="_xlnm.Print_Area" localSheetId="4">'외주관리-부가세포함(토목부 백업)-출력X'!$A$1:$AI$62</definedName>
    <definedName name="_xlnm.Print_Area" localSheetId="3">'일괄외주관리(없음)-출력X'!$A$1:$AI$22</definedName>
    <definedName name="_xlnm.Print_Area" localSheetId="0">'총  괄 '!$A$1:$J$44</definedName>
    <definedName name="_xlnm.Print_Titles" localSheetId="1">수행과업!$2:$3</definedName>
    <definedName name="_xlnm.Print_Titles" localSheetId="4">'외주관리-부가세포함(토목부 백업)-출력X'!$1:$2</definedName>
    <definedName name="_xlnm.Print_Titles" localSheetId="3">'일괄외주관리(없음)-출력X'!$1:$2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9" l="1"/>
  <c r="AN35" i="4"/>
  <c r="AN34" i="4"/>
  <c r="AP33" i="4"/>
  <c r="G34" i="4" s="1"/>
  <c r="E33" i="4"/>
  <c r="AP32" i="4"/>
  <c r="I32" i="4"/>
  <c r="E32" i="4"/>
  <c r="B6" i="9"/>
  <c r="AR4" i="5"/>
  <c r="G21" i="6"/>
  <c r="G20" i="6"/>
  <c r="G19" i="6"/>
  <c r="E21" i="6"/>
  <c r="E20" i="6"/>
  <c r="E19" i="6"/>
  <c r="AM58" i="10"/>
  <c r="AO57" i="10"/>
  <c r="AM57" i="10"/>
  <c r="Y57" i="10"/>
  <c r="W57" i="10"/>
  <c r="U57" i="10"/>
  <c r="AO56" i="10"/>
  <c r="Q56" i="10"/>
  <c r="G56" i="10"/>
  <c r="E56" i="10"/>
  <c r="E58" i="10" s="1"/>
  <c r="AO55" i="10"/>
  <c r="Y55" i="10"/>
  <c r="W55" i="10"/>
  <c r="G55" i="10"/>
  <c r="U56" i="10" s="1"/>
  <c r="E55" i="10"/>
  <c r="AM54" i="10"/>
  <c r="AO53" i="10"/>
  <c r="G52" i="10" s="1"/>
  <c r="AM53" i="10"/>
  <c r="W53" i="10"/>
  <c r="U53" i="10"/>
  <c r="AO52" i="10"/>
  <c r="G51" i="10" s="1"/>
  <c r="E52" i="10"/>
  <c r="AO51" i="10"/>
  <c r="W51" i="10"/>
  <c r="E51" i="10"/>
  <c r="E53" i="10" s="1"/>
  <c r="AO49" i="10"/>
  <c r="G48" i="10" s="1"/>
  <c r="AO48" i="10"/>
  <c r="AO50" i="10" s="1"/>
  <c r="AM48" i="10"/>
  <c r="E48" i="10" s="1"/>
  <c r="AO47" i="10"/>
  <c r="I47" i="10"/>
  <c r="E47" i="10"/>
  <c r="AM46" i="10"/>
  <c r="AO45" i="10"/>
  <c r="G44" i="10" s="1"/>
  <c r="AM45" i="10"/>
  <c r="AO44" i="10"/>
  <c r="G43" i="10" s="1"/>
  <c r="E44" i="10"/>
  <c r="E46" i="10" s="1"/>
  <c r="AH46" i="10" s="1"/>
  <c r="AO43" i="10"/>
  <c r="I43" i="10"/>
  <c r="E43" i="10"/>
  <c r="AM42" i="10"/>
  <c r="AO41" i="10"/>
  <c r="G40" i="10" s="1"/>
  <c r="AM41" i="10"/>
  <c r="AO40" i="10"/>
  <c r="G39" i="10" s="1"/>
  <c r="E40" i="10"/>
  <c r="E42" i="10" s="1"/>
  <c r="AO39" i="10"/>
  <c r="I39" i="10"/>
  <c r="E39" i="10"/>
  <c r="AM38" i="10"/>
  <c r="AO37" i="10"/>
  <c r="AM37" i="10"/>
  <c r="AO36" i="10"/>
  <c r="G35" i="10" s="1"/>
  <c r="G36" i="10"/>
  <c r="E36" i="10"/>
  <c r="AO35" i="10"/>
  <c r="I35" i="10"/>
  <c r="E35" i="10"/>
  <c r="AM34" i="10"/>
  <c r="AO33" i="10"/>
  <c r="G32" i="10" s="1"/>
  <c r="AM33" i="10"/>
  <c r="AO32" i="10"/>
  <c r="E32" i="10"/>
  <c r="AO31" i="10"/>
  <c r="I31" i="10"/>
  <c r="G31" i="10"/>
  <c r="AG32" i="10" s="1"/>
  <c r="E31" i="10"/>
  <c r="E33" i="10" s="1"/>
  <c r="AM30" i="10"/>
  <c r="AO29" i="10"/>
  <c r="G28" i="10" s="1"/>
  <c r="AM29" i="10"/>
  <c r="Y29" i="10"/>
  <c r="W29" i="10"/>
  <c r="U29" i="10"/>
  <c r="AO28" i="10"/>
  <c r="AO30" i="10" s="1"/>
  <c r="E28" i="10"/>
  <c r="AO27" i="10"/>
  <c r="Y27" i="10"/>
  <c r="W27" i="10"/>
  <c r="H27" i="10"/>
  <c r="E27" i="10"/>
  <c r="AM26" i="10"/>
  <c r="AO25" i="10"/>
  <c r="G24" i="10" s="1"/>
  <c r="AM25" i="10"/>
  <c r="AO24" i="10"/>
  <c r="G23" i="10" s="1"/>
  <c r="E24" i="10"/>
  <c r="AO23" i="10"/>
  <c r="I23" i="10"/>
  <c r="E23" i="10"/>
  <c r="AM22" i="10"/>
  <c r="AO21" i="10"/>
  <c r="G20" i="10" s="1"/>
  <c r="AO20" i="10"/>
  <c r="AM20" i="10"/>
  <c r="AM21" i="10" s="1"/>
  <c r="AO19" i="10"/>
  <c r="I19" i="10"/>
  <c r="G19" i="10"/>
  <c r="AE20" i="10" s="1"/>
  <c r="E19" i="10"/>
  <c r="AM18" i="10"/>
  <c r="AO17" i="10"/>
  <c r="G16" i="10" s="1"/>
  <c r="AM17" i="10"/>
  <c r="AO16" i="10"/>
  <c r="G15" i="10" s="1"/>
  <c r="E16" i="10"/>
  <c r="E18" i="10" s="1"/>
  <c r="AO15" i="10"/>
  <c r="I15" i="10"/>
  <c r="E15" i="10"/>
  <c r="AO13" i="10"/>
  <c r="G12" i="10" s="1"/>
  <c r="AM13" i="10"/>
  <c r="AO12" i="10"/>
  <c r="AO14" i="10" s="1"/>
  <c r="AM12" i="10"/>
  <c r="E12" i="10" s="1"/>
  <c r="AO11" i="10"/>
  <c r="I11" i="10"/>
  <c r="E11" i="10"/>
  <c r="AO9" i="10"/>
  <c r="G8" i="10" s="1"/>
  <c r="BI8" i="10"/>
  <c r="BG8" i="10"/>
  <c r="AO8" i="10" s="1"/>
  <c r="AM8" i="10"/>
  <c r="AM10" i="10" s="1"/>
  <c r="AO7" i="10"/>
  <c r="I7" i="10"/>
  <c r="E7" i="10"/>
  <c r="AM6" i="10"/>
  <c r="AO5" i="10"/>
  <c r="AM5" i="10"/>
  <c r="AO4" i="10"/>
  <c r="G3" i="10" s="1"/>
  <c r="G4" i="10"/>
  <c r="E4" i="10"/>
  <c r="AO3" i="10"/>
  <c r="I3" i="10"/>
  <c r="E3" i="10"/>
  <c r="G37" i="9"/>
  <c r="E37" i="9"/>
  <c r="B5" i="9"/>
  <c r="B4" i="9"/>
  <c r="G13" i="5"/>
  <c r="G9" i="5"/>
  <c r="E8" i="4"/>
  <c r="E9" i="4"/>
  <c r="E12" i="4"/>
  <c r="E13" i="4"/>
  <c r="E16" i="4"/>
  <c r="E17" i="4"/>
  <c r="E20" i="4"/>
  <c r="E21" i="4"/>
  <c r="E24" i="4"/>
  <c r="E25" i="4"/>
  <c r="E28" i="4"/>
  <c r="E29" i="4"/>
  <c r="E31" i="4" s="1"/>
  <c r="E36" i="4"/>
  <c r="E37" i="4"/>
  <c r="E40" i="4"/>
  <c r="E41" i="4"/>
  <c r="E44" i="4"/>
  <c r="E45" i="4"/>
  <c r="E48" i="4"/>
  <c r="E49" i="4"/>
  <c r="E52" i="4"/>
  <c r="E53" i="4"/>
  <c r="E56" i="4"/>
  <c r="E57" i="4"/>
  <c r="E60" i="4"/>
  <c r="E61" i="4"/>
  <c r="E5" i="4"/>
  <c r="E4" i="4"/>
  <c r="G42" i="9"/>
  <c r="C29" i="9"/>
  <c r="AE56" i="10" l="1"/>
  <c r="E29" i="10"/>
  <c r="E25" i="10"/>
  <c r="G11" i="10"/>
  <c r="G13" i="10"/>
  <c r="AM14" i="10"/>
  <c r="E37" i="10"/>
  <c r="E64" i="4"/>
  <c r="C4" i="9" s="1"/>
  <c r="AC20" i="10"/>
  <c r="I27" i="10"/>
  <c r="AH30" i="10" s="1"/>
  <c r="E50" i="10"/>
  <c r="E49" i="10"/>
  <c r="G26" i="10"/>
  <c r="AG24" i="10"/>
  <c r="AE24" i="10"/>
  <c r="AC24" i="10"/>
  <c r="S24" i="10"/>
  <c r="Q24" i="10"/>
  <c r="O24" i="10"/>
  <c r="AG40" i="10"/>
  <c r="AC40" i="10"/>
  <c r="Q40" i="10"/>
  <c r="O40" i="10"/>
  <c r="AE40" i="10"/>
  <c r="AE32" i="10"/>
  <c r="S56" i="10"/>
  <c r="E35" i="4"/>
  <c r="G60" i="10"/>
  <c r="Q32" i="10"/>
  <c r="G47" i="10"/>
  <c r="AM49" i="10"/>
  <c r="AC56" i="10"/>
  <c r="E22" i="4"/>
  <c r="E17" i="10"/>
  <c r="E41" i="10"/>
  <c r="E18" i="4"/>
  <c r="AH18" i="10"/>
  <c r="E26" i="10"/>
  <c r="G27" i="10"/>
  <c r="S28" i="10" s="1"/>
  <c r="E45" i="10"/>
  <c r="AM50" i="10"/>
  <c r="E57" i="10"/>
  <c r="AG56" i="10"/>
  <c r="AC32" i="10"/>
  <c r="Q12" i="10"/>
  <c r="O20" i="10"/>
  <c r="AH42" i="10"/>
  <c r="AO58" i="10"/>
  <c r="E59" i="10"/>
  <c r="AE12" i="10"/>
  <c r="AO22" i="10"/>
  <c r="G21" i="10"/>
  <c r="E30" i="10"/>
  <c r="E34" i="10"/>
  <c r="AH34" i="10" s="1"/>
  <c r="E38" i="10"/>
  <c r="AH38" i="10" s="1"/>
  <c r="E54" i="10"/>
  <c r="AH54" i="10" s="1"/>
  <c r="O32" i="10"/>
  <c r="O56" i="10"/>
  <c r="G44" i="9"/>
  <c r="E65" i="4"/>
  <c r="E34" i="4"/>
  <c r="AP35" i="4"/>
  <c r="AH35" i="4"/>
  <c r="G33" i="4"/>
  <c r="E59" i="4"/>
  <c r="E19" i="4"/>
  <c r="E47" i="4"/>
  <c r="E11" i="4"/>
  <c r="E50" i="4"/>
  <c r="E38" i="4"/>
  <c r="I55" i="10"/>
  <c r="AH58" i="10" s="1"/>
  <c r="E55" i="4"/>
  <c r="E58" i="4"/>
  <c r="E30" i="4"/>
  <c r="E46" i="4"/>
  <c r="E23" i="4"/>
  <c r="E15" i="4"/>
  <c r="E39" i="4"/>
  <c r="E27" i="4"/>
  <c r="E63" i="4"/>
  <c r="E51" i="4"/>
  <c r="E43" i="4"/>
  <c r="E10" i="4"/>
  <c r="G37" i="10"/>
  <c r="AA36" i="10"/>
  <c r="M36" i="10"/>
  <c r="AC36" i="10"/>
  <c r="O36" i="10"/>
  <c r="AE36" i="10"/>
  <c r="Q36" i="10"/>
  <c r="AG36" i="10"/>
  <c r="S36" i="10"/>
  <c r="G38" i="10"/>
  <c r="U36" i="10"/>
  <c r="W36" i="10"/>
  <c r="K36" i="10"/>
  <c r="E14" i="10"/>
  <c r="E13" i="10"/>
  <c r="AH14" i="10"/>
  <c r="G45" i="10"/>
  <c r="AA44" i="10"/>
  <c r="M44" i="10"/>
  <c r="AC44" i="10"/>
  <c r="O44" i="10"/>
  <c r="AE44" i="10"/>
  <c r="Q44" i="10"/>
  <c r="AG44" i="10"/>
  <c r="S44" i="10"/>
  <c r="G46" i="10"/>
  <c r="U44" i="10"/>
  <c r="W44" i="10"/>
  <c r="K44" i="10"/>
  <c r="AO10" i="10"/>
  <c r="G7" i="10"/>
  <c r="G18" i="10"/>
  <c r="U16" i="10"/>
  <c r="W16" i="10"/>
  <c r="K16" i="10"/>
  <c r="G17" i="10"/>
  <c r="AA16" i="10"/>
  <c r="M16" i="10"/>
  <c r="AC16" i="10"/>
  <c r="O16" i="10"/>
  <c r="AE16" i="10"/>
  <c r="Q16" i="10"/>
  <c r="AG16" i="10"/>
  <c r="S16" i="10"/>
  <c r="K4" i="10"/>
  <c r="G5" i="10"/>
  <c r="AA4" i="10"/>
  <c r="M4" i="10"/>
  <c r="AC4" i="10"/>
  <c r="O4" i="10"/>
  <c r="AE4" i="10"/>
  <c r="Q4" i="10"/>
  <c r="AG4" i="10"/>
  <c r="S4" i="10"/>
  <c r="G6" i="10"/>
  <c r="U4" i="10"/>
  <c r="W4" i="10"/>
  <c r="W52" i="10"/>
  <c r="K52" i="10"/>
  <c r="G54" i="10"/>
  <c r="G53" i="10"/>
  <c r="AA52" i="10"/>
  <c r="M52" i="10"/>
  <c r="AC52" i="10"/>
  <c r="O52" i="10"/>
  <c r="AE52" i="10"/>
  <c r="Q52" i="10"/>
  <c r="AG52" i="10"/>
  <c r="S52" i="10"/>
  <c r="U52" i="10"/>
  <c r="AH50" i="10"/>
  <c r="AH26" i="10"/>
  <c r="E5" i="10"/>
  <c r="AG28" i="10"/>
  <c r="M20" i="10"/>
  <c r="AA20" i="10"/>
  <c r="Q28" i="10"/>
  <c r="AE28" i="10"/>
  <c r="E6" i="10"/>
  <c r="AH6" i="10" s="1"/>
  <c r="M12" i="10"/>
  <c r="AA12" i="10"/>
  <c r="K20" i="10"/>
  <c r="W20" i="10"/>
  <c r="G22" i="10"/>
  <c r="AO26" i="10"/>
  <c r="O28" i="10"/>
  <c r="AC28" i="10"/>
  <c r="G30" i="10"/>
  <c r="AO34" i="10"/>
  <c r="AO42" i="10"/>
  <c r="AO54" i="10"/>
  <c r="K12" i="10"/>
  <c r="W12" i="10"/>
  <c r="G14" i="10"/>
  <c r="AO18" i="10"/>
  <c r="U20" i="10"/>
  <c r="M24" i="10"/>
  <c r="AA24" i="10"/>
  <c r="G25" i="10"/>
  <c r="M28" i="10"/>
  <c r="AA28" i="10"/>
  <c r="G29" i="10"/>
  <c r="M32" i="10"/>
  <c r="AA32" i="10"/>
  <c r="G33" i="10"/>
  <c r="M40" i="10"/>
  <c r="AA40" i="10"/>
  <c r="G41" i="10"/>
  <c r="M48" i="10"/>
  <c r="AA48" i="10"/>
  <c r="G58" i="10"/>
  <c r="M56" i="10"/>
  <c r="AA56" i="10"/>
  <c r="G57" i="10"/>
  <c r="AO6" i="10"/>
  <c r="AM9" i="10"/>
  <c r="U12" i="10"/>
  <c r="E20" i="10"/>
  <c r="S20" i="10"/>
  <c r="AG20" i="10"/>
  <c r="K24" i="10"/>
  <c r="W24" i="10"/>
  <c r="K28" i="10"/>
  <c r="W28" i="10"/>
  <c r="K32" i="10"/>
  <c r="W32" i="10"/>
  <c r="K40" i="10"/>
  <c r="W40" i="10"/>
  <c r="K48" i="10"/>
  <c r="W48" i="10"/>
  <c r="G50" i="10"/>
  <c r="E8" i="10"/>
  <c r="S12" i="10"/>
  <c r="Q20" i="10"/>
  <c r="U24" i="10"/>
  <c r="U28" i="10"/>
  <c r="U32" i="10"/>
  <c r="G34" i="10"/>
  <c r="AO38" i="10"/>
  <c r="U40" i="10"/>
  <c r="G42" i="10"/>
  <c r="AO46" i="10"/>
  <c r="U48" i="10"/>
  <c r="K56" i="10"/>
  <c r="W56" i="10"/>
  <c r="S32" i="10"/>
  <c r="S40" i="10"/>
  <c r="S48" i="10"/>
  <c r="B7" i="9"/>
  <c r="E54" i="4"/>
  <c r="E42" i="4"/>
  <c r="E26" i="4"/>
  <c r="E14" i="4"/>
  <c r="E62" i="4"/>
  <c r="AG12" i="10" l="1"/>
  <c r="AC12" i="10"/>
  <c r="E67" i="4"/>
  <c r="O12" i="10"/>
  <c r="AG48" i="10"/>
  <c r="AE48" i="10"/>
  <c r="AC48" i="10"/>
  <c r="Q48" i="10"/>
  <c r="O48" i="10"/>
  <c r="G49" i="10"/>
  <c r="G35" i="4"/>
  <c r="G32" i="4"/>
  <c r="C6" i="9"/>
  <c r="AE8" i="10"/>
  <c r="G9" i="10"/>
  <c r="AG8" i="10"/>
  <c r="S8" i="10"/>
  <c r="U8" i="10"/>
  <c r="W8" i="10"/>
  <c r="K8" i="10"/>
  <c r="AA8" i="10"/>
  <c r="M8" i="10"/>
  <c r="G10" i="10"/>
  <c r="AC8" i="10"/>
  <c r="O8" i="10"/>
  <c r="Q8" i="10"/>
  <c r="E10" i="10"/>
  <c r="AH10" i="10" s="1"/>
  <c r="E9" i="10"/>
  <c r="G59" i="10"/>
  <c r="G62" i="10" s="1"/>
  <c r="E22" i="10"/>
  <c r="AH22" i="10" s="1"/>
  <c r="E21" i="10"/>
  <c r="E60" i="10"/>
  <c r="E62" i="10" s="1"/>
  <c r="AP2" i="4"/>
  <c r="AH59" i="10" l="1"/>
  <c r="G61" i="10"/>
  <c r="E61" i="10"/>
  <c r="AE33" i="4"/>
  <c r="S33" i="4"/>
  <c r="AG33" i="4"/>
  <c r="U33" i="4"/>
  <c r="W33" i="4"/>
  <c r="K33" i="4"/>
  <c r="Y33" i="4"/>
  <c r="M33" i="4"/>
  <c r="AA33" i="4"/>
  <c r="O33" i="4"/>
  <c r="AC33" i="4"/>
  <c r="Q33" i="4"/>
  <c r="AK33" i="4"/>
  <c r="AJ33" i="4"/>
  <c r="I60" i="4"/>
  <c r="I56" i="4"/>
  <c r="I52" i="4"/>
  <c r="I48" i="4"/>
  <c r="I44" i="4"/>
  <c r="I40" i="4"/>
  <c r="I36" i="4"/>
  <c r="I28" i="4"/>
  <c r="I24" i="4"/>
  <c r="I20" i="4"/>
  <c r="I16" i="4"/>
  <c r="I12" i="4"/>
  <c r="I8" i="4"/>
  <c r="I4" i="4"/>
  <c r="AH11" i="4" l="1"/>
  <c r="AH63" i="4"/>
  <c r="AH15" i="4"/>
  <c r="AH59" i="4"/>
  <c r="AH55" i="4"/>
  <c r="AH43" i="4"/>
  <c r="AH39" i="4"/>
  <c r="AH31" i="4"/>
  <c r="AH27" i="4"/>
  <c r="AH23" i="4"/>
  <c r="AH51" i="4"/>
  <c r="AH19" i="4"/>
  <c r="AH47" i="4"/>
  <c r="G5" i="5"/>
  <c r="G17" i="5" s="1"/>
  <c r="AN63" i="4"/>
  <c r="AN62" i="4"/>
  <c r="AP61" i="4"/>
  <c r="G62" i="4" s="1"/>
  <c r="AP60" i="4"/>
  <c r="G61" i="4" s="1"/>
  <c r="AN59" i="4"/>
  <c r="AN58" i="4"/>
  <c r="AP57" i="4"/>
  <c r="G58" i="4" s="1"/>
  <c r="AP56" i="4"/>
  <c r="G57" i="4" s="1"/>
  <c r="AN55" i="4"/>
  <c r="AN54" i="4"/>
  <c r="AP53" i="4"/>
  <c r="G54" i="4" s="1"/>
  <c r="AP52" i="4"/>
  <c r="G53" i="4" s="1"/>
  <c r="AN51" i="4"/>
  <c r="AN50" i="4"/>
  <c r="AP49" i="4"/>
  <c r="G50" i="4" s="1"/>
  <c r="AP48" i="4"/>
  <c r="G49" i="4" s="1"/>
  <c r="AN47" i="4"/>
  <c r="AN46" i="4"/>
  <c r="AP45" i="4"/>
  <c r="G46" i="4" s="1"/>
  <c r="AP44" i="4"/>
  <c r="G45" i="4" s="1"/>
  <c r="AN43" i="4"/>
  <c r="AN42" i="4"/>
  <c r="AP41" i="4"/>
  <c r="G42" i="4" s="1"/>
  <c r="AP40" i="4"/>
  <c r="G41" i="4" s="1"/>
  <c r="AN39" i="4"/>
  <c r="AN38" i="4"/>
  <c r="AP37" i="4"/>
  <c r="G38" i="4" s="1"/>
  <c r="AP36" i="4"/>
  <c r="G37" i="4" s="1"/>
  <c r="AN31" i="4"/>
  <c r="AN30" i="4"/>
  <c r="AP29" i="4"/>
  <c r="G30" i="4" s="1"/>
  <c r="AP28" i="4"/>
  <c r="G29" i="4" s="1"/>
  <c r="AN27" i="4"/>
  <c r="AN26" i="4"/>
  <c r="AP25" i="4"/>
  <c r="G26" i="4" s="1"/>
  <c r="AP24" i="4"/>
  <c r="G25" i="4" s="1"/>
  <c r="AN23" i="4"/>
  <c r="AN22" i="4"/>
  <c r="AP21" i="4"/>
  <c r="G22" i="4" s="1"/>
  <c r="AP20" i="4"/>
  <c r="G21" i="4" s="1"/>
  <c r="G59" i="4" l="1"/>
  <c r="G56" i="4"/>
  <c r="G44" i="4"/>
  <c r="U45" i="4" s="1"/>
  <c r="G47" i="4"/>
  <c r="G36" i="4"/>
  <c r="G39" i="4"/>
  <c r="G48" i="4"/>
  <c r="Q49" i="4" s="1"/>
  <c r="G51" i="4"/>
  <c r="G60" i="4"/>
  <c r="U61" i="4" s="1"/>
  <c r="G63" i="4"/>
  <c r="G28" i="4"/>
  <c r="U29" i="4" s="1"/>
  <c r="G31" i="4"/>
  <c r="G20" i="4"/>
  <c r="U21" i="4" s="1"/>
  <c r="G23" i="4"/>
  <c r="G24" i="4"/>
  <c r="G27" i="4"/>
  <c r="G40" i="4"/>
  <c r="U41" i="4" s="1"/>
  <c r="G43" i="4"/>
  <c r="G52" i="4"/>
  <c r="G55" i="4"/>
  <c r="AP47" i="4"/>
  <c r="AP51" i="4"/>
  <c r="AP63" i="4"/>
  <c r="AP39" i="4"/>
  <c r="AP27" i="4"/>
  <c r="AP31" i="4"/>
  <c r="AP59" i="4"/>
  <c r="AP55" i="4"/>
  <c r="AP43" i="4"/>
  <c r="AP23" i="4"/>
  <c r="AP4" i="4"/>
  <c r="G5" i="4" s="1"/>
  <c r="AP12" i="5"/>
  <c r="G12" i="5" s="1"/>
  <c r="AP11" i="5"/>
  <c r="I11" i="5"/>
  <c r="E11" i="5"/>
  <c r="AP8" i="5"/>
  <c r="G8" i="5" s="1"/>
  <c r="AP7" i="5"/>
  <c r="I7" i="5"/>
  <c r="E7" i="5"/>
  <c r="AP4" i="5"/>
  <c r="G4" i="5" s="1"/>
  <c r="AP3" i="5"/>
  <c r="I3" i="5"/>
  <c r="E3" i="5"/>
  <c r="AN19" i="4"/>
  <c r="AN15" i="4"/>
  <c r="AN11" i="4"/>
  <c r="AN7" i="4"/>
  <c r="AN18" i="4"/>
  <c r="AN14" i="4"/>
  <c r="AN10" i="4"/>
  <c r="AN6" i="4"/>
  <c r="AP17" i="4"/>
  <c r="G18" i="4" s="1"/>
  <c r="AP16" i="4"/>
  <c r="G17" i="4" s="1"/>
  <c r="AP13" i="4"/>
  <c r="G14" i="4" s="1"/>
  <c r="AP12" i="4"/>
  <c r="G13" i="4" s="1"/>
  <c r="AP9" i="4"/>
  <c r="G10" i="4" s="1"/>
  <c r="AP8" i="4"/>
  <c r="G9" i="4" s="1"/>
  <c r="AP5" i="4"/>
  <c r="G6" i="4" s="1"/>
  <c r="G66" i="4" s="1"/>
  <c r="E15" i="5" l="1"/>
  <c r="C5" i="9" s="1"/>
  <c r="C7" i="9" s="1"/>
  <c r="G65" i="4"/>
  <c r="G67" i="4" s="1"/>
  <c r="AE49" i="4"/>
  <c r="G10" i="5"/>
  <c r="G7" i="5"/>
  <c r="G11" i="5"/>
  <c r="G14" i="5"/>
  <c r="AK12" i="5"/>
  <c r="AJ12" i="5"/>
  <c r="AJ8" i="5"/>
  <c r="AK8" i="5"/>
  <c r="G8" i="4"/>
  <c r="U9" i="4" s="1"/>
  <c r="G11" i="4"/>
  <c r="W53" i="4"/>
  <c r="AJ53" i="4"/>
  <c r="AK53" i="4"/>
  <c r="W21" i="4"/>
  <c r="AJ21" i="4"/>
  <c r="AK21" i="4"/>
  <c r="AK49" i="4"/>
  <c r="W49" i="4"/>
  <c r="AJ49" i="4"/>
  <c r="AJ57" i="4"/>
  <c r="W57" i="4"/>
  <c r="AK57" i="4"/>
  <c r="G16" i="4"/>
  <c r="G19" i="4"/>
  <c r="W25" i="4"/>
  <c r="AJ25" i="4"/>
  <c r="AK25" i="4"/>
  <c r="AK61" i="4"/>
  <c r="W61" i="4"/>
  <c r="AJ61" i="4"/>
  <c r="AJ45" i="4"/>
  <c r="W45" i="4"/>
  <c r="AK45" i="4"/>
  <c r="G15" i="4"/>
  <c r="G12" i="4"/>
  <c r="G4" i="4"/>
  <c r="W41" i="4"/>
  <c r="AK41" i="4"/>
  <c r="AJ41" i="4"/>
  <c r="W29" i="4"/>
  <c r="AJ29" i="4"/>
  <c r="AK29" i="4"/>
  <c r="AJ37" i="4"/>
  <c r="W37" i="4"/>
  <c r="AK37" i="4"/>
  <c r="U57" i="4"/>
  <c r="S49" i="4"/>
  <c r="G16" i="5"/>
  <c r="G18" i="5" s="1"/>
  <c r="G3" i="5"/>
  <c r="U49" i="4"/>
  <c r="K49" i="4"/>
  <c r="Y49" i="4"/>
  <c r="AC49" i="4"/>
  <c r="O49" i="4"/>
  <c r="E6" i="4"/>
  <c r="E66" i="4" s="1"/>
  <c r="M49" i="4"/>
  <c r="AG49" i="4"/>
  <c r="U37" i="4"/>
  <c r="AA49" i="4"/>
  <c r="AE29" i="4"/>
  <c r="AG29" i="4"/>
  <c r="O29" i="4"/>
  <c r="K29" i="4"/>
  <c r="AC29" i="4"/>
  <c r="M29" i="4"/>
  <c r="Q29" i="4"/>
  <c r="AA29" i="4"/>
  <c r="S29" i="4"/>
  <c r="Y29" i="4"/>
  <c r="Y57" i="4"/>
  <c r="AG57" i="4"/>
  <c r="O57" i="4"/>
  <c r="AA57" i="4"/>
  <c r="Q57" i="4"/>
  <c r="AC57" i="4"/>
  <c r="S57" i="4"/>
  <c r="K57" i="4"/>
  <c r="AE57" i="4"/>
  <c r="M57" i="4"/>
  <c r="AE61" i="4"/>
  <c r="Y61" i="4"/>
  <c r="O61" i="4"/>
  <c r="AG61" i="4"/>
  <c r="Q61" i="4"/>
  <c r="AA61" i="4"/>
  <c r="S61" i="4"/>
  <c r="K61" i="4"/>
  <c r="AC61" i="4"/>
  <c r="M61" i="4"/>
  <c r="AG45" i="4"/>
  <c r="Q45" i="4"/>
  <c r="S45" i="4"/>
  <c r="AC45" i="4"/>
  <c r="M45" i="4"/>
  <c r="AA45" i="4"/>
  <c r="K45" i="4"/>
  <c r="AE45" i="4"/>
  <c r="Y45" i="4"/>
  <c r="O45" i="4"/>
  <c r="AA41" i="4"/>
  <c r="Q41" i="4"/>
  <c r="AC41" i="4"/>
  <c r="AE41" i="4"/>
  <c r="Y41" i="4"/>
  <c r="M41" i="4"/>
  <c r="K41" i="4"/>
  <c r="AG41" i="4"/>
  <c r="O41" i="4"/>
  <c r="S41" i="4"/>
  <c r="U53" i="4"/>
  <c r="AE21" i="4"/>
  <c r="Y21" i="4"/>
  <c r="M21" i="4"/>
  <c r="AG21" i="4"/>
  <c r="AA21" i="4"/>
  <c r="Q21" i="4"/>
  <c r="O21" i="4"/>
  <c r="AC21" i="4"/>
  <c r="S21" i="4"/>
  <c r="K21" i="4"/>
  <c r="U25" i="4"/>
  <c r="AC37" i="4"/>
  <c r="AG37" i="4"/>
  <c r="AP10" i="5"/>
  <c r="G6" i="5"/>
  <c r="AP6" i="5"/>
  <c r="AP14" i="5"/>
  <c r="G7" i="4"/>
  <c r="U13" i="4"/>
  <c r="AP15" i="4"/>
  <c r="E7" i="4"/>
  <c r="AH7" i="4" s="1"/>
  <c r="AP19" i="4"/>
  <c r="AP11" i="4"/>
  <c r="AP7" i="4"/>
  <c r="AH64" i="4" l="1"/>
  <c r="I4" i="9" s="1"/>
  <c r="I7" i="9" s="1"/>
  <c r="U5" i="4"/>
  <c r="G64" i="4"/>
  <c r="D4" i="9" s="1"/>
  <c r="AK9" i="4"/>
  <c r="AJ9" i="4"/>
  <c r="AK13" i="4"/>
  <c r="W13" i="4"/>
  <c r="AJ13" i="4"/>
  <c r="AJ17" i="4"/>
  <c r="W17" i="4"/>
  <c r="AK17" i="4"/>
  <c r="AJ5" i="4"/>
  <c r="W5" i="4"/>
  <c r="AK5" i="4"/>
  <c r="S4" i="5"/>
  <c r="G15" i="5"/>
  <c r="D5" i="9" s="1"/>
  <c r="AJ4" i="5"/>
  <c r="AJ16" i="5" s="1"/>
  <c r="G5" i="9" s="1"/>
  <c r="AK4" i="5"/>
  <c r="AK16" i="5" s="1"/>
  <c r="H5" i="9" s="1"/>
  <c r="Q37" i="4"/>
  <c r="M37" i="4"/>
  <c r="AE37" i="4"/>
  <c r="AA37" i="4"/>
  <c r="Y37" i="4"/>
  <c r="S37" i="4"/>
  <c r="O37" i="4"/>
  <c r="K37" i="4"/>
  <c r="U17" i="4"/>
  <c r="U64" i="4" s="1"/>
  <c r="R4" i="9" s="1"/>
  <c r="AA53" i="4"/>
  <c r="S53" i="4"/>
  <c r="K53" i="4"/>
  <c r="AC53" i="4"/>
  <c r="M53" i="4"/>
  <c r="AE53" i="4"/>
  <c r="Y53" i="4"/>
  <c r="O53" i="4"/>
  <c r="AG53" i="4"/>
  <c r="Q53" i="4"/>
  <c r="AA25" i="4"/>
  <c r="S25" i="4"/>
  <c r="K25" i="4"/>
  <c r="AC25" i="4"/>
  <c r="AE25" i="4"/>
  <c r="Y25" i="4"/>
  <c r="O25" i="4"/>
  <c r="AG25" i="4"/>
  <c r="Q25" i="4"/>
  <c r="M25" i="4"/>
  <c r="AC9" i="4"/>
  <c r="W9" i="4"/>
  <c r="M9" i="4"/>
  <c r="AG9" i="4"/>
  <c r="Q9" i="4"/>
  <c r="AA9" i="4"/>
  <c r="S9" i="4"/>
  <c r="K9" i="4"/>
  <c r="AE9" i="4"/>
  <c r="Y9" i="4"/>
  <c r="O9" i="4"/>
  <c r="AC17" i="4"/>
  <c r="M17" i="4"/>
  <c r="AG17" i="4"/>
  <c r="Q17" i="4"/>
  <c r="AA17" i="4"/>
  <c r="S17" i="4"/>
  <c r="K17" i="4"/>
  <c r="AE17" i="4"/>
  <c r="Y17" i="4"/>
  <c r="O17" i="4"/>
  <c r="AC5" i="4"/>
  <c r="M5" i="4"/>
  <c r="Y5" i="4"/>
  <c r="AA5" i="4"/>
  <c r="S5" i="4"/>
  <c r="K5" i="4"/>
  <c r="AE5" i="4"/>
  <c r="O5" i="4"/>
  <c r="AG5" i="4"/>
  <c r="Q5" i="4"/>
  <c r="AC13" i="4"/>
  <c r="M13" i="4"/>
  <c r="AE13" i="4"/>
  <c r="AA13" i="4"/>
  <c r="S13" i="4"/>
  <c r="K13" i="4"/>
  <c r="Y13" i="4"/>
  <c r="O13" i="4"/>
  <c r="AG13" i="4"/>
  <c r="Q13" i="4"/>
  <c r="O4" i="5"/>
  <c r="AE4" i="5"/>
  <c r="AG4" i="5"/>
  <c r="M4" i="5"/>
  <c r="K4" i="5"/>
  <c r="Y4" i="5"/>
  <c r="O12" i="5"/>
  <c r="AA12" i="5"/>
  <c r="U12" i="5"/>
  <c r="W12" i="5"/>
  <c r="Q12" i="5"/>
  <c r="AC12" i="5"/>
  <c r="AE12" i="5"/>
  <c r="Y12" i="5"/>
  <c r="K12" i="5"/>
  <c r="AG12" i="5"/>
  <c r="S12" i="5"/>
  <c r="M12" i="5"/>
  <c r="AC4" i="5"/>
  <c r="Q4" i="5"/>
  <c r="W4" i="5"/>
  <c r="U4" i="5"/>
  <c r="AA4" i="5"/>
  <c r="AA8" i="5"/>
  <c r="S8" i="5"/>
  <c r="K8" i="5"/>
  <c r="AC8" i="5"/>
  <c r="U8" i="5"/>
  <c r="M8" i="5"/>
  <c r="AE8" i="5"/>
  <c r="W8" i="5"/>
  <c r="O8" i="5"/>
  <c r="AG8" i="5"/>
  <c r="Y8" i="5"/>
  <c r="Q8" i="5"/>
  <c r="W64" i="4" l="1"/>
  <c r="S4" i="9" s="1"/>
  <c r="E4" i="9" s="1"/>
  <c r="AC15" i="5"/>
  <c r="V5" i="9" s="1"/>
  <c r="Y64" i="4"/>
  <c r="Q15" i="5"/>
  <c r="P5" i="9" s="1"/>
  <c r="D7" i="9"/>
  <c r="C8" i="9" s="1"/>
  <c r="AJ65" i="4"/>
  <c r="G4" i="9" s="1"/>
  <c r="G7" i="9" s="1"/>
  <c r="G8" i="9" s="1"/>
  <c r="AK65" i="4"/>
  <c r="H4" i="9" s="1"/>
  <c r="H7" i="9" s="1"/>
  <c r="H8" i="9" s="1"/>
  <c r="AE15" i="5"/>
  <c r="W5" i="9" s="1"/>
  <c r="O15" i="5"/>
  <c r="O5" i="9" s="1"/>
  <c r="AA15" i="5"/>
  <c r="U5" i="9" s="1"/>
  <c r="U15" i="5"/>
  <c r="R5" i="9" s="1"/>
  <c r="M15" i="5"/>
  <c r="N5" i="9" s="1"/>
  <c r="AG15" i="5"/>
  <c r="X5" i="9" s="1"/>
  <c r="K15" i="5"/>
  <c r="M5" i="9" s="1"/>
  <c r="S15" i="5"/>
  <c r="Q5" i="9" s="1"/>
  <c r="W15" i="5"/>
  <c r="S5" i="9" s="1"/>
  <c r="E5" i="9" s="1"/>
  <c r="Y15" i="5"/>
  <c r="T5" i="9" s="1"/>
  <c r="F5" i="9" s="1"/>
  <c r="O64" i="4"/>
  <c r="O4" i="9" s="1"/>
  <c r="K64" i="4"/>
  <c r="M4" i="9" s="1"/>
  <c r="S64" i="4"/>
  <c r="Q4" i="9" s="1"/>
  <c r="Q6" i="9" s="1"/>
  <c r="AC64" i="4"/>
  <c r="V4" i="9" s="1"/>
  <c r="V6" i="9" s="1"/>
  <c r="M64" i="4"/>
  <c r="N4" i="9" s="1"/>
  <c r="T4" i="9"/>
  <c r="F4" i="9" s="1"/>
  <c r="Q64" i="4"/>
  <c r="P4" i="9" s="1"/>
  <c r="P6" i="9" s="1"/>
  <c r="AA64" i="4"/>
  <c r="U4" i="9" s="1"/>
  <c r="AE64" i="4"/>
  <c r="W4" i="9" s="1"/>
  <c r="AG64" i="4"/>
  <c r="X4" i="9" s="1"/>
  <c r="O6" i="9" l="1"/>
  <c r="W6" i="9"/>
  <c r="U6" i="9"/>
  <c r="E7" i="9"/>
  <c r="E8" i="9" s="1"/>
  <c r="T6" i="9"/>
  <c r="F7" i="9"/>
  <c r="F8" i="9" s="1"/>
  <c r="S6" i="9"/>
  <c r="M6" i="9"/>
  <c r="Y5" i="9"/>
  <c r="R6" i="9"/>
  <c r="X6" i="9"/>
  <c r="N6" i="9"/>
  <c r="Y4" i="9"/>
  <c r="Y6" i="9" l="1"/>
</calcChain>
</file>

<file path=xl/sharedStrings.xml><?xml version="1.0" encoding="utf-8"?>
<sst xmlns="http://schemas.openxmlformats.org/spreadsheetml/2006/main" count="2641" uniqueCount="359">
  <si>
    <t>순서</t>
    <phoneticPr fontId="2" type="noConversion"/>
  </si>
  <si>
    <t>JOB NO</t>
    <phoneticPr fontId="2" type="noConversion"/>
  </si>
  <si>
    <t>사 업 명 [발주처]</t>
    <phoneticPr fontId="2" type="noConversion"/>
  </si>
  <si>
    <t>과업기간</t>
    <phoneticPr fontId="2" type="noConversion"/>
  </si>
  <si>
    <t>금 액 현 황</t>
    <phoneticPr fontId="2" type="noConversion"/>
  </si>
  <si>
    <t>발주처/
담당자</t>
    <phoneticPr fontId="2" type="noConversion"/>
  </si>
  <si>
    <t>16-02</t>
    <phoneticPr fontId="2" type="noConversion"/>
  </si>
  <si>
    <t>계약</t>
    <phoneticPr fontId="2" type="noConversion"/>
  </si>
  <si>
    <t>수행</t>
    <phoneticPr fontId="2" type="noConversion"/>
  </si>
  <si>
    <t>부서협조</t>
    <phoneticPr fontId="2" type="noConversion"/>
  </si>
  <si>
    <t>지반협조</t>
    <phoneticPr fontId="2" type="noConversion"/>
  </si>
  <si>
    <t>구조협조</t>
    <phoneticPr fontId="2" type="noConversion"/>
  </si>
  <si>
    <t>기타</t>
    <phoneticPr fontId="2" type="noConversion"/>
  </si>
  <si>
    <t>수금</t>
    <phoneticPr fontId="2" type="noConversion"/>
  </si>
  <si>
    <t>협조</t>
    <phoneticPr fontId="2" type="noConversion"/>
  </si>
  <si>
    <t>외주처리</t>
    <phoneticPr fontId="2" type="noConversion"/>
  </si>
  <si>
    <t>교통</t>
    <phoneticPr fontId="2" type="noConversion"/>
  </si>
  <si>
    <t>경관</t>
    <phoneticPr fontId="2" type="noConversion"/>
  </si>
  <si>
    <t>내역</t>
    <phoneticPr fontId="2" type="noConversion"/>
  </si>
  <si>
    <t>용지</t>
    <phoneticPr fontId="2" type="noConversion"/>
  </si>
  <si>
    <t>잔액</t>
    <phoneticPr fontId="2" type="noConversion"/>
  </si>
  <si>
    <t>외주 등</t>
    <phoneticPr fontId="2" type="noConversion"/>
  </si>
  <si>
    <t>진행
공정</t>
    <phoneticPr fontId="2" type="noConversion"/>
  </si>
  <si>
    <t>0 0 검토
0 0 산출</t>
    <phoneticPr fontId="2" type="noConversion"/>
  </si>
  <si>
    <t>기타비용</t>
    <phoneticPr fontId="2" type="noConversion"/>
  </si>
  <si>
    <t>수금율</t>
    <phoneticPr fontId="2" type="noConversion"/>
  </si>
  <si>
    <t>수행율</t>
    <phoneticPr fontId="2" type="noConversion"/>
  </si>
  <si>
    <t>합  계</t>
    <phoneticPr fontId="2" type="noConversion"/>
  </si>
  <si>
    <t>주요보고사항</t>
    <phoneticPr fontId="2" type="noConversion"/>
  </si>
  <si>
    <t>환산</t>
    <phoneticPr fontId="2" type="noConversion"/>
  </si>
  <si>
    <t>1. 수행업무</t>
    <phoneticPr fontId="2" type="noConversion"/>
  </si>
  <si>
    <t>(단위: 백만원)</t>
    <phoneticPr fontId="2" type="noConversion"/>
  </si>
  <si>
    <t>수행금액</t>
    <phoneticPr fontId="2" type="noConversion"/>
  </si>
  <si>
    <t>9월 기성</t>
    <phoneticPr fontId="2" type="noConversion"/>
  </si>
  <si>
    <t>10월 기성</t>
    <phoneticPr fontId="2" type="noConversion"/>
  </si>
  <si>
    <t>11월 기성</t>
    <phoneticPr fontId="2" type="noConversion"/>
  </si>
  <si>
    <t>12월 기성</t>
    <phoneticPr fontId="2" type="noConversion"/>
  </si>
  <si>
    <t>중지:</t>
    <phoneticPr fontId="2" type="noConversion"/>
  </si>
  <si>
    <t>잔여:</t>
    <phoneticPr fontId="2" type="noConversion"/>
  </si>
  <si>
    <t>전년
공정</t>
    <phoneticPr fontId="2" type="noConversion"/>
  </si>
  <si>
    <t>당해
공정</t>
    <phoneticPr fontId="2" type="noConversion"/>
  </si>
  <si>
    <t>공정</t>
    <phoneticPr fontId="2" type="noConversion"/>
  </si>
  <si>
    <t>1월 공정</t>
    <phoneticPr fontId="2" type="noConversion"/>
  </si>
  <si>
    <t>2월 공정</t>
    <phoneticPr fontId="2" type="noConversion"/>
  </si>
  <si>
    <t>3월 공정</t>
    <phoneticPr fontId="2" type="noConversion"/>
  </si>
  <si>
    <t>4월 공정</t>
    <phoneticPr fontId="2" type="noConversion"/>
  </si>
  <si>
    <t>5월 공정</t>
    <phoneticPr fontId="2" type="noConversion"/>
  </si>
  <si>
    <t>6월 공정</t>
    <phoneticPr fontId="2" type="noConversion"/>
  </si>
  <si>
    <t>7월 공정</t>
    <phoneticPr fontId="2" type="noConversion"/>
  </si>
  <si>
    <t>8월 공정</t>
    <phoneticPr fontId="2" type="noConversion"/>
  </si>
  <si>
    <t>2. 부서협조</t>
    <phoneticPr fontId="2" type="noConversion"/>
  </si>
  <si>
    <t>사 업 명 [주관부서]</t>
    <phoneticPr fontId="2" type="noConversion"/>
  </si>
  <si>
    <t>담당자</t>
    <phoneticPr fontId="2" type="noConversion"/>
  </si>
  <si>
    <t>협조금액</t>
    <phoneticPr fontId="2" type="noConversion"/>
  </si>
  <si>
    <t>원사업</t>
    <phoneticPr fontId="2" type="noConversion"/>
  </si>
  <si>
    <t>외주</t>
    <phoneticPr fontId="2" type="noConversion"/>
  </si>
  <si>
    <t>3. 외주관리</t>
    <phoneticPr fontId="2" type="noConversion"/>
  </si>
  <si>
    <t>금액현황</t>
    <phoneticPr fontId="2" type="noConversion"/>
  </si>
  <si>
    <t>외주금액</t>
    <phoneticPr fontId="2" type="noConversion"/>
  </si>
  <si>
    <t>지급</t>
    <phoneticPr fontId="2" type="noConversion"/>
  </si>
  <si>
    <t>외주
율</t>
    <phoneticPr fontId="2" type="noConversion"/>
  </si>
  <si>
    <t>주요사항/처리업체</t>
    <phoneticPr fontId="2" type="noConversion"/>
  </si>
  <si>
    <t>용인 역삼구역 도시개발사업 실시설계(변경) 용역</t>
    <phoneticPr fontId="2" type="noConversion"/>
  </si>
  <si>
    <t>용인역삼도시개발사업조합</t>
    <phoneticPr fontId="2" type="noConversion"/>
  </si>
  <si>
    <t>16.08.01</t>
    <phoneticPr fontId="2" type="noConversion"/>
  </si>
  <si>
    <t>중지:
18.10.04</t>
    <phoneticPr fontId="2" type="noConversion"/>
  </si>
  <si>
    <t>측량</t>
    <phoneticPr fontId="2" type="noConversion"/>
  </si>
  <si>
    <t>하천설계</t>
    <phoneticPr fontId="2" type="noConversion"/>
  </si>
  <si>
    <t>상하수도</t>
    <phoneticPr fontId="2" type="noConversion"/>
  </si>
  <si>
    <t>아르바이트</t>
    <phoneticPr fontId="2" type="noConversion"/>
  </si>
  <si>
    <t>17.08.</t>
    <phoneticPr fontId="2" type="noConversion"/>
  </si>
  <si>
    <t>20.11.</t>
    <phoneticPr fontId="2" type="noConversion"/>
  </si>
  <si>
    <t>역삼조합
조합장:정동춘
국장:김기두
/
문일형,김대영,주성완,박찬용,박민규,최진현</t>
    <phoneticPr fontId="2" type="noConversion"/>
  </si>
  <si>
    <t>15-05</t>
    <phoneticPr fontId="2" type="noConversion"/>
  </si>
  <si>
    <t>17-04</t>
    <phoneticPr fontId="2" type="noConversion"/>
  </si>
  <si>
    <t>16-07</t>
    <phoneticPr fontId="2" type="noConversion"/>
  </si>
  <si>
    <t>16-12</t>
    <phoneticPr fontId="2" type="noConversion"/>
  </si>
  <si>
    <t>용인 역삼구역 하수처리장 건설공사 기본 및 실시설계 용역</t>
    <phoneticPr fontId="2" type="noConversion"/>
  </si>
  <si>
    <t>용인 역삼구역 기술지원관리 용역</t>
    <phoneticPr fontId="2" type="noConversion"/>
  </si>
  <si>
    <t>중지:
18.10.01</t>
    <phoneticPr fontId="2" type="noConversion"/>
  </si>
  <si>
    <t>전기, 통신</t>
    <phoneticPr fontId="2" type="noConversion"/>
  </si>
  <si>
    <t>조경</t>
    <phoneticPr fontId="2" type="noConversion"/>
  </si>
  <si>
    <t>역삼조합
조합장:정동춘
국장:김기두
/
문일형,김대영,박민규</t>
    <phoneticPr fontId="2" type="noConversion"/>
  </si>
  <si>
    <t>용인 역삼구역 금학천 하천기본계획검토용역</t>
    <phoneticPr fontId="2" type="noConversion"/>
  </si>
  <si>
    <t>16.11.01</t>
    <phoneticPr fontId="2" type="noConversion"/>
  </si>
  <si>
    <t>17.07.31</t>
    <phoneticPr fontId="2" type="noConversion"/>
  </si>
  <si>
    <t>수자원</t>
    <phoneticPr fontId="2" type="noConversion"/>
  </si>
  <si>
    <t>-</t>
    <phoneticPr fontId="2" type="noConversion"/>
  </si>
  <si>
    <t>예산군</t>
    <phoneticPr fontId="2" type="noConversion"/>
  </si>
  <si>
    <t>14.06.30</t>
    <phoneticPr fontId="2" type="noConversion"/>
  </si>
  <si>
    <t>17.09.30</t>
    <phoneticPr fontId="2" type="noConversion"/>
  </si>
  <si>
    <t>중지:
17.08.29</t>
    <phoneticPr fontId="2" type="noConversion"/>
  </si>
  <si>
    <t>잔여:33일</t>
    <phoneticPr fontId="2" type="noConversion"/>
  </si>
  <si>
    <t>14-08</t>
    <phoneticPr fontId="2" type="noConversion"/>
  </si>
  <si>
    <t>부잔교 안전진담 및 자재검수</t>
    <phoneticPr fontId="2" type="noConversion"/>
  </si>
  <si>
    <t>18.12.21</t>
    <phoneticPr fontId="2" type="noConversion"/>
  </si>
  <si>
    <t>20.03.14</t>
    <phoneticPr fontId="2" type="noConversion"/>
  </si>
  <si>
    <t>18-04</t>
    <phoneticPr fontId="2" type="noConversion"/>
  </si>
  <si>
    <t>태조산공원 산림레포츠시설 조성사업 실시설계 및 공원조성계획(변경)용역</t>
    <phoneticPr fontId="2" type="noConversion"/>
  </si>
  <si>
    <t>천안시</t>
    <phoneticPr fontId="2" type="noConversion"/>
  </si>
  <si>
    <t>19.02.28</t>
    <phoneticPr fontId="2" type="noConversion"/>
  </si>
  <si>
    <t>19.10.25</t>
    <phoneticPr fontId="2" type="noConversion"/>
  </si>
  <si>
    <t>산림휴양과
팀장:김주식
감독:김혜빈
/
김대영</t>
    <phoneticPr fontId="2" type="noConversion"/>
  </si>
  <si>
    <t>19-03</t>
    <phoneticPr fontId="2" type="noConversion"/>
  </si>
  <si>
    <t>파주시</t>
    <phoneticPr fontId="2" type="noConversion"/>
  </si>
  <si>
    <t>17.02.07</t>
    <phoneticPr fontId="2" type="noConversion"/>
  </si>
  <si>
    <t>18.12.31</t>
    <phoneticPr fontId="2" type="noConversion"/>
  </si>
  <si>
    <t>중지:
18.11.25</t>
    <phoneticPr fontId="2" type="noConversion"/>
  </si>
  <si>
    <t>잔여:36일</t>
    <phoneticPr fontId="2" type="noConversion"/>
  </si>
  <si>
    <t>파주시
감독:강태규
/
문일형</t>
    <phoneticPr fontId="2" type="noConversion"/>
  </si>
  <si>
    <t>17-01</t>
    <phoneticPr fontId="2" type="noConversion"/>
  </si>
  <si>
    <t>해외사례조사</t>
    <phoneticPr fontId="2" type="noConversion"/>
  </si>
  <si>
    <t>대부황금로 도로(자전거)확포장공사</t>
    <phoneticPr fontId="2" type="noConversion"/>
  </si>
  <si>
    <t>안산시</t>
    <phoneticPr fontId="2" type="noConversion"/>
  </si>
  <si>
    <t>16.03.29</t>
    <phoneticPr fontId="2" type="noConversion"/>
  </si>
  <si>
    <t>18.10.14</t>
    <phoneticPr fontId="2" type="noConversion"/>
  </si>
  <si>
    <t>잔여:11일</t>
    <phoneticPr fontId="2" type="noConversion"/>
  </si>
  <si>
    <t>건설도로과
팀장:이문희
감독:김지현
/
박찬용</t>
    <phoneticPr fontId="2" type="noConversion"/>
  </si>
  <si>
    <t>16-03</t>
    <phoneticPr fontId="2" type="noConversion"/>
  </si>
  <si>
    <t>예산군 낙후지역형 지역개발계획(변경)수립용역</t>
    <phoneticPr fontId="2" type="noConversion"/>
  </si>
  <si>
    <t>19.01.29</t>
    <phoneticPr fontId="2" type="noConversion"/>
  </si>
  <si>
    <t>19.07.27</t>
    <phoneticPr fontId="2" type="noConversion"/>
  </si>
  <si>
    <t>19-01</t>
    <phoneticPr fontId="2" type="noConversion"/>
  </si>
  <si>
    <t>도시계획부</t>
    <phoneticPr fontId="2" type="noConversion"/>
  </si>
  <si>
    <t>19.02.08</t>
    <phoneticPr fontId="2" type="noConversion"/>
  </si>
  <si>
    <t>19-02</t>
    <phoneticPr fontId="2" type="noConversion"/>
  </si>
  <si>
    <t>탑정호 출렁다리 조성사업 타당성 재검토 용역</t>
    <phoneticPr fontId="2" type="noConversion"/>
  </si>
  <si>
    <t>논산시</t>
    <phoneticPr fontId="2" type="noConversion"/>
  </si>
  <si>
    <t>19.04.11</t>
    <phoneticPr fontId="2" type="noConversion"/>
  </si>
  <si>
    <t>19.08.13</t>
    <phoneticPr fontId="2" type="noConversion"/>
  </si>
  <si>
    <t>미래사업과
팀장:김민수
감독:이승국
/
박민규</t>
    <phoneticPr fontId="2" type="noConversion"/>
  </si>
  <si>
    <t>19-04</t>
    <phoneticPr fontId="2" type="noConversion"/>
  </si>
  <si>
    <t>개발여건분석 및 사업성분석</t>
    <phoneticPr fontId="2" type="noConversion"/>
  </si>
  <si>
    <t>홍성군</t>
    <phoneticPr fontId="2" type="noConversion"/>
  </si>
  <si>
    <t>19.05.02</t>
    <phoneticPr fontId="2" type="noConversion"/>
  </si>
  <si>
    <t>19.07.30</t>
    <phoneticPr fontId="2" type="noConversion"/>
  </si>
  <si>
    <t>19.05.10</t>
    <phoneticPr fontId="2" type="noConversion"/>
  </si>
  <si>
    <t>19.08.07</t>
    <phoneticPr fontId="2" type="noConversion"/>
  </si>
  <si>
    <t>공릉관광지 조성계획(변경) 수립 용역</t>
    <phoneticPr fontId="2" type="noConversion"/>
  </si>
  <si>
    <t>예당호 착한농촌체험세상 기본 및 실시설계 용역</t>
    <phoneticPr fontId="2" type="noConversion"/>
  </si>
  <si>
    <t>예산 개발촉진지구 기반시설 기본 및 실시설계 용역</t>
    <phoneticPr fontId="2" type="noConversion"/>
  </si>
  <si>
    <t>청라농공단지 조성사업 조사설계 용역</t>
    <phoneticPr fontId="2" type="noConversion"/>
  </si>
  <si>
    <t>남양주 오남3지구 도시관리계획(지구단위계획)결정(변경), 기본 및 실시설계(기반시설) 등 용역</t>
    <phoneticPr fontId="2" type="noConversion"/>
  </si>
  <si>
    <t>실시계획 인가시까지</t>
    <phoneticPr fontId="2" type="noConversion"/>
  </si>
  <si>
    <t>화성(장안지구)공동주택 신축사업 지구단위계획 및 인허가 설계 용역</t>
    <phoneticPr fontId="2" type="noConversion"/>
  </si>
  <si>
    <t>14.05.16</t>
    <phoneticPr fontId="2" type="noConversion"/>
  </si>
  <si>
    <t>사업승인시</t>
    <phoneticPr fontId="2" type="noConversion"/>
  </si>
  <si>
    <t>영흥이엔지
수하이엔택
정인컨설턴트
채경호계약직
김명훈,배현</t>
    <phoneticPr fontId="2" type="noConversion"/>
  </si>
  <si>
    <t>준영이엔씨
에이치알이엔씨</t>
    <phoneticPr fontId="2" type="noConversion"/>
  </si>
  <si>
    <t>수하이엔택</t>
    <phoneticPr fontId="2" type="noConversion"/>
  </si>
  <si>
    <t>가덕이엔지</t>
    <phoneticPr fontId="2" type="noConversion"/>
  </si>
  <si>
    <t>㈜대영설계측량</t>
    <phoneticPr fontId="2" type="noConversion"/>
  </si>
  <si>
    <t>김도형</t>
    <phoneticPr fontId="2" type="noConversion"/>
  </si>
  <si>
    <t>구조물1식</t>
    <phoneticPr fontId="2" type="noConversion"/>
  </si>
  <si>
    <t>암거내수리검토</t>
    <phoneticPr fontId="2" type="noConversion"/>
  </si>
  <si>
    <t>대부동 서남부 연결도로 개설공사 실시설계 용역</t>
    <phoneticPr fontId="2" type="noConversion"/>
  </si>
  <si>
    <t>환경성검토</t>
    <phoneticPr fontId="2" type="noConversion"/>
  </si>
  <si>
    <t>전기</t>
    <phoneticPr fontId="2" type="noConversion"/>
  </si>
  <si>
    <t>사전재해영향성</t>
    <phoneticPr fontId="2" type="noConversion"/>
  </si>
  <si>
    <t>산림조사서</t>
    <phoneticPr fontId="2" type="noConversion"/>
  </si>
  <si>
    <t>수리수문분석</t>
    <phoneticPr fontId="2" type="noConversion"/>
  </si>
  <si>
    <t>해역이용협의</t>
    <phoneticPr fontId="2" type="noConversion"/>
  </si>
  <si>
    <t>문화재지표조사</t>
    <phoneticPr fontId="2" type="noConversion"/>
  </si>
  <si>
    <t>양남감포아르바이트</t>
    <phoneticPr fontId="2" type="noConversion"/>
  </si>
  <si>
    <t>실시계획인가(변경)</t>
    <phoneticPr fontId="2" type="noConversion"/>
  </si>
  <si>
    <t>선도지구 지방관리방조제 개보수사업 실시설계</t>
    <phoneticPr fontId="2" type="noConversion"/>
  </si>
  <si>
    <t>제니스이엔씨㈜
㈜미동엔지니어링
㈜나우엔지니어링
박성삼
엄성곤
㈜대영설계측량
㈜제네시스엔지니어링
㈜용마엔지니어링</t>
    <phoneticPr fontId="2" type="noConversion"/>
  </si>
  <si>
    <t>평택3복합화력 EPC건설공사 입찰 설계 용역</t>
    <phoneticPr fontId="2" type="noConversion"/>
  </si>
  <si>
    <t>생활관 개수 등 2건 설계(14-북2-육-37)</t>
    <phoneticPr fontId="2" type="noConversion"/>
  </si>
  <si>
    <t>전기단가</t>
    <phoneticPr fontId="2" type="noConversion"/>
  </si>
  <si>
    <t>정인컨설턴트</t>
    <phoneticPr fontId="2" type="noConversion"/>
  </si>
  <si>
    <t>실시설계</t>
    <phoneticPr fontId="2" type="noConversion"/>
  </si>
  <si>
    <t>죽도 출렁다리 및 조망쉼터 타당성 조사 용역</t>
    <phoneticPr fontId="2" type="noConversion"/>
  </si>
  <si>
    <t>태조산공원 산림레포츠시설 조성사업 실시설계</t>
    <phoneticPr fontId="2" type="noConversion"/>
  </si>
  <si>
    <t>㈜대영설계측량
조경디자인그루</t>
    <phoneticPr fontId="2" type="noConversion"/>
  </si>
  <si>
    <t>공원조성계획</t>
    <phoneticPr fontId="2" type="noConversion"/>
  </si>
  <si>
    <t>보고서 작성</t>
    <phoneticPr fontId="2" type="noConversion"/>
  </si>
  <si>
    <t>문화관광과
팀장:유 리
감독:홍성준
/
문일형
박민규</t>
    <phoneticPr fontId="2" type="noConversion"/>
  </si>
  <si>
    <t>19.07.31</t>
    <phoneticPr fontId="2" type="noConversion"/>
  </si>
  <si>
    <t>일상감사 및 도계약심사 사전검토</t>
    <phoneticPr fontId="2" type="noConversion"/>
  </si>
  <si>
    <t>도계약심사 사전검토중</t>
    <phoneticPr fontId="2" type="noConversion"/>
  </si>
  <si>
    <t>계획변경 자료 검토</t>
    <phoneticPr fontId="2" type="noConversion"/>
  </si>
  <si>
    <t>기본계획안 작성</t>
    <phoneticPr fontId="2" type="noConversion"/>
  </si>
  <si>
    <t>수자원협조</t>
    <phoneticPr fontId="2" type="noConversion"/>
  </si>
  <si>
    <t>조감도</t>
    <phoneticPr fontId="2" type="noConversion"/>
  </si>
  <si>
    <t>교통협조</t>
    <phoneticPr fontId="2" type="noConversion"/>
  </si>
  <si>
    <t>산림조사</t>
    <phoneticPr fontId="2" type="noConversion"/>
  </si>
  <si>
    <t>국외사례조사</t>
    <phoneticPr fontId="2" type="noConversion"/>
  </si>
  <si>
    <t>기본계획 
도면작성</t>
    <phoneticPr fontId="2" type="noConversion"/>
  </si>
  <si>
    <t>재심의조치계획</t>
    <phoneticPr fontId="2" type="noConversion"/>
  </si>
  <si>
    <t>홍보물 작성</t>
    <phoneticPr fontId="2" type="noConversion"/>
  </si>
  <si>
    <t>19.02.25</t>
    <phoneticPr fontId="2" type="noConversion"/>
  </si>
  <si>
    <t>09.04.17</t>
    <phoneticPr fontId="2" type="noConversion"/>
  </si>
  <si>
    <t>13.10.28</t>
    <phoneticPr fontId="2" type="noConversion"/>
  </si>
  <si>
    <t>14.12.16</t>
    <phoneticPr fontId="2" type="noConversion"/>
  </si>
  <si>
    <t>미동엔지니어링</t>
    <phoneticPr fontId="2" type="noConversion"/>
  </si>
  <si>
    <t>14.08.01</t>
    <phoneticPr fontId="2" type="noConversion"/>
  </si>
  <si>
    <t>14.11.14</t>
    <phoneticPr fontId="2" type="noConversion"/>
  </si>
  <si>
    <t>14.09.16</t>
    <phoneticPr fontId="2" type="noConversion"/>
  </si>
  <si>
    <t>제7821부대</t>
    <phoneticPr fontId="2" type="noConversion"/>
  </si>
  <si>
    <t xml:space="preserve">농수산과
팀장:이현우
감독:노윤찬
/
문일형
박민규
</t>
    <phoneticPr fontId="2" type="noConversion"/>
  </si>
  <si>
    <t>보령시</t>
    <phoneticPr fontId="2" type="noConversion"/>
  </si>
  <si>
    <t>15.01.07</t>
    <phoneticPr fontId="2" type="noConversion"/>
  </si>
  <si>
    <t>15.11.02</t>
    <phoneticPr fontId="2" type="noConversion"/>
  </si>
  <si>
    <t>단지부 이관
진행</t>
    <phoneticPr fontId="2" type="noConversion"/>
  </si>
  <si>
    <t>엠큐브시어터</t>
    <phoneticPr fontId="2" type="noConversion"/>
  </si>
  <si>
    <t>11.06.22</t>
    <phoneticPr fontId="2" type="noConversion"/>
  </si>
  <si>
    <t>11.07.30</t>
    <phoneticPr fontId="2" type="noConversion"/>
  </si>
  <si>
    <t>18.08.29</t>
    <phoneticPr fontId="2" type="noConversion"/>
  </si>
  <si>
    <t>19.06.05</t>
    <phoneticPr fontId="2" type="noConversion"/>
  </si>
  <si>
    <t>서천군</t>
    <phoneticPr fontId="2" type="noConversion"/>
  </si>
  <si>
    <t>창동복합공연장 민간투자사업 건립공사</t>
    <phoneticPr fontId="2" type="noConversion"/>
  </si>
  <si>
    <t>17.12.31
(완료시)</t>
    <phoneticPr fontId="2" type="noConversion"/>
  </si>
  <si>
    <t>16.12.31
(완료시)</t>
    <phoneticPr fontId="2" type="noConversion"/>
  </si>
  <si>
    <t>17.07.31
(완료시)</t>
    <phoneticPr fontId="2" type="noConversion"/>
  </si>
  <si>
    <t>행정소송결과에 따른 잔액 미수금(외주비처리 여부 확인必)
/미강엔지니어링
㈜웹솔루스</t>
    <phoneticPr fontId="2" type="noConversion"/>
  </si>
  <si>
    <t>이하익 전력본부장 
퇴사시 외주비 정리 확인必
/임순향(전기)</t>
    <phoneticPr fontId="2" type="noConversion"/>
  </si>
  <si>
    <t>이하익 전력본부장 
퇴사시 외주비 정리 확인必
/박진우(전기)</t>
    <phoneticPr fontId="2" type="noConversion"/>
  </si>
  <si>
    <t>중지:
19.07.12</t>
    <phoneticPr fontId="2" type="noConversion"/>
  </si>
  <si>
    <t>잔여:15일</t>
    <phoneticPr fontId="2" type="noConversion"/>
  </si>
  <si>
    <t>문화관광과
팀장:이관우
감독:박창현
/
문일형,김대영,박찬용</t>
    <phoneticPr fontId="2" type="noConversion"/>
  </si>
  <si>
    <t>산림휴양과
팀장:김주식
감독:김혜빈
/
토목:김대영
수자:박가영
지반:유승주</t>
    <phoneticPr fontId="2" type="noConversion"/>
  </si>
  <si>
    <t>문화관광과
팀장:이관우
감독:박창현
/
토목:주성완
수자:박가영
교통:김영준</t>
    <phoneticPr fontId="2" type="noConversion"/>
  </si>
  <si>
    <t>도시재생과
팀장:장정훈
감독:김영환
/
토목:박찬용
구조:양상훈
지반:유승주</t>
    <phoneticPr fontId="2" type="noConversion"/>
  </si>
  <si>
    <t>도시공원심의 자료작성</t>
    <phoneticPr fontId="2" type="noConversion"/>
  </si>
  <si>
    <t>1. 공 정 실 적 보 고</t>
    <phoneticPr fontId="2" type="noConversion"/>
  </si>
  <si>
    <t>구 부</t>
    <phoneticPr fontId="2" type="noConversion"/>
  </si>
  <si>
    <t>건수
(인원)</t>
    <phoneticPr fontId="2" type="noConversion"/>
  </si>
  <si>
    <r>
      <t xml:space="preserve">계약 금액
</t>
    </r>
    <r>
      <rPr>
        <sz val="8"/>
        <color theme="1"/>
        <rFont val="HY신명조"/>
        <family val="1"/>
        <charset val="129"/>
      </rPr>
      <t>(V A T 제외)</t>
    </r>
    <phoneticPr fontId="2" type="noConversion"/>
  </si>
  <si>
    <t>수행 금액</t>
    <phoneticPr fontId="2" type="noConversion"/>
  </si>
  <si>
    <t>당해년도
공정합계</t>
    <phoneticPr fontId="2" type="noConversion"/>
  </si>
  <si>
    <t>공정 잔액</t>
    <phoneticPr fontId="2" type="noConversion"/>
  </si>
  <si>
    <t>공정-수금
차액</t>
    <phoneticPr fontId="2" type="noConversion"/>
  </si>
  <si>
    <t>비 고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</si>
  <si>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</si>
  <si>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</si>
  <si>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</si>
  <si>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</si>
  <si>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</si>
  <si>
    <t>6월</t>
  </si>
  <si>
    <t>7월</t>
  </si>
  <si>
    <t>8월</t>
  </si>
  <si>
    <t>9월</t>
  </si>
  <si>
    <t>10월</t>
  </si>
  <si>
    <t>11월</t>
  </si>
  <si>
    <t>12월</t>
  </si>
  <si>
    <t>계</t>
    <phoneticPr fontId="2" type="noConversion"/>
  </si>
  <si>
    <t>수행업무</t>
    <phoneticPr fontId="2" type="noConversion"/>
  </si>
  <si>
    <t>일괄외주</t>
    <phoneticPr fontId="2" type="noConversion"/>
  </si>
  <si>
    <t>기술지원 등
(  명 제외)</t>
    <phoneticPr fontId="2" type="noConversion"/>
  </si>
  <si>
    <t>인당</t>
    <phoneticPr fontId="2" type="noConversion"/>
  </si>
  <si>
    <t>2. 보고 사항</t>
    <phoneticPr fontId="2" type="noConversion"/>
  </si>
  <si>
    <r>
      <t>3. 착수 및 중지 현황</t>
    </r>
    <r>
      <rPr>
        <sz val="12"/>
        <color theme="1"/>
        <rFont val="HY신명조"/>
        <family val="1"/>
        <charset val="129"/>
      </rPr>
      <t xml:space="preserve"> (착수, 재착수, 중지 및 예정 사업)</t>
    </r>
    <phoneticPr fontId="2" type="noConversion"/>
  </si>
  <si>
    <t>용역명</t>
    <phoneticPr fontId="2" type="noConversion"/>
  </si>
  <si>
    <t>발주처</t>
    <phoneticPr fontId="2" type="noConversion"/>
  </si>
  <si>
    <t>금액</t>
    <phoneticPr fontId="2" type="noConversion"/>
  </si>
  <si>
    <r>
      <t xml:space="preserve">착수일
</t>
    </r>
    <r>
      <rPr>
        <sz val="12"/>
        <color theme="1"/>
        <rFont val="HY신명조"/>
        <family val="1"/>
        <charset val="129"/>
      </rPr>
      <t>(재착수)</t>
    </r>
    <phoneticPr fontId="2" type="noConversion"/>
  </si>
  <si>
    <r>
      <t xml:space="preserve">중지일
</t>
    </r>
    <r>
      <rPr>
        <sz val="12"/>
        <color theme="1"/>
        <rFont val="HY신명조"/>
        <family val="1"/>
        <charset val="129"/>
      </rPr>
      <t>(예정일)</t>
    </r>
    <phoneticPr fontId="2" type="noConversion"/>
  </si>
  <si>
    <r>
      <t xml:space="preserve">과업기간
</t>
    </r>
    <r>
      <rPr>
        <sz val="12"/>
        <color theme="1"/>
        <rFont val="HY신명조"/>
        <family val="1"/>
        <charset val="129"/>
      </rPr>
      <t>(잔여일)</t>
    </r>
    <phoneticPr fontId="2" type="noConversion"/>
  </si>
  <si>
    <t>비   고</t>
    <phoneticPr fontId="2" type="noConversion"/>
  </si>
  <si>
    <t>4. 전월 수금 결과보고</t>
    <phoneticPr fontId="2" type="noConversion"/>
  </si>
  <si>
    <t>(단위: 백만원)</t>
    <phoneticPr fontId="2" type="noConversion"/>
  </si>
  <si>
    <t>항목</t>
    <phoneticPr fontId="2" type="noConversion"/>
  </si>
  <si>
    <t>건수</t>
    <phoneticPr fontId="2" type="noConversion"/>
  </si>
  <si>
    <t>수금액</t>
    <phoneticPr fontId="2" type="noConversion"/>
  </si>
  <si>
    <t>미 수금 내용:
추가수금 건:</t>
    <phoneticPr fontId="2" type="noConversion"/>
  </si>
  <si>
    <t>계획</t>
    <phoneticPr fontId="2" type="noConversion"/>
  </si>
  <si>
    <t>실적</t>
    <phoneticPr fontId="2" type="noConversion"/>
  </si>
  <si>
    <t>차액</t>
    <phoneticPr fontId="2" type="noConversion"/>
  </si>
  <si>
    <t>추가 수금 건:</t>
    <phoneticPr fontId="2" type="noConversion"/>
  </si>
  <si>
    <t>5. 준공예정사업</t>
    <phoneticPr fontId="2" type="noConversion"/>
  </si>
  <si>
    <t>용 역 명</t>
    <phoneticPr fontId="2" type="noConversion"/>
  </si>
  <si>
    <t>발주처</t>
    <phoneticPr fontId="2" type="noConversion"/>
  </si>
  <si>
    <t>계약금액</t>
    <phoneticPr fontId="2" type="noConversion"/>
  </si>
  <si>
    <t>준공예정일</t>
    <phoneticPr fontId="2" type="noConversion"/>
  </si>
  <si>
    <t>수금예정액</t>
    <phoneticPr fontId="2" type="noConversion"/>
  </si>
  <si>
    <t>비 고</t>
    <phoneticPr fontId="2" type="noConversion"/>
  </si>
  <si>
    <t>소  계</t>
    <phoneticPr fontId="2" type="noConversion"/>
  </si>
  <si>
    <t>6. 선금 및 기성예정사업</t>
    <phoneticPr fontId="2" type="noConversion"/>
  </si>
  <si>
    <t>신청예정일</t>
    <phoneticPr fontId="2" type="noConversion"/>
  </si>
  <si>
    <t>5.준공+6.선금기성 합 계</t>
    <phoneticPr fontId="2" type="noConversion"/>
  </si>
  <si>
    <t>월 간  공 정  보 고 ( 토 목 부 )</t>
    <phoneticPr fontId="2" type="noConversion"/>
  </si>
  <si>
    <r>
      <t xml:space="preserve">주요보고사항
</t>
    </r>
    <r>
      <rPr>
        <sz val="10"/>
        <color theme="1"/>
        <rFont val="HY신명조"/>
        <family val="1"/>
        <charset val="129"/>
      </rPr>
      <t>(공정-수금 차액)</t>
    </r>
  </si>
  <si>
    <t>당해공정금액</t>
  </si>
  <si>
    <t>공정잔액</t>
  </si>
  <si>
    <t>계</t>
  </si>
  <si>
    <t>계약</t>
  </si>
  <si>
    <t>수행</t>
  </si>
  <si>
    <t>환산</t>
  </si>
  <si>
    <t>수금</t>
  </si>
  <si>
    <t>협조</t>
  </si>
  <si>
    <t>잔액</t>
  </si>
  <si>
    <t>외주 등</t>
  </si>
  <si>
    <t>수금율</t>
  </si>
  <si>
    <t>수행율</t>
  </si>
  <si>
    <t xml:space="preserve">임시총회 자료 작성 </t>
    <phoneticPr fontId="2" type="noConversion"/>
  </si>
  <si>
    <t>기본계획(안)작성</t>
    <phoneticPr fontId="2" type="noConversion"/>
  </si>
  <si>
    <t>용역중지 (7/12)</t>
    <phoneticPr fontId="2" type="noConversion"/>
  </si>
  <si>
    <t>업무대기</t>
    <phoneticPr fontId="2" type="noConversion"/>
  </si>
  <si>
    <t>도시공원심의 상정(9월 예정)</t>
    <phoneticPr fontId="2" type="noConversion"/>
  </si>
  <si>
    <t>-용역중지(행정인가 완료시까지)
-천마 경관설계 분담 완료</t>
    <phoneticPr fontId="2" type="noConversion"/>
  </si>
  <si>
    <t>-용역중지(행정인가 완료시까지)
-천마 측량분야 분담 완료</t>
    <phoneticPr fontId="2" type="noConversion"/>
  </si>
  <si>
    <t>발주처 계획변경 내부 검토 중</t>
    <phoneticPr fontId="2" type="noConversion"/>
  </si>
  <si>
    <t>성과품작성</t>
    <phoneticPr fontId="2" type="noConversion"/>
  </si>
  <si>
    <t>김권수이사</t>
    <phoneticPr fontId="2" type="noConversion"/>
  </si>
  <si>
    <t xml:space="preserve"> 단지설계부 
    이관진행
(행정정리 필요)</t>
    <phoneticPr fontId="2" type="noConversion"/>
  </si>
  <si>
    <t>진행중지중</t>
    <phoneticPr fontId="2" type="noConversion"/>
  </si>
  <si>
    <t>외주</t>
  </si>
  <si>
    <t>공정</t>
  </si>
  <si>
    <t>지급</t>
  </si>
  <si>
    <t>진행
공정</t>
  </si>
  <si>
    <t>외주
율</t>
  </si>
  <si>
    <t>준공</t>
    <phoneticPr fontId="2" type="noConversion"/>
  </si>
  <si>
    <t>용역중지</t>
    <phoneticPr fontId="2" type="noConversion"/>
  </si>
  <si>
    <t>월 간 보 고 총 괄 ( 토목부 )</t>
    <phoneticPr fontId="2" type="noConversion"/>
  </si>
  <si>
    <t>VAT 별도 분석</t>
    <phoneticPr fontId="2" type="noConversion"/>
  </si>
  <si>
    <t>부가세 제외</t>
    <phoneticPr fontId="2" type="noConversion"/>
  </si>
  <si>
    <t>부가세포함</t>
    <phoneticPr fontId="2" type="noConversion"/>
  </si>
  <si>
    <t>외주</t>
    <phoneticPr fontId="2" type="noConversion"/>
  </si>
  <si>
    <t>기타</t>
    <phoneticPr fontId="2" type="noConversion"/>
  </si>
  <si>
    <t>서천군</t>
    <phoneticPr fontId="2" type="noConversion"/>
  </si>
  <si>
    <t>신성리갈대밭 관광지 지정 및 조성계획 수립용역</t>
    <phoneticPr fontId="2" type="noConversion"/>
  </si>
  <si>
    <t>19.08.22</t>
    <phoneticPr fontId="2" type="noConversion"/>
  </si>
  <si>
    <t>20.08.15</t>
    <phoneticPr fontId="2" type="noConversion"/>
  </si>
  <si>
    <t>교통협조</t>
    <phoneticPr fontId="2" type="noConversion"/>
  </si>
  <si>
    <t>임시총회 개최(08/20)</t>
    <phoneticPr fontId="2" type="noConversion"/>
  </si>
  <si>
    <t>준공</t>
    <phoneticPr fontId="2" type="noConversion"/>
  </si>
  <si>
    <t>실시계획인가
(변경) 서류작성</t>
    <phoneticPr fontId="2" type="noConversion"/>
  </si>
  <si>
    <t>실시계획인가(변경)서류작성</t>
    <phoneticPr fontId="2" type="noConversion"/>
  </si>
  <si>
    <t>준공 및 수금완료</t>
    <phoneticPr fontId="2" type="noConversion"/>
  </si>
  <si>
    <t>준공 및 수금완료</t>
    <phoneticPr fontId="2" type="noConversion"/>
  </si>
  <si>
    <t>홍예공원 음악분수 설치 타당성조사 용역(준공)</t>
    <phoneticPr fontId="2" type="noConversion"/>
  </si>
  <si>
    <t>용봉산 출렁다리 설치 타당성조사 용역(준공)</t>
    <phoneticPr fontId="2" type="noConversion"/>
  </si>
  <si>
    <t>(7월)공정
환산금액</t>
    <phoneticPr fontId="2" type="noConversion"/>
  </si>
  <si>
    <t>(8월)공정
환산금액</t>
    <phoneticPr fontId="2" type="noConversion"/>
  </si>
  <si>
    <t>신성리갈대밭 관광지 지정 및 조성계획 수립용역</t>
    <phoneticPr fontId="2" type="noConversion"/>
  </si>
  <si>
    <t>서천군</t>
    <phoneticPr fontId="2" type="noConversion"/>
  </si>
  <si>
    <t>8.22</t>
    <phoneticPr fontId="2" type="noConversion"/>
  </si>
  <si>
    <t>인원 관련 : 6명 - 임원 2, 부장 1, 차장 2, 대리 1 (특이사항 없음)</t>
    <phoneticPr fontId="2" type="noConversion"/>
  </si>
  <si>
    <t>없음</t>
    <phoneticPr fontId="2" type="noConversion"/>
  </si>
  <si>
    <t>360일</t>
    <phoneticPr fontId="2" type="noConversion"/>
  </si>
  <si>
    <t>신규과업 착수
한종70+천마30+대웅(측량분담)</t>
    <phoneticPr fontId="2" type="noConversion"/>
  </si>
  <si>
    <t>추진 사업 : 용봉산 출렁다리설치공사 기본 및 실시설계 용역 / 홍성군</t>
    <phoneticPr fontId="2" type="noConversion"/>
  </si>
  <si>
    <t>부가세 포함</t>
    <phoneticPr fontId="2" type="noConversion"/>
  </si>
  <si>
    <t xml:space="preserve"> -도계약심사 완료후 성과품 제출 예정
- 준공및수금완료</t>
    <phoneticPr fontId="2" type="noConversion"/>
  </si>
  <si>
    <t>예당관광지 수변경관개선사업 실시설계용역(준공)</t>
    <phoneticPr fontId="2" type="noConversion"/>
  </si>
  <si>
    <t>임시총회 개최결과에 따른 업무협의</t>
    <phoneticPr fontId="2" type="noConversion"/>
  </si>
  <si>
    <t>기본계획도면, 1차설계적정성 검토 자료 작성</t>
    <phoneticPr fontId="2" type="noConversion"/>
  </si>
  <si>
    <t>-착수계제출(8/22)
-기본계획 검토</t>
    <phoneticPr fontId="2" type="noConversion"/>
  </si>
  <si>
    <t>탑정호 출렁다리 조성사업 타당성 재검토 용역
(준공)</t>
    <phoneticPr fontId="2" type="noConversion"/>
  </si>
  <si>
    <t>주요보고사항 : 용인 역삼 임시총회 결과에 따른 조합 업무 협의</t>
    <phoneticPr fontId="2" type="noConversion"/>
  </si>
  <si>
    <t>기성성과품 정리</t>
    <phoneticPr fontId="2" type="noConversion"/>
  </si>
  <si>
    <t>기성성과품 제출
예정</t>
    <phoneticPr fontId="2" type="noConversion"/>
  </si>
  <si>
    <t>착수계제출(8/22)</t>
    <phoneticPr fontId="2" type="noConversion"/>
  </si>
  <si>
    <t>도시재생과
팀장:장정훈
감독:김영환
/
토목:박찬용
도시:김권수</t>
    <phoneticPr fontId="2" type="noConversion"/>
  </si>
  <si>
    <t>관광축제과
팀장:최순우
감독:김선화
/
토목:김대영</t>
    <phoneticPr fontId="2" type="noConversion"/>
  </si>
  <si>
    <t>역삼조합
조합장:정동춘
국장:김기두
/
토목:문일형
구조:양상훈
지반:박경순</t>
    <phoneticPr fontId="2" type="noConversion"/>
  </si>
  <si>
    <t>부서선택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</si>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</sst>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_-* #,##0.0_-;\-* #,##0.0_-;_-* &quot;-&quot;??_-;_-@_-"/>
    <numFmt numFmtId="179" formatCode="0.0%"/>
    <numFmt numFmtId="180" formatCode="_ * #,##0_ ;_ * \-#,##0_ ;_ * &quot;-&quot;_ ;_ @_ "/>
    <numFmt numFmtId="181" formatCode="_ * #,##0.00_ ;_ * \-#,##0.00_ ;_ * &quot;-&quot;??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&quot;₩&quot;#,##0;[Red]&quot;₩&quot;&quot;₩&quot;\-#,##0"/>
    <numFmt numFmtId="185" formatCode="&quot;₩&quot;#,##0.00;[Red]&quot;₩&quot;&quot;₩&quot;&quot;₩&quot;&quot;₩&quot;&quot;₩&quot;&quot;₩&quot;\-#,##0.00"/>
    <numFmt numFmtId="186" formatCode="#,##0.0_ "/>
    <numFmt numFmtId="187" formatCode="#,##0.0_ ;[Red]\-#,##0.0\ "/>
    <numFmt numFmtId="188" formatCode="0.0_);[Red]\(0.0\)"/>
    <numFmt numFmtId="189" formatCode="0.0_ "/>
    <numFmt numFmtId="190" formatCode="#,##0_ &quot;인&quot;"/>
    <numFmt numFmtId="191" formatCode="&quot;계약대비: &quot;0.0%"/>
    <numFmt numFmtId="192" formatCode="mm&quot;월&quot;\ dd&quot;일&quot;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24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6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b/>
      <sz val="22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8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sz val="11"/>
      <color rgb="FFFF0000"/>
      <name val="HY신명조"/>
      <family val="1"/>
      <charset val="129"/>
    </font>
    <font>
      <sz val="10"/>
      <color rgb="FFFF0000"/>
      <name val="HY신명조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5" fillId="0" borderId="0"/>
    <xf numFmtId="0" fontId="8" fillId="0" borderId="0"/>
    <xf numFmtId="0" fontId="10" fillId="0" borderId="0">
      <alignment vertical="center"/>
    </xf>
  </cellStyleXfs>
  <cellXfs count="395">
    <xf numFmtId="0" fontId="0" fillId="0" borderId="0" xfId="0">
      <alignment vertical="center"/>
    </xf>
    <xf numFmtId="0" fontId="13" fillId="0" borderId="0" xfId="0" applyFont="1" applyAlignment="1">
      <alignment horizontal="center" vertical="center"/>
    </xf>
    <xf numFmtId="41" fontId="13" fillId="0" borderId="0" xfId="1" applyFont="1" applyAlignment="1">
      <alignment horizontal="center" vertical="center"/>
    </xf>
    <xf numFmtId="41" fontId="13" fillId="0" borderId="0" xfId="1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9" fontId="13" fillId="0" borderId="0" xfId="2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5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176" fontId="13" fillId="6" borderId="1" xfId="1" applyNumberFormat="1" applyFont="1" applyFill="1" applyBorder="1" applyAlignment="1">
      <alignment vertical="center" wrapText="1"/>
    </xf>
    <xf numFmtId="41" fontId="13" fillId="3" borderId="1" xfId="1" applyFont="1" applyFill="1" applyBorder="1" applyAlignment="1">
      <alignment horizontal="center" vertical="center"/>
    </xf>
    <xf numFmtId="41" fontId="13" fillId="3" borderId="1" xfId="1" applyFont="1" applyFill="1" applyBorder="1">
      <alignment vertical="center"/>
    </xf>
    <xf numFmtId="41" fontId="13" fillId="4" borderId="3" xfId="1" applyFont="1" applyFill="1" applyBorder="1">
      <alignment vertical="center"/>
    </xf>
    <xf numFmtId="41" fontId="13" fillId="4" borderId="1" xfId="1" applyFont="1" applyFill="1" applyBorder="1">
      <alignment vertical="center"/>
    </xf>
    <xf numFmtId="0" fontId="13" fillId="0" borderId="0" xfId="0" applyFont="1" applyFill="1">
      <alignment vertical="center"/>
    </xf>
    <xf numFmtId="41" fontId="13" fillId="5" borderId="1" xfId="1" applyFont="1" applyFill="1" applyBorder="1" applyAlignment="1">
      <alignment horizontal="center" vertical="center"/>
    </xf>
    <xf numFmtId="41" fontId="13" fillId="5" borderId="1" xfId="1" applyFont="1" applyFill="1" applyBorder="1">
      <alignment vertical="center"/>
    </xf>
    <xf numFmtId="179" fontId="13" fillId="6" borderId="1" xfId="2" applyNumberFormat="1" applyFont="1" applyFill="1" applyBorder="1" applyAlignment="1">
      <alignment horizontal="center" vertical="center"/>
    </xf>
    <xf numFmtId="41" fontId="13" fillId="4" borderId="3" xfId="1" applyFont="1" applyFill="1" applyBorder="1" applyAlignment="1">
      <alignment vertical="center" wrapText="1"/>
    </xf>
    <xf numFmtId="43" fontId="13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3" fillId="4" borderId="3" xfId="1" applyFont="1" applyFill="1" applyBorder="1">
      <alignment vertical="center"/>
    </xf>
    <xf numFmtId="41" fontId="13" fillId="4" borderId="1" xfId="1" applyFont="1" applyFill="1" applyBorder="1">
      <alignment vertical="center"/>
    </xf>
    <xf numFmtId="0" fontId="15" fillId="4" borderId="1" xfId="0" applyFont="1" applyFill="1" applyBorder="1" applyAlignment="1">
      <alignment horizontal="center" vertical="center"/>
    </xf>
    <xf numFmtId="9" fontId="15" fillId="0" borderId="0" xfId="2" applyFont="1" applyAlignment="1">
      <alignment horizontal="center" vertical="center"/>
    </xf>
    <xf numFmtId="0" fontId="15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9" fontId="18" fillId="0" borderId="0" xfId="2" applyFont="1" applyAlignment="1">
      <alignment horizontal="right"/>
    </xf>
    <xf numFmtId="0" fontId="1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7" borderId="1" xfId="2" applyNumberFormat="1" applyFont="1" applyFill="1" applyBorder="1" applyAlignment="1">
      <alignment horizontal="center" vertical="center"/>
    </xf>
    <xf numFmtId="0" fontId="21" fillId="4" borderId="1" xfId="2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9" fontId="21" fillId="4" borderId="1" xfId="2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7" fontId="22" fillId="0" borderId="1" xfId="1" applyNumberFormat="1" applyFont="1" applyBorder="1" applyAlignment="1">
      <alignment horizontal="center" vertical="center"/>
    </xf>
    <xf numFmtId="177" fontId="22" fillId="4" borderId="1" xfId="1" applyNumberFormat="1" applyFont="1" applyFill="1" applyBorder="1" applyAlignment="1">
      <alignment horizontal="center" vertical="center"/>
    </xf>
    <xf numFmtId="187" fontId="22" fillId="0" borderId="1" xfId="1" applyNumberFormat="1" applyFont="1" applyBorder="1" applyAlignment="1">
      <alignment horizontal="right" vertical="center"/>
    </xf>
    <xf numFmtId="188" fontId="22" fillId="0" borderId="1" xfId="2" applyNumberFormat="1" applyFont="1" applyBorder="1" applyAlignment="1">
      <alignment horizontal="center" vertical="center"/>
    </xf>
    <xf numFmtId="0" fontId="21" fillId="0" borderId="1" xfId="2" applyNumberFormat="1" applyFont="1" applyBorder="1" applyAlignment="1">
      <alignment horizontal="center" vertical="center"/>
    </xf>
    <xf numFmtId="189" fontId="21" fillId="0" borderId="1" xfId="2" applyNumberFormat="1" applyFont="1" applyBorder="1" applyAlignment="1">
      <alignment horizontal="right" vertical="center" wrapText="1"/>
    </xf>
    <xf numFmtId="189" fontId="15" fillId="0" borderId="1" xfId="0" applyNumberFormat="1" applyFont="1" applyBorder="1" applyAlignment="1">
      <alignment horizontal="right" vertical="center" wrapText="1"/>
    </xf>
    <xf numFmtId="9" fontId="22" fillId="0" borderId="1" xfId="2" applyFont="1" applyBorder="1" applyAlignment="1">
      <alignment horizontal="center" vertical="center"/>
    </xf>
    <xf numFmtId="189" fontId="21" fillId="0" borderId="1" xfId="0" applyNumberFormat="1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177" fontId="19" fillId="0" borderId="1" xfId="1" applyNumberFormat="1" applyFont="1" applyBorder="1" applyAlignment="1">
      <alignment horizontal="center" vertical="center"/>
    </xf>
    <xf numFmtId="177" fontId="19" fillId="4" borderId="1" xfId="1" applyNumberFormat="1" applyFont="1" applyFill="1" applyBorder="1" applyAlignment="1">
      <alignment horizontal="center" vertical="center"/>
    </xf>
    <xf numFmtId="187" fontId="19" fillId="0" borderId="1" xfId="1" applyNumberFormat="1" applyFont="1" applyBorder="1" applyAlignment="1">
      <alignment horizontal="right" vertical="center"/>
    </xf>
    <xf numFmtId="190" fontId="19" fillId="0" borderId="1" xfId="0" applyNumberFormat="1" applyFont="1" applyBorder="1" applyAlignment="1">
      <alignment horizontal="center" vertical="center"/>
    </xf>
    <xf numFmtId="189" fontId="19" fillId="0" borderId="1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190" fontId="15" fillId="0" borderId="0" xfId="0" applyNumberFormat="1" applyFont="1" applyBorder="1" applyAlignment="1">
      <alignment horizontal="center" vertical="center"/>
    </xf>
    <xf numFmtId="9" fontId="15" fillId="0" borderId="0" xfId="2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89" fontId="15" fillId="0" borderId="1" xfId="0" applyNumberFormat="1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top" wrapText="1"/>
    </xf>
    <xf numFmtId="186" fontId="19" fillId="0" borderId="1" xfId="0" applyNumberFormat="1" applyFont="1" applyBorder="1" applyAlignment="1">
      <alignment horizontal="right" vertical="center"/>
    </xf>
    <xf numFmtId="0" fontId="19" fillId="0" borderId="25" xfId="0" applyFont="1" applyBorder="1" applyAlignment="1">
      <alignment horizontal="left" vertical="top"/>
    </xf>
    <xf numFmtId="0" fontId="15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186" fontId="15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186" fontId="19" fillId="0" borderId="27" xfId="0" applyNumberFormat="1" applyFont="1" applyBorder="1" applyAlignment="1">
      <alignment horizontal="right" vertical="center"/>
    </xf>
    <xf numFmtId="9" fontId="19" fillId="0" borderId="27" xfId="2" applyFont="1" applyBorder="1" applyAlignment="1">
      <alignment horizontal="center" vertical="center"/>
    </xf>
    <xf numFmtId="186" fontId="19" fillId="0" borderId="1" xfId="1" applyNumberFormat="1" applyFont="1" applyBorder="1" applyAlignment="1">
      <alignment horizontal="right" vertical="center"/>
    </xf>
    <xf numFmtId="41" fontId="19" fillId="0" borderId="1" xfId="1" applyFont="1" applyBorder="1" applyAlignment="1">
      <alignment horizontal="right" vertical="center"/>
    </xf>
    <xf numFmtId="9" fontId="19" fillId="0" borderId="1" xfId="2" applyFont="1" applyBorder="1" applyAlignment="1">
      <alignment horizontal="center" vertical="center"/>
    </xf>
    <xf numFmtId="41" fontId="15" fillId="0" borderId="0" xfId="1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9" fontId="18" fillId="4" borderId="1" xfId="2" applyFont="1" applyFill="1" applyBorder="1" applyAlignment="1">
      <alignment horizontal="center" vertical="center" wrapText="1"/>
    </xf>
    <xf numFmtId="9" fontId="18" fillId="4" borderId="2" xfId="2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/>
    </xf>
    <xf numFmtId="186" fontId="21" fillId="0" borderId="7" xfId="1" applyNumberFormat="1" applyFont="1" applyBorder="1" applyAlignment="1">
      <alignment horizontal="right" vertical="center" wrapText="1"/>
    </xf>
    <xf numFmtId="176" fontId="18" fillId="0" borderId="6" xfId="1" applyNumberFormat="1" applyFont="1" applyBorder="1" applyAlignment="1">
      <alignment horizontal="center" vertical="center"/>
    </xf>
    <xf numFmtId="177" fontId="18" fillId="0" borderId="7" xfId="1" applyNumberFormat="1" applyFont="1" applyBorder="1" applyAlignment="1">
      <alignment horizontal="right" vertical="center" wrapText="1"/>
    </xf>
    <xf numFmtId="9" fontId="18" fillId="0" borderId="6" xfId="2" applyFont="1" applyBorder="1" applyAlignment="1">
      <alignment horizontal="center" vertical="center"/>
    </xf>
    <xf numFmtId="9" fontId="18" fillId="0" borderId="7" xfId="2" applyFont="1" applyBorder="1" applyAlignment="1">
      <alignment horizontal="center" vertical="center"/>
    </xf>
    <xf numFmtId="0" fontId="21" fillId="0" borderId="8" xfId="0" quotePrefix="1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186" fontId="21" fillId="0" borderId="11" xfId="1" applyNumberFormat="1" applyFont="1" applyBorder="1" applyAlignment="1">
      <alignment horizontal="right" vertical="center" wrapText="1"/>
    </xf>
    <xf numFmtId="176" fontId="21" fillId="0" borderId="10" xfId="1" applyNumberFormat="1" applyFont="1" applyBorder="1" applyAlignment="1">
      <alignment horizontal="center" vertical="center"/>
    </xf>
    <xf numFmtId="177" fontId="21" fillId="0" borderId="11" xfId="1" applyNumberFormat="1" applyFont="1" applyBorder="1" applyAlignment="1">
      <alignment horizontal="right" vertical="center" wrapText="1"/>
    </xf>
    <xf numFmtId="9" fontId="21" fillId="0" borderId="10" xfId="2" applyFont="1" applyBorder="1" applyAlignment="1">
      <alignment horizontal="center" vertical="center" wrapText="1"/>
    </xf>
    <xf numFmtId="178" fontId="21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176" fontId="21" fillId="0" borderId="10" xfId="1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179" fontId="18" fillId="0" borderId="15" xfId="2" applyNumberFormat="1" applyFont="1" applyBorder="1" applyAlignment="1">
      <alignment horizontal="righ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center" vertical="center" wrapText="1"/>
    </xf>
    <xf numFmtId="177" fontId="21" fillId="0" borderId="38" xfId="1" applyNumberFormat="1" applyFont="1" applyFill="1" applyBorder="1" applyAlignment="1">
      <alignment horizontal="center" vertical="center"/>
    </xf>
    <xf numFmtId="177" fontId="21" fillId="0" borderId="36" xfId="1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8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178" fontId="13" fillId="4" borderId="36" xfId="0" applyNumberFormat="1" applyFont="1" applyFill="1" applyBorder="1" applyAlignment="1">
      <alignment horizontal="center" vertical="center"/>
    </xf>
    <xf numFmtId="178" fontId="13" fillId="3" borderId="37" xfId="0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76" fontId="18" fillId="0" borderId="6" xfId="1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6" fontId="21" fillId="0" borderId="10" xfId="1" applyNumberFormat="1" applyFont="1" applyBorder="1" applyAlignment="1">
      <alignment horizontal="center" vertical="center"/>
    </xf>
    <xf numFmtId="176" fontId="21" fillId="0" borderId="10" xfId="1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1" fillId="4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178" fontId="13" fillId="4" borderId="36" xfId="0" applyNumberFormat="1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177" fontId="13" fillId="0" borderId="36" xfId="1" applyNumberFormat="1" applyFont="1" applyFill="1" applyBorder="1" applyAlignment="1">
      <alignment horizontal="center" vertical="center"/>
    </xf>
    <xf numFmtId="177" fontId="13" fillId="0" borderId="38" xfId="1" applyNumberFormat="1" applyFont="1" applyFill="1" applyBorder="1" applyAlignment="1">
      <alignment horizontal="center" vertical="center"/>
    </xf>
    <xf numFmtId="41" fontId="21" fillId="4" borderId="3" xfId="1" applyFont="1" applyFill="1" applyBorder="1" applyAlignment="1">
      <alignment vertical="center" wrapText="1"/>
    </xf>
    <xf numFmtId="186" fontId="18" fillId="0" borderId="16" xfId="1" applyNumberFormat="1" applyFont="1" applyBorder="1" applyAlignment="1">
      <alignment horizontal="right" vertical="center" wrapText="1"/>
    </xf>
    <xf numFmtId="186" fontId="18" fillId="0" borderId="32" xfId="1" applyNumberFormat="1" applyFont="1" applyBorder="1" applyAlignment="1">
      <alignment horizontal="right" vertical="center" wrapText="1"/>
    </xf>
    <xf numFmtId="186" fontId="18" fillId="0" borderId="24" xfId="1" applyNumberFormat="1" applyFont="1" applyBorder="1" applyAlignment="1">
      <alignment horizontal="right" vertical="center" wrapText="1"/>
    </xf>
    <xf numFmtId="187" fontId="21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186" fontId="21" fillId="0" borderId="7" xfId="1" applyNumberFormat="1" applyFont="1" applyBorder="1" applyAlignment="1">
      <alignment horizontal="right" vertical="center" wrapText="1"/>
    </xf>
    <xf numFmtId="177" fontId="18" fillId="0" borderId="7" xfId="1" applyNumberFormat="1" applyFont="1" applyBorder="1" applyAlignment="1">
      <alignment horizontal="right" vertical="center" wrapText="1"/>
    </xf>
    <xf numFmtId="186" fontId="21" fillId="0" borderId="11" xfId="1" applyNumberFormat="1" applyFont="1" applyBorder="1" applyAlignment="1">
      <alignment horizontal="right" vertical="center" wrapText="1"/>
    </xf>
    <xf numFmtId="178" fontId="21" fillId="0" borderId="11" xfId="0" applyNumberFormat="1" applyFont="1" applyBorder="1" applyAlignment="1">
      <alignment horizontal="center" vertical="center"/>
    </xf>
    <xf numFmtId="179" fontId="18" fillId="0" borderId="15" xfId="2" applyNumberFormat="1" applyFont="1" applyBorder="1" applyAlignment="1">
      <alignment horizontal="right" vertical="center" wrapText="1"/>
    </xf>
    <xf numFmtId="0" fontId="21" fillId="4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178" fontId="13" fillId="4" borderId="36" xfId="0" applyNumberFormat="1" applyFont="1" applyFill="1" applyBorder="1" applyAlignment="1">
      <alignment horizontal="center" vertical="center"/>
    </xf>
    <xf numFmtId="178" fontId="13" fillId="3" borderId="37" xfId="0" applyNumberFormat="1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0" fontId="21" fillId="0" borderId="34" xfId="0" applyFont="1" applyFill="1" applyBorder="1" applyAlignment="1">
      <alignment horizontal="center" vertical="center"/>
    </xf>
    <xf numFmtId="178" fontId="21" fillId="4" borderId="36" xfId="0" applyNumberFormat="1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1" fillId="0" borderId="4" xfId="0" quotePrefix="1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9" fontId="18" fillId="4" borderId="1" xfId="2" applyFont="1" applyFill="1" applyBorder="1" applyAlignment="1">
      <alignment horizontal="center" vertical="center" wrapText="1"/>
    </xf>
    <xf numFmtId="9" fontId="18" fillId="4" borderId="2" xfId="2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186" fontId="21" fillId="0" borderId="7" xfId="1" applyNumberFormat="1" applyFont="1" applyBorder="1" applyAlignment="1">
      <alignment horizontal="right" vertical="center" wrapText="1"/>
    </xf>
    <xf numFmtId="176" fontId="18" fillId="0" borderId="6" xfId="1" applyNumberFormat="1" applyFont="1" applyBorder="1" applyAlignment="1">
      <alignment horizontal="center" vertical="center"/>
    </xf>
    <xf numFmtId="177" fontId="18" fillId="0" borderId="7" xfId="1" applyNumberFormat="1" applyFont="1" applyBorder="1" applyAlignment="1">
      <alignment horizontal="right" vertical="center" wrapText="1"/>
    </xf>
    <xf numFmtId="9" fontId="18" fillId="0" borderId="6" xfId="2" applyFont="1" applyBorder="1" applyAlignment="1">
      <alignment horizontal="center" vertical="center"/>
    </xf>
    <xf numFmtId="9" fontId="18" fillId="0" borderId="7" xfId="2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86" fontId="21" fillId="0" borderId="11" xfId="1" applyNumberFormat="1" applyFont="1" applyBorder="1" applyAlignment="1">
      <alignment horizontal="right" vertical="center" wrapText="1"/>
    </xf>
    <xf numFmtId="176" fontId="21" fillId="0" borderId="10" xfId="1" applyNumberFormat="1" applyFont="1" applyBorder="1" applyAlignment="1">
      <alignment horizontal="center" vertical="center"/>
    </xf>
    <xf numFmtId="177" fontId="21" fillId="0" borderId="11" xfId="1" applyNumberFormat="1" applyFont="1" applyBorder="1" applyAlignment="1">
      <alignment horizontal="right" vertical="center" wrapText="1"/>
    </xf>
    <xf numFmtId="9" fontId="21" fillId="0" borderId="10" xfId="2" applyFont="1" applyBorder="1" applyAlignment="1">
      <alignment horizontal="center" vertical="center" wrapText="1"/>
    </xf>
    <xf numFmtId="178" fontId="21" fillId="0" borderId="11" xfId="0" applyNumberFormat="1" applyFont="1" applyBorder="1" applyAlignment="1">
      <alignment horizontal="center" vertical="center"/>
    </xf>
    <xf numFmtId="176" fontId="21" fillId="0" borderId="10" xfId="1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179" fontId="18" fillId="0" borderId="15" xfId="2" applyNumberFormat="1" applyFont="1" applyBorder="1" applyAlignment="1">
      <alignment horizontal="right" vertical="center" wrapText="1"/>
    </xf>
    <xf numFmtId="0" fontId="21" fillId="4" borderId="34" xfId="0" applyFont="1" applyFill="1" applyBorder="1" applyAlignment="1">
      <alignment horizontal="center" vertical="center"/>
    </xf>
    <xf numFmtId="0" fontId="21" fillId="0" borderId="8" xfId="0" quotePrefix="1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41" fontId="21" fillId="5" borderId="1" xfId="1" applyFont="1" applyFill="1" applyBorder="1">
      <alignment vertical="center"/>
    </xf>
    <xf numFmtId="41" fontId="21" fillId="5" borderId="1" xfId="1" applyFont="1" applyFill="1" applyBorder="1" applyAlignment="1">
      <alignment horizontal="center" vertical="center"/>
    </xf>
    <xf numFmtId="179" fontId="21" fillId="6" borderId="1" xfId="2" applyNumberFormat="1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41" fontId="21" fillId="4" borderId="1" xfId="1" applyFont="1" applyFill="1" applyBorder="1">
      <alignment vertical="center"/>
    </xf>
    <xf numFmtId="41" fontId="21" fillId="3" borderId="1" xfId="1" applyFont="1" applyFill="1" applyBorder="1">
      <alignment vertical="center"/>
    </xf>
    <xf numFmtId="41" fontId="21" fillId="3" borderId="1" xfId="1" applyFont="1" applyFill="1" applyBorder="1" applyAlignment="1">
      <alignment horizontal="center" vertical="center"/>
    </xf>
    <xf numFmtId="176" fontId="21" fillId="6" borderId="1" xfId="1" applyNumberFormat="1" applyFont="1" applyFill="1" applyBorder="1" applyAlignment="1">
      <alignment vertical="center" wrapText="1"/>
    </xf>
    <xf numFmtId="0" fontId="21" fillId="6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21" fillId="0" borderId="0" xfId="1" applyFont="1">
      <alignment vertical="center"/>
    </xf>
    <xf numFmtId="41" fontId="21" fillId="0" borderId="0" xfId="1" applyFont="1" applyAlignment="1">
      <alignment horizontal="center" vertical="center"/>
    </xf>
    <xf numFmtId="41" fontId="21" fillId="4" borderId="3" xfId="1" applyFont="1" applyFill="1" applyBorder="1">
      <alignment vertical="center"/>
    </xf>
    <xf numFmtId="0" fontId="21" fillId="0" borderId="8" xfId="0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9" fontId="18" fillId="4" borderId="1" xfId="2" applyFont="1" applyFill="1" applyBorder="1" applyAlignment="1">
      <alignment horizontal="center" vertical="center" wrapText="1"/>
    </xf>
    <xf numFmtId="9" fontId="18" fillId="4" borderId="2" xfId="2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186" fontId="21" fillId="0" borderId="7" xfId="1" applyNumberFormat="1" applyFont="1" applyBorder="1" applyAlignment="1">
      <alignment horizontal="right" vertical="center" wrapText="1"/>
    </xf>
    <xf numFmtId="176" fontId="18" fillId="0" borderId="6" xfId="1" applyNumberFormat="1" applyFont="1" applyBorder="1" applyAlignment="1">
      <alignment horizontal="center" vertical="center"/>
    </xf>
    <xf numFmtId="177" fontId="18" fillId="0" borderId="7" xfId="1" applyNumberFormat="1" applyFont="1" applyBorder="1" applyAlignment="1">
      <alignment horizontal="right" vertical="center" wrapText="1"/>
    </xf>
    <xf numFmtId="9" fontId="18" fillId="0" borderId="6" xfId="2" applyFont="1" applyBorder="1" applyAlignment="1">
      <alignment horizontal="center" vertical="center"/>
    </xf>
    <xf numFmtId="9" fontId="18" fillId="0" borderId="7" xfId="2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86" fontId="21" fillId="0" borderId="11" xfId="1" applyNumberFormat="1" applyFont="1" applyBorder="1" applyAlignment="1">
      <alignment horizontal="right" vertical="center" wrapText="1"/>
    </xf>
    <xf numFmtId="176" fontId="21" fillId="0" borderId="10" xfId="1" applyNumberFormat="1" applyFont="1" applyBorder="1" applyAlignment="1">
      <alignment horizontal="center" vertical="center"/>
    </xf>
    <xf numFmtId="177" fontId="21" fillId="0" borderId="11" xfId="1" applyNumberFormat="1" applyFont="1" applyBorder="1" applyAlignment="1">
      <alignment horizontal="right" vertical="center" wrapText="1"/>
    </xf>
    <xf numFmtId="9" fontId="21" fillId="0" borderId="10" xfId="2" applyFont="1" applyBorder="1" applyAlignment="1">
      <alignment horizontal="center" vertical="center" wrapText="1"/>
    </xf>
    <xf numFmtId="178" fontId="21" fillId="0" borderId="11" xfId="0" applyNumberFormat="1" applyFont="1" applyBorder="1" applyAlignment="1">
      <alignment horizontal="center" vertical="center"/>
    </xf>
    <xf numFmtId="176" fontId="21" fillId="0" borderId="10" xfId="1" applyNumberFormat="1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179" fontId="18" fillId="0" borderId="15" xfId="2" applyNumberFormat="1" applyFont="1" applyBorder="1" applyAlignment="1">
      <alignment horizontal="right" vertical="center" wrapText="1"/>
    </xf>
    <xf numFmtId="0" fontId="21" fillId="4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178" fontId="13" fillId="4" borderId="36" xfId="0" applyNumberFormat="1" applyFont="1" applyFill="1" applyBorder="1" applyAlignment="1">
      <alignment horizontal="center" vertical="center"/>
    </xf>
    <xf numFmtId="178" fontId="13" fillId="3" borderId="37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186" fontId="21" fillId="0" borderId="33" xfId="1" applyNumberFormat="1" applyFont="1" applyBorder="1" applyAlignment="1">
      <alignment horizontal="right" vertical="center" wrapText="1"/>
    </xf>
    <xf numFmtId="0" fontId="21" fillId="0" borderId="6" xfId="0" applyFont="1" applyBorder="1" applyAlignment="1">
      <alignment horizontal="center" vertical="center"/>
    </xf>
    <xf numFmtId="186" fontId="21" fillId="0" borderId="7" xfId="1" applyNumberFormat="1" applyFont="1" applyBorder="1" applyAlignment="1">
      <alignment horizontal="right" vertical="center" wrapText="1"/>
    </xf>
    <xf numFmtId="176" fontId="18" fillId="0" borderId="6" xfId="1" applyNumberFormat="1" applyFont="1" applyBorder="1" applyAlignment="1">
      <alignment horizontal="center" vertical="center"/>
    </xf>
    <xf numFmtId="177" fontId="18" fillId="0" borderId="7" xfId="1" applyNumberFormat="1" applyFont="1" applyBorder="1" applyAlignment="1">
      <alignment horizontal="right" vertical="center" wrapText="1"/>
    </xf>
    <xf numFmtId="9" fontId="18" fillId="0" borderId="6" xfId="2" applyFont="1" applyBorder="1" applyAlignment="1">
      <alignment horizontal="center" vertical="center"/>
    </xf>
    <xf numFmtId="9" fontId="18" fillId="0" borderId="7" xfId="2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86" fontId="21" fillId="0" borderId="11" xfId="1" applyNumberFormat="1" applyFont="1" applyBorder="1" applyAlignment="1">
      <alignment horizontal="right" vertical="center" wrapText="1"/>
    </xf>
    <xf numFmtId="176" fontId="21" fillId="0" borderId="10" xfId="1" applyNumberFormat="1" applyFont="1" applyBorder="1" applyAlignment="1">
      <alignment horizontal="center" vertical="center"/>
    </xf>
    <xf numFmtId="177" fontId="21" fillId="0" borderId="11" xfId="1" applyNumberFormat="1" applyFont="1" applyBorder="1" applyAlignment="1">
      <alignment horizontal="right" vertical="center" wrapText="1"/>
    </xf>
    <xf numFmtId="176" fontId="21" fillId="0" borderId="10" xfId="1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9" fontId="18" fillId="0" borderId="15" xfId="2" applyNumberFormat="1" applyFont="1" applyBorder="1" applyAlignment="1">
      <alignment horizontal="right" vertical="center" wrapText="1"/>
    </xf>
    <xf numFmtId="186" fontId="21" fillId="0" borderId="24" xfId="1" applyNumberFormat="1" applyFont="1" applyBorder="1" applyAlignment="1">
      <alignment horizontal="right" vertical="center" wrapText="1"/>
    </xf>
    <xf numFmtId="186" fontId="21" fillId="0" borderId="32" xfId="1" applyNumberFormat="1" applyFont="1" applyBorder="1" applyAlignment="1">
      <alignment horizontal="right" vertical="center" wrapText="1"/>
    </xf>
    <xf numFmtId="9" fontId="18" fillId="0" borderId="10" xfId="2" applyFont="1" applyBorder="1" applyAlignment="1">
      <alignment horizontal="center" vertical="center" wrapText="1"/>
    </xf>
    <xf numFmtId="178" fontId="18" fillId="0" borderId="11" xfId="0" applyNumberFormat="1" applyFont="1" applyBorder="1" applyAlignment="1">
      <alignment horizontal="center" vertical="center"/>
    </xf>
    <xf numFmtId="192" fontId="15" fillId="0" borderId="1" xfId="0" applyNumberFormat="1" applyFont="1" applyBorder="1" applyAlignment="1">
      <alignment horizontal="center" vertical="center"/>
    </xf>
    <xf numFmtId="9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15" fillId="0" borderId="0" xfId="1" applyFont="1" applyAlignment="1">
      <alignment horizontal="center" vertical="center"/>
    </xf>
    <xf numFmtId="9" fontId="19" fillId="0" borderId="27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2" applyNumberFormat="1" applyFont="1" applyAlignment="1">
      <alignment horizontal="center" vertical="center"/>
    </xf>
    <xf numFmtId="188" fontId="22" fillId="0" borderId="1" xfId="2" applyNumberFormat="1" applyFont="1" applyBorder="1" applyAlignment="1">
      <alignment horizontal="center" vertical="center"/>
    </xf>
    <xf numFmtId="189" fontId="19" fillId="0" borderId="1" xfId="0" applyNumberFormat="1" applyFont="1" applyBorder="1" applyAlignment="1">
      <alignment horizontal="right" vertical="center"/>
    </xf>
    <xf numFmtId="186" fontId="19" fillId="0" borderId="1" xfId="0" applyNumberFormat="1" applyFont="1" applyBorder="1" applyAlignment="1">
      <alignment horizontal="right" vertical="center"/>
    </xf>
    <xf numFmtId="9" fontId="21" fillId="0" borderId="10" xfId="2" applyFont="1" applyBorder="1" applyAlignment="1">
      <alignment horizontal="center" vertical="center" wrapText="1"/>
    </xf>
    <xf numFmtId="178" fontId="21" fillId="0" borderId="11" xfId="0" applyNumberFormat="1" applyFont="1" applyBorder="1" applyAlignment="1">
      <alignment horizontal="center" vertical="center"/>
    </xf>
    <xf numFmtId="189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186" fontId="15" fillId="0" borderId="1" xfId="0" applyNumberFormat="1" applyFont="1" applyBorder="1" applyAlignment="1">
      <alignment horizontal="right" vertical="center"/>
    </xf>
    <xf numFmtId="9" fontId="19" fillId="0" borderId="2" xfId="2" applyFont="1" applyBorder="1" applyAlignment="1">
      <alignment horizontal="center" vertical="center"/>
    </xf>
    <xf numFmtId="9" fontId="19" fillId="0" borderId="3" xfId="2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left" vertical="center" wrapText="1"/>
    </xf>
    <xf numFmtId="0" fontId="21" fillId="0" borderId="8" xfId="0" quotePrefix="1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187" fontId="13" fillId="0" borderId="0" xfId="0" applyNumberFormat="1" applyFont="1" applyAlignment="1">
      <alignment horizontal="right"/>
    </xf>
    <xf numFmtId="41" fontId="23" fillId="0" borderId="1" xfId="1" applyFont="1" applyBorder="1">
      <alignment vertical="center"/>
    </xf>
    <xf numFmtId="41" fontId="13" fillId="0" borderId="26" xfId="1" applyFont="1" applyBorder="1">
      <alignment vertical="center"/>
    </xf>
    <xf numFmtId="49" fontId="21" fillId="0" borderId="0" xfId="0" applyNumberFormat="1" applyFont="1" applyBorder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top"/>
    </xf>
    <xf numFmtId="0" fontId="24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5" fillId="0" borderId="2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15" fillId="0" borderId="3" xfId="0" applyFont="1" applyBorder="1" applyAlignment="1">
      <alignment horizontal="left" vertical="center" shrinkToFi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9" fontId="19" fillId="0" borderId="2" xfId="2" applyFont="1" applyBorder="1" applyAlignment="1">
      <alignment horizontal="center" vertical="center"/>
    </xf>
    <xf numFmtId="9" fontId="19" fillId="0" borderId="27" xfId="2" applyFont="1" applyBorder="1" applyAlignment="1">
      <alignment horizontal="center" vertical="center"/>
    </xf>
    <xf numFmtId="9" fontId="19" fillId="0" borderId="3" xfId="2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9" fillId="0" borderId="23" xfId="0" applyFont="1" applyBorder="1" applyAlignment="1">
      <alignment horizontal="left" vertical="top"/>
    </xf>
    <xf numFmtId="0" fontId="19" fillId="0" borderId="2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16" xfId="0" applyFont="1" applyBorder="1" applyAlignment="1">
      <alignment horizontal="left" vertical="top"/>
    </xf>
    <xf numFmtId="0" fontId="16" fillId="0" borderId="0" xfId="0" applyFont="1" applyAlignment="1">
      <alignment horizontal="center" vertical="center"/>
    </xf>
    <xf numFmtId="49" fontId="19" fillId="0" borderId="4" xfId="2" applyNumberFormat="1" applyFont="1" applyBorder="1" applyAlignment="1">
      <alignment horizontal="center" vertical="center" wrapText="1"/>
    </xf>
    <xf numFmtId="49" fontId="19" fillId="0" borderId="12" xfId="2" applyNumberFormat="1" applyFont="1" applyBorder="1" applyAlignment="1">
      <alignment horizontal="center" vertical="center" wrapText="1"/>
    </xf>
    <xf numFmtId="191" fontId="19" fillId="0" borderId="2" xfId="2" applyNumberFormat="1" applyFont="1" applyBorder="1" applyAlignment="1">
      <alignment horizontal="right" vertical="center" wrapText="1"/>
    </xf>
    <xf numFmtId="191" fontId="19" fillId="0" borderId="3" xfId="2" applyNumberFormat="1" applyFont="1" applyBorder="1" applyAlignment="1">
      <alignment horizontal="right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187" fontId="18" fillId="0" borderId="4" xfId="0" applyNumberFormat="1" applyFont="1" applyBorder="1" applyAlignment="1">
      <alignment horizontal="center" vertical="center" wrapText="1"/>
    </xf>
    <xf numFmtId="187" fontId="18" fillId="0" borderId="8" xfId="0" applyNumberFormat="1" applyFont="1" applyBorder="1" applyAlignment="1">
      <alignment horizontal="center" vertical="center" wrapText="1"/>
    </xf>
    <xf numFmtId="187" fontId="18" fillId="0" borderId="12" xfId="0" applyNumberFormat="1" applyFont="1" applyBorder="1" applyAlignment="1">
      <alignment horizontal="center" vertical="center" wrapText="1"/>
    </xf>
    <xf numFmtId="9" fontId="18" fillId="4" borderId="4" xfId="2" applyFont="1" applyFill="1" applyBorder="1" applyAlignment="1">
      <alignment horizontal="center" vertical="center"/>
    </xf>
    <xf numFmtId="9" fontId="18" fillId="4" borderId="8" xfId="2" applyFont="1" applyFill="1" applyBorder="1" applyAlignment="1">
      <alignment horizontal="center" vertical="center"/>
    </xf>
    <xf numFmtId="9" fontId="18" fillId="4" borderId="12" xfId="2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9" fontId="18" fillId="0" borderId="29" xfId="2" applyFont="1" applyBorder="1" applyAlignment="1">
      <alignment horizontal="center" vertical="center" wrapText="1"/>
    </xf>
    <xf numFmtId="9" fontId="18" fillId="0" borderId="18" xfId="2" applyFont="1" applyBorder="1" applyAlignment="1">
      <alignment horizontal="center" vertical="center" wrapText="1"/>
    </xf>
    <xf numFmtId="9" fontId="18" fillId="0" borderId="19" xfId="2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/>
    </xf>
    <xf numFmtId="178" fontId="18" fillId="0" borderId="31" xfId="0" applyNumberFormat="1" applyFont="1" applyBorder="1" applyAlignment="1">
      <alignment horizontal="center" vertical="center"/>
    </xf>
    <xf numFmtId="178" fontId="18" fillId="0" borderId="28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8" xfId="0" quotePrefix="1" applyFont="1" applyBorder="1" applyAlignment="1">
      <alignment horizontal="center" vertical="center" wrapText="1"/>
    </xf>
    <xf numFmtId="0" fontId="21" fillId="0" borderId="12" xfId="0" quotePrefix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4" xfId="2" quotePrefix="1" applyNumberFormat="1" applyFont="1" applyBorder="1" applyAlignment="1">
      <alignment horizontal="center" vertical="center" wrapText="1"/>
    </xf>
    <xf numFmtId="0" fontId="21" fillId="0" borderId="8" xfId="2" quotePrefix="1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left" vertical="center" wrapText="1"/>
    </xf>
    <xf numFmtId="0" fontId="21" fillId="0" borderId="8" xfId="0" quotePrefix="1" applyFont="1" applyBorder="1" applyAlignment="1">
      <alignment horizontal="left" vertical="center" wrapText="1"/>
    </xf>
    <xf numFmtId="0" fontId="21" fillId="0" borderId="12" xfId="0" quotePrefix="1" applyFont="1" applyBorder="1" applyAlignment="1">
      <alignment horizontal="left" vertical="center" wrapText="1"/>
    </xf>
    <xf numFmtId="0" fontId="21" fillId="0" borderId="4" xfId="2" applyNumberFormat="1" applyFont="1" applyBorder="1" applyAlignment="1">
      <alignment horizontal="left" vertical="center" wrapText="1"/>
    </xf>
    <xf numFmtId="0" fontId="21" fillId="0" borderId="8" xfId="2" quotePrefix="1" applyNumberFormat="1" applyFont="1" applyBorder="1" applyAlignment="1">
      <alignment horizontal="left" vertical="center" wrapText="1"/>
    </xf>
    <xf numFmtId="0" fontId="21" fillId="0" borderId="12" xfId="2" quotePrefix="1" applyNumberFormat="1" applyFont="1" applyBorder="1" applyAlignment="1">
      <alignment horizontal="left" vertical="center" wrapText="1"/>
    </xf>
    <xf numFmtId="0" fontId="21" fillId="0" borderId="4" xfId="2" applyNumberFormat="1" applyFont="1" applyBorder="1" applyAlignment="1">
      <alignment horizontal="center" vertical="center" wrapText="1"/>
    </xf>
    <xf numFmtId="0" fontId="21" fillId="0" borderId="12" xfId="2" quotePrefix="1" applyNumberFormat="1" applyFont="1" applyBorder="1" applyAlignment="1">
      <alignment horizontal="center" vertical="center" wrapText="1"/>
    </xf>
    <xf numFmtId="9" fontId="21" fillId="0" borderId="18" xfId="2" applyFont="1" applyBorder="1" applyAlignment="1">
      <alignment horizontal="center" vertical="center" wrapText="1"/>
    </xf>
    <xf numFmtId="9" fontId="21" fillId="0" borderId="19" xfId="2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9" fontId="21" fillId="0" borderId="4" xfId="2" applyFont="1" applyBorder="1" applyAlignment="1">
      <alignment horizontal="center" vertical="center"/>
    </xf>
    <xf numFmtId="9" fontId="21" fillId="0" borderId="8" xfId="2" applyFont="1" applyBorder="1" applyAlignment="1">
      <alignment horizontal="center" vertical="center"/>
    </xf>
    <xf numFmtId="9" fontId="21" fillId="0" borderId="12" xfId="2" applyFont="1" applyBorder="1" applyAlignment="1">
      <alignment horizontal="center" vertical="center"/>
    </xf>
    <xf numFmtId="9" fontId="21" fillId="4" borderId="4" xfId="2" applyFont="1" applyFill="1" applyBorder="1" applyAlignment="1">
      <alignment horizontal="center" vertical="center"/>
    </xf>
    <xf numFmtId="9" fontId="21" fillId="4" borderId="8" xfId="2" applyFont="1" applyFill="1" applyBorder="1" applyAlignment="1">
      <alignment horizontal="center" vertical="center"/>
    </xf>
    <xf numFmtId="9" fontId="21" fillId="4" borderId="12" xfId="2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4" xfId="2" quotePrefix="1" applyNumberFormat="1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86" fontId="21" fillId="0" borderId="24" xfId="1" applyNumberFormat="1" applyFont="1" applyBorder="1" applyAlignment="1">
      <alignment horizontal="center" vertical="center" wrapText="1"/>
    </xf>
    <xf numFmtId="186" fontId="21" fillId="0" borderId="16" xfId="1" applyNumberFormat="1" applyFont="1" applyBorder="1" applyAlignment="1">
      <alignment horizontal="center" vertical="center" wrapText="1"/>
    </xf>
    <xf numFmtId="186" fontId="21" fillId="0" borderId="17" xfId="1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9" fontId="18" fillId="0" borderId="19" xfId="2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8" xfId="0" applyNumberFormat="1" applyFont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9" fontId="21" fillId="4" borderId="4" xfId="2" applyNumberFormat="1" applyFont="1" applyFill="1" applyBorder="1" applyAlignment="1">
      <alignment horizontal="center" vertical="center"/>
    </xf>
    <xf numFmtId="9" fontId="21" fillId="4" borderId="8" xfId="2" applyNumberFormat="1" applyFont="1" applyFill="1" applyBorder="1" applyAlignment="1">
      <alignment horizontal="center" vertical="center"/>
    </xf>
    <xf numFmtId="9" fontId="21" fillId="4" borderId="12" xfId="2" applyNumberFormat="1" applyFont="1" applyFill="1" applyBorder="1" applyAlignment="1">
      <alignment horizontal="center" vertical="center"/>
    </xf>
    <xf numFmtId="41" fontId="21" fillId="0" borderId="4" xfId="0" applyNumberFormat="1" applyFont="1" applyBorder="1" applyAlignment="1">
      <alignment horizontal="center" vertical="center" wrapText="1"/>
    </xf>
    <xf numFmtId="0" fontId="21" fillId="0" borderId="8" xfId="2" applyNumberFormat="1" applyFont="1" applyBorder="1" applyAlignment="1">
      <alignment horizontal="center" vertical="center" wrapText="1"/>
    </xf>
    <xf numFmtId="0" fontId="21" fillId="0" borderId="12" xfId="2" applyNumberFormat="1" applyFont="1" applyBorder="1" applyAlignment="1">
      <alignment horizontal="center" vertical="center" wrapText="1"/>
    </xf>
  </cellXfs>
  <cellStyles count="164">
    <cellStyle name="Comma [0]_ SG&amp;A Bridge " xfId="3" xr:uid="{00000000-0005-0000-0000-000000000000}"/>
    <cellStyle name="Comma_ SG&amp;A Bridge " xfId="4" xr:uid="{00000000-0005-0000-0000-000001000000}"/>
    <cellStyle name="Currency [0]_ SG&amp;A Bridge " xfId="5" xr:uid="{00000000-0005-0000-0000-000002000000}"/>
    <cellStyle name="Currency_ SG&amp;A Bridge " xfId="6" xr:uid="{00000000-0005-0000-0000-000003000000}"/>
    <cellStyle name="Normal_ SG&amp;A Bridge " xfId="7" xr:uid="{00000000-0005-0000-0000-000004000000}"/>
    <cellStyle name="경고문 2" xfId="8" xr:uid="{00000000-0005-0000-0000-000005000000}"/>
    <cellStyle name="백분율" xfId="2" builtinId="5"/>
    <cellStyle name="백분율 2" xfId="9" xr:uid="{00000000-0005-0000-0000-000007000000}"/>
    <cellStyle name="백분율 2 2" xfId="10" xr:uid="{00000000-0005-0000-0000-000008000000}"/>
    <cellStyle name="백분율 2 3" xfId="11" xr:uid="{00000000-0005-0000-0000-000009000000}"/>
    <cellStyle name="백분율 4" xfId="12" xr:uid="{00000000-0005-0000-0000-00000A000000}"/>
    <cellStyle name="백분율 5" xfId="13" xr:uid="{00000000-0005-0000-0000-00000B000000}"/>
    <cellStyle name="백분율 6" xfId="14" xr:uid="{00000000-0005-0000-0000-00000C000000}"/>
    <cellStyle name="뷭?_BOOKSHIP" xfId="15" xr:uid="{00000000-0005-0000-0000-00000D000000}"/>
    <cellStyle name="쉼표 [0]" xfId="1" builtinId="6"/>
    <cellStyle name="쉼표 [0] 2" xfId="16" xr:uid="{00000000-0005-0000-0000-00000F000000}"/>
    <cellStyle name="쉼표 [0] 2 2" xfId="17" xr:uid="{00000000-0005-0000-0000-000010000000}"/>
    <cellStyle name="쉼표 [0] 2 2 2" xfId="18" xr:uid="{00000000-0005-0000-0000-000011000000}"/>
    <cellStyle name="쉼표 [0] 2 2 3" xfId="19" xr:uid="{00000000-0005-0000-0000-000012000000}"/>
    <cellStyle name="쉼표 [0] 2 3" xfId="20" xr:uid="{00000000-0005-0000-0000-000013000000}"/>
    <cellStyle name="쉼표 [0] 2 4" xfId="21" xr:uid="{00000000-0005-0000-0000-000014000000}"/>
    <cellStyle name="쉼표 [0] 2 5" xfId="22" xr:uid="{00000000-0005-0000-0000-000015000000}"/>
    <cellStyle name="쉼표 [0] 2 6" xfId="23" xr:uid="{00000000-0005-0000-0000-000016000000}"/>
    <cellStyle name="쉼표 [0] 2 7" xfId="24" xr:uid="{00000000-0005-0000-0000-000017000000}"/>
    <cellStyle name="쉼표 [0] 3" xfId="25" xr:uid="{00000000-0005-0000-0000-000018000000}"/>
    <cellStyle name="쉼표 [0] 3 2" xfId="26" xr:uid="{00000000-0005-0000-0000-000019000000}"/>
    <cellStyle name="쉼표 [0] 3 2 2" xfId="27" xr:uid="{00000000-0005-0000-0000-00001A000000}"/>
    <cellStyle name="쉼표 [0] 3 2 2 2" xfId="28" xr:uid="{00000000-0005-0000-0000-00001B000000}"/>
    <cellStyle name="쉼표 [0] 3 2 2 3" xfId="29" xr:uid="{00000000-0005-0000-0000-00001C000000}"/>
    <cellStyle name="쉼표 [0] 3 2 2 4" xfId="30" xr:uid="{00000000-0005-0000-0000-00001D000000}"/>
    <cellStyle name="쉼표 [0] 3 2 3" xfId="31" xr:uid="{00000000-0005-0000-0000-00001E000000}"/>
    <cellStyle name="쉼표 [0] 3 2 4" xfId="32" xr:uid="{00000000-0005-0000-0000-00001F000000}"/>
    <cellStyle name="쉼표 [0] 3 3" xfId="33" xr:uid="{00000000-0005-0000-0000-000020000000}"/>
    <cellStyle name="쉼표 [0] 3 4" xfId="34" xr:uid="{00000000-0005-0000-0000-000021000000}"/>
    <cellStyle name="쉼표 [0] 3 5" xfId="35" xr:uid="{00000000-0005-0000-0000-000022000000}"/>
    <cellStyle name="쉼표 [0] 4" xfId="36" xr:uid="{00000000-0005-0000-0000-000023000000}"/>
    <cellStyle name="쉼표 [0] 4 2" xfId="37" xr:uid="{00000000-0005-0000-0000-000024000000}"/>
    <cellStyle name="쉼표 [0] 4 3" xfId="38" xr:uid="{00000000-0005-0000-0000-000025000000}"/>
    <cellStyle name="쉼표 [0] 4 4" xfId="39" xr:uid="{00000000-0005-0000-0000-000026000000}"/>
    <cellStyle name="쉼표 [0] 4 5" xfId="40" xr:uid="{00000000-0005-0000-0000-000027000000}"/>
    <cellStyle name="쉼표 [0] 4 6" xfId="41" xr:uid="{00000000-0005-0000-0000-000028000000}"/>
    <cellStyle name="쉼표 [0] 5" xfId="42" xr:uid="{00000000-0005-0000-0000-000029000000}"/>
    <cellStyle name="쉼표 [0] 5 2" xfId="43" xr:uid="{00000000-0005-0000-0000-00002A000000}"/>
    <cellStyle name="쉼표 [0] 5 3" xfId="44" xr:uid="{00000000-0005-0000-0000-00002B000000}"/>
    <cellStyle name="쉼표 [0] 6" xfId="45" xr:uid="{00000000-0005-0000-0000-00002C000000}"/>
    <cellStyle name="쉼표 [0] 7" xfId="46" xr:uid="{00000000-0005-0000-0000-00002D000000}"/>
    <cellStyle name="쉼표 [0] 8" xfId="47" xr:uid="{00000000-0005-0000-0000-00002E000000}"/>
    <cellStyle name="좋음 2" xfId="48" xr:uid="{00000000-0005-0000-0000-00002F000000}"/>
    <cellStyle name="콤마 [0]_1202" xfId="49" xr:uid="{00000000-0005-0000-0000-000030000000}"/>
    <cellStyle name="콤마_1202" xfId="50" xr:uid="{00000000-0005-0000-0000-000031000000}"/>
    <cellStyle name="표준" xfId="0" builtinId="0"/>
    <cellStyle name="표준 10" xfId="51" xr:uid="{00000000-0005-0000-0000-000033000000}"/>
    <cellStyle name="표준 10 2" xfId="52" xr:uid="{00000000-0005-0000-0000-000034000000}"/>
    <cellStyle name="표준 10 3" xfId="53" xr:uid="{00000000-0005-0000-0000-000035000000}"/>
    <cellStyle name="표준 11" xfId="54" xr:uid="{00000000-0005-0000-0000-000036000000}"/>
    <cellStyle name="표준 11 2" xfId="55" xr:uid="{00000000-0005-0000-0000-000037000000}"/>
    <cellStyle name="표준 11 3" xfId="56" xr:uid="{00000000-0005-0000-0000-000038000000}"/>
    <cellStyle name="표준 12" xfId="57" xr:uid="{00000000-0005-0000-0000-000039000000}"/>
    <cellStyle name="표준 13" xfId="58" xr:uid="{00000000-0005-0000-0000-00003A000000}"/>
    <cellStyle name="표준 14" xfId="59" xr:uid="{00000000-0005-0000-0000-00003B000000}"/>
    <cellStyle name="표준 2" xfId="60" xr:uid="{00000000-0005-0000-0000-00003C000000}"/>
    <cellStyle name="표준 2 10" xfId="61" xr:uid="{00000000-0005-0000-0000-00003D000000}"/>
    <cellStyle name="표준 2 10 2" xfId="62" xr:uid="{00000000-0005-0000-0000-00003E000000}"/>
    <cellStyle name="표준 2 11" xfId="63" xr:uid="{00000000-0005-0000-0000-00003F000000}"/>
    <cellStyle name="표준 2 2" xfId="64" xr:uid="{00000000-0005-0000-0000-000040000000}"/>
    <cellStyle name="표준 2 2 2" xfId="65" xr:uid="{00000000-0005-0000-0000-000041000000}"/>
    <cellStyle name="표준 2 2 2 2" xfId="66" xr:uid="{00000000-0005-0000-0000-000042000000}"/>
    <cellStyle name="표준 2 2 3" xfId="67" xr:uid="{00000000-0005-0000-0000-000043000000}"/>
    <cellStyle name="표준 2 3" xfId="68" xr:uid="{00000000-0005-0000-0000-000044000000}"/>
    <cellStyle name="표준 2 3 2" xfId="69" xr:uid="{00000000-0005-0000-0000-000045000000}"/>
    <cellStyle name="표준 2 3 3" xfId="70" xr:uid="{00000000-0005-0000-0000-000046000000}"/>
    <cellStyle name="표준 2 3 4" xfId="71" xr:uid="{00000000-0005-0000-0000-000047000000}"/>
    <cellStyle name="표준 2 4" xfId="72" xr:uid="{00000000-0005-0000-0000-000048000000}"/>
    <cellStyle name="표준 2 5" xfId="73" xr:uid="{00000000-0005-0000-0000-000049000000}"/>
    <cellStyle name="표준 2 5 2" xfId="74" xr:uid="{00000000-0005-0000-0000-00004A000000}"/>
    <cellStyle name="표준 2 6" xfId="75" xr:uid="{00000000-0005-0000-0000-00004B000000}"/>
    <cellStyle name="표준 2 7" xfId="76" xr:uid="{00000000-0005-0000-0000-00004C000000}"/>
    <cellStyle name="표준 2 8" xfId="77" xr:uid="{00000000-0005-0000-0000-00004D000000}"/>
    <cellStyle name="표준 2 8 2" xfId="78" xr:uid="{00000000-0005-0000-0000-00004E000000}"/>
    <cellStyle name="표준 2 8 3" xfId="79" xr:uid="{00000000-0005-0000-0000-00004F000000}"/>
    <cellStyle name="표준 2 9" xfId="80" xr:uid="{00000000-0005-0000-0000-000050000000}"/>
    <cellStyle name="표준 3" xfId="81" xr:uid="{00000000-0005-0000-0000-000051000000}"/>
    <cellStyle name="표준 3 10" xfId="82" xr:uid="{00000000-0005-0000-0000-000052000000}"/>
    <cellStyle name="표준 3 2" xfId="83" xr:uid="{00000000-0005-0000-0000-000053000000}"/>
    <cellStyle name="표준 3 2 2" xfId="84" xr:uid="{00000000-0005-0000-0000-000054000000}"/>
    <cellStyle name="표준 3 2 2 2" xfId="85" xr:uid="{00000000-0005-0000-0000-000055000000}"/>
    <cellStyle name="표준 3 2 2 2 2" xfId="86" xr:uid="{00000000-0005-0000-0000-000056000000}"/>
    <cellStyle name="표준 3 2 2 2 3" xfId="87" xr:uid="{00000000-0005-0000-0000-000057000000}"/>
    <cellStyle name="표준 3 2 2 3" xfId="88" xr:uid="{00000000-0005-0000-0000-000058000000}"/>
    <cellStyle name="표준 3 2 2 3 2" xfId="89" xr:uid="{00000000-0005-0000-0000-000059000000}"/>
    <cellStyle name="표준 3 2 2 3 3" xfId="90" xr:uid="{00000000-0005-0000-0000-00005A000000}"/>
    <cellStyle name="표준 3 2 2 4" xfId="91" xr:uid="{00000000-0005-0000-0000-00005B000000}"/>
    <cellStyle name="표준 3 2 2 5" xfId="92" xr:uid="{00000000-0005-0000-0000-00005C000000}"/>
    <cellStyle name="표준 3 2 3" xfId="93" xr:uid="{00000000-0005-0000-0000-00005D000000}"/>
    <cellStyle name="표준 3 2 3 2" xfId="94" xr:uid="{00000000-0005-0000-0000-00005E000000}"/>
    <cellStyle name="표준 3 2 3 2 2" xfId="95" xr:uid="{00000000-0005-0000-0000-00005F000000}"/>
    <cellStyle name="표준 3 2 3 2 3" xfId="96" xr:uid="{00000000-0005-0000-0000-000060000000}"/>
    <cellStyle name="표준 3 2 3 3" xfId="97" xr:uid="{00000000-0005-0000-0000-000061000000}"/>
    <cellStyle name="표준 3 2 3 3 2" xfId="98" xr:uid="{00000000-0005-0000-0000-000062000000}"/>
    <cellStyle name="표준 3 2 3 3 3" xfId="99" xr:uid="{00000000-0005-0000-0000-000063000000}"/>
    <cellStyle name="표준 3 2 3 4" xfId="100" xr:uid="{00000000-0005-0000-0000-000064000000}"/>
    <cellStyle name="표준 3 2 3 5" xfId="101" xr:uid="{00000000-0005-0000-0000-000065000000}"/>
    <cellStyle name="표준 3 2 4" xfId="102" xr:uid="{00000000-0005-0000-0000-000066000000}"/>
    <cellStyle name="표준 3 2 4 2" xfId="103" xr:uid="{00000000-0005-0000-0000-000067000000}"/>
    <cellStyle name="표준 3 2 4 3" xfId="104" xr:uid="{00000000-0005-0000-0000-000068000000}"/>
    <cellStyle name="표준 3 2 5" xfId="105" xr:uid="{00000000-0005-0000-0000-000069000000}"/>
    <cellStyle name="표준 3 2 5 2" xfId="106" xr:uid="{00000000-0005-0000-0000-00006A000000}"/>
    <cellStyle name="표준 3 2 5 3" xfId="107" xr:uid="{00000000-0005-0000-0000-00006B000000}"/>
    <cellStyle name="표준 3 2 6" xfId="108" xr:uid="{00000000-0005-0000-0000-00006C000000}"/>
    <cellStyle name="표준 3 2 7" xfId="109" xr:uid="{00000000-0005-0000-0000-00006D000000}"/>
    <cellStyle name="표준 3 2 8" xfId="110" xr:uid="{00000000-0005-0000-0000-00006E000000}"/>
    <cellStyle name="표준 3 3" xfId="111" xr:uid="{00000000-0005-0000-0000-00006F000000}"/>
    <cellStyle name="표준 3 3 2" xfId="112" xr:uid="{00000000-0005-0000-0000-000070000000}"/>
    <cellStyle name="표준 3 3 2 2" xfId="113" xr:uid="{00000000-0005-0000-0000-000071000000}"/>
    <cellStyle name="표준 3 3 2 3" xfId="114" xr:uid="{00000000-0005-0000-0000-000072000000}"/>
    <cellStyle name="표준 3 3 3" xfId="115" xr:uid="{00000000-0005-0000-0000-000073000000}"/>
    <cellStyle name="표준 3 3 3 2" xfId="116" xr:uid="{00000000-0005-0000-0000-000074000000}"/>
    <cellStyle name="표준 3 3 3 3" xfId="117" xr:uid="{00000000-0005-0000-0000-000075000000}"/>
    <cellStyle name="표준 3 3 4" xfId="118" xr:uid="{00000000-0005-0000-0000-000076000000}"/>
    <cellStyle name="표준 3 3 5" xfId="119" xr:uid="{00000000-0005-0000-0000-000077000000}"/>
    <cellStyle name="표준 3 4" xfId="120" xr:uid="{00000000-0005-0000-0000-000078000000}"/>
    <cellStyle name="표준 3 4 2" xfId="121" xr:uid="{00000000-0005-0000-0000-000079000000}"/>
    <cellStyle name="표준 3 4 2 2" xfId="122" xr:uid="{00000000-0005-0000-0000-00007A000000}"/>
    <cellStyle name="표준 3 4 2 3" xfId="123" xr:uid="{00000000-0005-0000-0000-00007B000000}"/>
    <cellStyle name="표준 3 4 3" xfId="124" xr:uid="{00000000-0005-0000-0000-00007C000000}"/>
    <cellStyle name="표준 3 4 3 2" xfId="125" xr:uid="{00000000-0005-0000-0000-00007D000000}"/>
    <cellStyle name="표준 3 4 3 3" xfId="126" xr:uid="{00000000-0005-0000-0000-00007E000000}"/>
    <cellStyle name="표준 3 4 4" xfId="127" xr:uid="{00000000-0005-0000-0000-00007F000000}"/>
    <cellStyle name="표준 3 4 5" xfId="128" xr:uid="{00000000-0005-0000-0000-000080000000}"/>
    <cellStyle name="표준 3 5" xfId="129" xr:uid="{00000000-0005-0000-0000-000081000000}"/>
    <cellStyle name="표준 3 5 2" xfId="130" xr:uid="{00000000-0005-0000-0000-000082000000}"/>
    <cellStyle name="표준 3 5 3" xfId="131" xr:uid="{00000000-0005-0000-0000-000083000000}"/>
    <cellStyle name="표준 3 6" xfId="132" xr:uid="{00000000-0005-0000-0000-000084000000}"/>
    <cellStyle name="표준 3 6 2" xfId="133" xr:uid="{00000000-0005-0000-0000-000085000000}"/>
    <cellStyle name="표준 3 6 3" xfId="134" xr:uid="{00000000-0005-0000-0000-000086000000}"/>
    <cellStyle name="표준 3 7" xfId="135" xr:uid="{00000000-0005-0000-0000-000087000000}"/>
    <cellStyle name="표준 3 8" xfId="136" xr:uid="{00000000-0005-0000-0000-000088000000}"/>
    <cellStyle name="표준 3 9" xfId="137" xr:uid="{00000000-0005-0000-0000-000089000000}"/>
    <cellStyle name="표준 4" xfId="138" xr:uid="{00000000-0005-0000-0000-00008A000000}"/>
    <cellStyle name="표준 4 2" xfId="139" xr:uid="{00000000-0005-0000-0000-00008B000000}"/>
    <cellStyle name="표준 4 2 2" xfId="140" xr:uid="{00000000-0005-0000-0000-00008C000000}"/>
    <cellStyle name="표준 4 2 3" xfId="141" xr:uid="{00000000-0005-0000-0000-00008D000000}"/>
    <cellStyle name="표준 4 3" xfId="142" xr:uid="{00000000-0005-0000-0000-00008E000000}"/>
    <cellStyle name="표준 4 4" xfId="143" xr:uid="{00000000-0005-0000-0000-00008F000000}"/>
    <cellStyle name="표준 4 5" xfId="144" xr:uid="{00000000-0005-0000-0000-000090000000}"/>
    <cellStyle name="표준 4 6" xfId="145" xr:uid="{00000000-0005-0000-0000-000091000000}"/>
    <cellStyle name="표준 5" xfId="146" xr:uid="{00000000-0005-0000-0000-000092000000}"/>
    <cellStyle name="표준 5 2" xfId="147" xr:uid="{00000000-0005-0000-0000-000093000000}"/>
    <cellStyle name="표준 5 2 2" xfId="148" xr:uid="{00000000-0005-0000-0000-000094000000}"/>
    <cellStyle name="표준 5 2 3" xfId="149" xr:uid="{00000000-0005-0000-0000-000095000000}"/>
    <cellStyle name="표준 5 3" xfId="150" xr:uid="{00000000-0005-0000-0000-000096000000}"/>
    <cellStyle name="표준 5 4" xfId="151" xr:uid="{00000000-0005-0000-0000-000097000000}"/>
    <cellStyle name="표준 6" xfId="152" xr:uid="{00000000-0005-0000-0000-000098000000}"/>
    <cellStyle name="표준 6 2" xfId="153" xr:uid="{00000000-0005-0000-0000-000099000000}"/>
    <cellStyle name="표준 6 3" xfId="154" xr:uid="{00000000-0005-0000-0000-00009A000000}"/>
    <cellStyle name="표준 6 4" xfId="155" xr:uid="{00000000-0005-0000-0000-00009B000000}"/>
    <cellStyle name="표준 7" xfId="156" xr:uid="{00000000-0005-0000-0000-00009C000000}"/>
    <cellStyle name="표준 7 2" xfId="157" xr:uid="{00000000-0005-0000-0000-00009D000000}"/>
    <cellStyle name="표준 7 3" xfId="158" xr:uid="{00000000-0005-0000-0000-00009E000000}"/>
    <cellStyle name="표준 7 4" xfId="159" xr:uid="{00000000-0005-0000-0000-00009F000000}"/>
    <cellStyle name="표준 8" xfId="160" xr:uid="{00000000-0005-0000-0000-0000A0000000}"/>
    <cellStyle name="표준 8 2" xfId="161" xr:uid="{00000000-0005-0000-0000-0000A1000000}"/>
    <cellStyle name="표준 8 3" xfId="162" xr:uid="{00000000-0005-0000-0000-0000A2000000}"/>
    <cellStyle name="표준 9" xfId="163" xr:uid="{00000000-0005-0000-0000-0000A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4"/>
  <sheetViews>
    <sheetView view="pageBreakPreview" zoomScale="85" zoomScaleNormal="85" zoomScaleSheetLayoutView="85" workbookViewId="0">
      <selection activeCell="G4" sqref="G4"/>
    </sheetView>
  </sheetViews>
  <sheetFormatPr defaultColWidth="10.25" defaultRowHeight="30.75" customHeight="1"/>
  <cols>
    <col min="1" max="1" width="10.25" style="28"/>
    <col min="2" max="2" width="9.375" style="28" customWidth="1"/>
    <col min="3" max="3" width="15.25" style="28" customWidth="1"/>
    <col min="4" max="4" width="14.75" style="28" customWidth="1"/>
    <col min="5" max="9" width="12.125" style="28" customWidth="1"/>
    <col min="10" max="10" width="19.875" style="26" customWidth="1"/>
    <col min="11" max="11" width="4.25" style="26" customWidth="1"/>
    <col min="12" max="12" width="7.125" style="27" customWidth="1"/>
    <col min="13" max="13" width="6.25" style="28" customWidth="1"/>
    <col min="14" max="14" width="6.25" style="26" customWidth="1"/>
    <col min="15" max="15" width="6.25" style="28" customWidth="1"/>
    <col min="16" max="16" width="6.25" style="26" customWidth="1"/>
    <col min="17" max="17" width="6.25" style="28" customWidth="1"/>
    <col min="18" max="18" width="6.25" style="26" customWidth="1"/>
    <col min="19" max="19" width="6.25" style="28" customWidth="1"/>
    <col min="20" max="20" width="6.25" style="26" customWidth="1"/>
    <col min="21" max="21" width="6.25" style="28" customWidth="1"/>
    <col min="22" max="22" width="6.25" style="26" customWidth="1"/>
    <col min="23" max="23" width="6.25" style="28" customWidth="1"/>
    <col min="24" max="24" width="6.25" style="26" customWidth="1"/>
    <col min="25" max="25" width="7.75" style="28" customWidth="1"/>
    <col min="26" max="26" width="10.25" style="26"/>
    <col min="27" max="27" width="10.25" style="28"/>
    <col min="28" max="28" width="10.25" style="26"/>
    <col min="29" max="29" width="10.25" style="28"/>
    <col min="30" max="30" width="10.25" style="26"/>
    <col min="31" max="31" width="10.25" style="28"/>
    <col min="32" max="32" width="10.25" style="26"/>
    <col min="33" max="33" width="10.25" style="28"/>
    <col min="34" max="34" width="10.25" style="26"/>
    <col min="35" max="41" width="10.25" style="28"/>
    <col min="42" max="66" width="10.25" style="83"/>
    <col min="67" max="16384" width="10.25" style="28"/>
  </cols>
  <sheetData>
    <row r="1" spans="1:25" ht="39" customHeight="1">
      <c r="A1" s="302" t="s">
        <v>314</v>
      </c>
      <c r="B1" s="302"/>
      <c r="C1" s="302"/>
      <c r="D1" s="302"/>
      <c r="E1" s="302"/>
      <c r="F1" s="302"/>
      <c r="G1" s="302"/>
      <c r="H1" s="302"/>
      <c r="I1" s="302"/>
      <c r="J1" s="302"/>
    </row>
    <row r="2" spans="1:25" ht="30.75" customHeight="1">
      <c r="A2" s="29" t="s">
        <v>225</v>
      </c>
      <c r="J2" s="30" t="s">
        <v>31</v>
      </c>
    </row>
    <row r="3" spans="1:25" ht="30.75" customHeight="1">
      <c r="A3" s="31" t="s">
        <v>226</v>
      </c>
      <c r="B3" s="32" t="s">
        <v>227</v>
      </c>
      <c r="C3" s="32" t="s">
        <v>228</v>
      </c>
      <c r="D3" s="31" t="s">
        <v>229</v>
      </c>
      <c r="E3" s="32" t="s">
        <v>333</v>
      </c>
      <c r="F3" s="33" t="s">
        <v>334</v>
      </c>
      <c r="G3" s="32" t="s">
        <v>230</v>
      </c>
      <c r="H3" s="32" t="s">
        <v>231</v>
      </c>
      <c r="I3" s="32" t="s">
        <v>232</v>
      </c>
      <c r="J3" s="34" t="s">
        <v>233</v>
      </c>
      <c r="L3" s="35" t="s">
        <v>41</v>
      </c>
      <c r="M3" s="36" t="s">
        <v>234</v>
      </c>
      <c r="N3" s="37" t="s">
        <v>235</v>
      </c>
      <c r="O3" s="36" t="s">
        <v>236</v>
      </c>
      <c r="P3" s="37" t="s">
        <v>237</v>
      </c>
      <c r="Q3" s="36" t="s">
        <v>238</v>
      </c>
      <c r="R3" s="37" t="s">
        <v>239</v>
      </c>
      <c r="S3" s="36" t="s">
        <v>240</v>
      </c>
      <c r="T3" s="37" t="s">
        <v>241</v>
      </c>
      <c r="U3" s="36" t="s">
        <v>242</v>
      </c>
      <c r="V3" s="37" t="s">
        <v>243</v>
      </c>
      <c r="W3" s="36" t="s">
        <v>244</v>
      </c>
      <c r="X3" s="37" t="s">
        <v>245</v>
      </c>
      <c r="Y3" s="25" t="s">
        <v>246</v>
      </c>
    </row>
    <row r="4" spans="1:25" ht="30.75" customHeight="1">
      <c r="A4" s="38" t="s">
        <v>247</v>
      </c>
      <c r="B4" s="38">
        <f>수행과업!A60</f>
        <v>15</v>
      </c>
      <c r="C4" s="39">
        <f>수행과업!E64</f>
        <v>7332.8772609090902</v>
      </c>
      <c r="D4" s="39">
        <f>수행과업!G64</f>
        <v>4471.2555376818191</v>
      </c>
      <c r="E4" s="39">
        <f>S4</f>
        <v>21.604643863636365</v>
      </c>
      <c r="F4" s="40">
        <f>T4</f>
        <v>11.191148545454547</v>
      </c>
      <c r="G4" s="41">
        <f>수행과업!AJ65</f>
        <v>72.021443772727281</v>
      </c>
      <c r="H4" s="41">
        <f>수행과업!AK65</f>
        <v>2065.378382927272</v>
      </c>
      <c r="I4" s="41">
        <f>수행과업!AH64</f>
        <v>2497.4273322727272</v>
      </c>
      <c r="J4" s="42"/>
      <c r="L4" s="43" t="s">
        <v>247</v>
      </c>
      <c r="M4" s="44">
        <f>수행과업!K64</f>
        <v>0.23355681818181823</v>
      </c>
      <c r="N4" s="44">
        <f>수행과업!M64</f>
        <v>1.7422727272727281</v>
      </c>
      <c r="O4" s="44">
        <f>수행과업!O64</f>
        <v>6.8481230681818186</v>
      </c>
      <c r="P4" s="44">
        <f>수행과업!Q64</f>
        <v>7.1117594318181823</v>
      </c>
      <c r="Q4" s="44">
        <f>수행과업!S64</f>
        <v>9.4271344318181853</v>
      </c>
      <c r="R4" s="44">
        <f>수행과업!U64</f>
        <v>13.862804886363639</v>
      </c>
      <c r="S4" s="44">
        <f>수행과업!W64</f>
        <v>21.604643863636365</v>
      </c>
      <c r="T4" s="44">
        <f>수행과업!Y64</f>
        <v>11.191148545454547</v>
      </c>
      <c r="U4" s="44">
        <f>수행과업!AA64</f>
        <v>0</v>
      </c>
      <c r="V4" s="44">
        <f>수행과업!AC64</f>
        <v>0</v>
      </c>
      <c r="W4" s="44">
        <f>수행과업!AE64</f>
        <v>0</v>
      </c>
      <c r="X4" s="44">
        <f>수행과업!AG64</f>
        <v>0</v>
      </c>
      <c r="Y4" s="45">
        <f>SUM(M4:X4)</f>
        <v>72.021443772727295</v>
      </c>
    </row>
    <row r="5" spans="1:25" ht="30.75" customHeight="1">
      <c r="A5" s="38" t="s">
        <v>9</v>
      </c>
      <c r="B5" s="38">
        <f>부서협조!A11</f>
        <v>3</v>
      </c>
      <c r="C5" s="39">
        <f>부서협조!E15</f>
        <v>284.04766699999999</v>
      </c>
      <c r="D5" s="39">
        <f>부서협조!G15</f>
        <v>234.04766699999999</v>
      </c>
      <c r="E5" s="39">
        <f>S5</f>
        <v>0.26095333999999992</v>
      </c>
      <c r="F5" s="40">
        <f>T5</f>
        <v>0.26095333999999992</v>
      </c>
      <c r="G5" s="41">
        <f>부서협조!AJ16</f>
        <v>2.8704867400000018</v>
      </c>
      <c r="H5" s="41">
        <f>부서협조!AK16</f>
        <v>204.49381336000002</v>
      </c>
      <c r="I5" s="41"/>
      <c r="J5" s="245"/>
      <c r="L5" s="43" t="s">
        <v>9</v>
      </c>
      <c r="M5" s="44">
        <f>부서협조!K15</f>
        <v>0.39143000999999988</v>
      </c>
      <c r="N5" s="44">
        <f>부서협조!M15</f>
        <v>0.39143000999999988</v>
      </c>
      <c r="O5" s="44">
        <f>부서협조!O15</f>
        <v>0.39143000999999988</v>
      </c>
      <c r="P5" s="44">
        <f>부서협조!Q15</f>
        <v>0.52190667999999985</v>
      </c>
      <c r="Q5" s="44">
        <f>부서협조!S15</f>
        <v>0.39143000999999988</v>
      </c>
      <c r="R5" s="44">
        <f>부서협조!U15</f>
        <v>0.26095333999999992</v>
      </c>
      <c r="S5" s="44">
        <f>부서협조!W15</f>
        <v>0.26095333999999992</v>
      </c>
      <c r="T5" s="44">
        <f>부서협조!Y15</f>
        <v>0.26095333999999992</v>
      </c>
      <c r="U5" s="44">
        <f>부서협조!AA15</f>
        <v>0</v>
      </c>
      <c r="V5" s="44">
        <f>부서협조!AC15</f>
        <v>0</v>
      </c>
      <c r="W5" s="44">
        <f>부서협조!AE15</f>
        <v>0</v>
      </c>
      <c r="X5" s="44">
        <f>부서협조!AG15</f>
        <v>0</v>
      </c>
      <c r="Y5" s="45">
        <f>SUM(M5:X5)</f>
        <v>2.8704867399999991</v>
      </c>
    </row>
    <row r="6" spans="1:25" ht="30.75" customHeight="1">
      <c r="A6" s="38" t="s">
        <v>248</v>
      </c>
      <c r="B6" s="38">
        <f>'일괄외주관리(없음)-출력X'!A15</f>
        <v>0</v>
      </c>
      <c r="C6" s="39">
        <f>'일괄외주관리(없음)-출력X'!E19</f>
        <v>0</v>
      </c>
      <c r="D6" s="39"/>
      <c r="E6" s="39"/>
      <c r="F6" s="40"/>
      <c r="G6" s="41"/>
      <c r="H6" s="41"/>
      <c r="I6" s="41"/>
      <c r="J6" s="46"/>
      <c r="L6" s="43" t="s">
        <v>246</v>
      </c>
      <c r="M6" s="47">
        <f t="shared" ref="M6:X6" si="0">SUM(M4:M5)</f>
        <v>0.62498682818181805</v>
      </c>
      <c r="N6" s="44">
        <f t="shared" si="0"/>
        <v>2.1337027372727277</v>
      </c>
      <c r="O6" s="47">
        <f t="shared" si="0"/>
        <v>7.2395530781818183</v>
      </c>
      <c r="P6" s="44">
        <f t="shared" si="0"/>
        <v>7.6336661118181821</v>
      </c>
      <c r="Q6" s="47">
        <f t="shared" si="0"/>
        <v>9.8185644418181859</v>
      </c>
      <c r="R6" s="44">
        <f t="shared" si="0"/>
        <v>14.123758226363639</v>
      </c>
      <c r="S6" s="47">
        <f t="shared" si="0"/>
        <v>21.865597203636366</v>
      </c>
      <c r="T6" s="44">
        <f t="shared" si="0"/>
        <v>11.452101885454548</v>
      </c>
      <c r="U6" s="47">
        <f t="shared" si="0"/>
        <v>0</v>
      </c>
      <c r="V6" s="44">
        <f t="shared" si="0"/>
        <v>0</v>
      </c>
      <c r="W6" s="47">
        <f t="shared" si="0"/>
        <v>0</v>
      </c>
      <c r="X6" s="44">
        <f t="shared" si="0"/>
        <v>0</v>
      </c>
      <c r="Y6" s="45">
        <f>SUM(M6:X6)</f>
        <v>74.891930512727285</v>
      </c>
    </row>
    <row r="7" spans="1:25" ht="30.75" customHeight="1">
      <c r="A7" s="48" t="s">
        <v>246</v>
      </c>
      <c r="B7" s="48">
        <f t="shared" ref="B7:F7" si="1">SUM(B4:B6)</f>
        <v>18</v>
      </c>
      <c r="C7" s="49">
        <f t="shared" si="1"/>
        <v>7616.92492790909</v>
      </c>
      <c r="D7" s="49">
        <f t="shared" si="1"/>
        <v>4705.3032046818189</v>
      </c>
      <c r="E7" s="49">
        <f t="shared" si="1"/>
        <v>21.865597203636366</v>
      </c>
      <c r="F7" s="50">
        <f t="shared" si="1"/>
        <v>11.452101885454548</v>
      </c>
      <c r="G7" s="51">
        <f>SUM(G4:G6)</f>
        <v>74.891930512727285</v>
      </c>
      <c r="H7" s="51">
        <f>SUM(H4:H6)</f>
        <v>2269.8721962872719</v>
      </c>
      <c r="I7" s="51">
        <f>SUM(I4:I6)</f>
        <v>2497.4273322727272</v>
      </c>
      <c r="J7" s="303" t="s">
        <v>249</v>
      </c>
    </row>
    <row r="8" spans="1:25" ht="30.75" customHeight="1">
      <c r="A8" s="48" t="s">
        <v>250</v>
      </c>
      <c r="B8" s="52">
        <v>6</v>
      </c>
      <c r="C8" s="305">
        <f>D7/C7</f>
        <v>0.61774315084046183</v>
      </c>
      <c r="D8" s="306"/>
      <c r="E8" s="49">
        <f>E7/B8</f>
        <v>3.6442662006060611</v>
      </c>
      <c r="F8" s="50">
        <f>F7/B8</f>
        <v>1.908683647575758</v>
      </c>
      <c r="G8" s="53">
        <f>G7/B8</f>
        <v>12.48198841878788</v>
      </c>
      <c r="H8" s="53">
        <f>H7/B8</f>
        <v>378.3120327145453</v>
      </c>
      <c r="I8" s="48"/>
      <c r="J8" s="304"/>
    </row>
    <row r="9" spans="1:25" ht="18" customHeight="1">
      <c r="A9" s="54"/>
      <c r="B9" s="55"/>
      <c r="C9" s="54"/>
      <c r="D9" s="54"/>
      <c r="E9" s="54"/>
      <c r="F9" s="54"/>
      <c r="G9" s="54"/>
      <c r="H9" s="54"/>
      <c r="I9" s="54"/>
      <c r="J9" s="56"/>
    </row>
    <row r="10" spans="1:25" ht="30.75" customHeight="1">
      <c r="A10" s="29" t="s">
        <v>251</v>
      </c>
    </row>
    <row r="11" spans="1:25" ht="30.75" customHeight="1">
      <c r="A11" s="307" t="s">
        <v>338</v>
      </c>
      <c r="B11" s="308"/>
      <c r="C11" s="308"/>
      <c r="D11" s="308"/>
      <c r="E11" s="308"/>
      <c r="F11" s="308"/>
      <c r="G11" s="308"/>
      <c r="H11" s="308"/>
      <c r="I11" s="308"/>
      <c r="J11" s="309"/>
      <c r="O11" s="272"/>
      <c r="P11" s="272"/>
    </row>
    <row r="12" spans="1:25" ht="30.75" customHeight="1">
      <c r="A12" s="283"/>
      <c r="B12" s="284"/>
      <c r="C12" s="284"/>
      <c r="D12" s="284"/>
      <c r="E12" s="284"/>
      <c r="F12" s="284"/>
      <c r="G12" s="284"/>
      <c r="H12" s="284"/>
      <c r="I12" s="284"/>
      <c r="J12" s="285"/>
    </row>
    <row r="13" spans="1:25" ht="30.75" customHeight="1">
      <c r="A13" s="283" t="s">
        <v>350</v>
      </c>
      <c r="B13" s="284"/>
      <c r="C13" s="284"/>
      <c r="D13" s="284"/>
      <c r="E13" s="284"/>
      <c r="F13" s="284"/>
      <c r="G13" s="284"/>
      <c r="H13" s="284"/>
      <c r="I13" s="284"/>
      <c r="J13" s="285"/>
    </row>
    <row r="14" spans="1:25" ht="30.75" customHeight="1">
      <c r="A14" s="57"/>
      <c r="B14" s="58"/>
      <c r="C14" s="58"/>
      <c r="D14" s="58"/>
      <c r="E14" s="58"/>
      <c r="F14" s="58"/>
      <c r="G14" s="58"/>
      <c r="H14" s="58"/>
      <c r="I14" s="58"/>
      <c r="J14" s="59"/>
    </row>
    <row r="15" spans="1:25" ht="30.75" customHeight="1">
      <c r="A15" s="283" t="s">
        <v>342</v>
      </c>
      <c r="B15" s="284"/>
      <c r="C15" s="284"/>
      <c r="D15" s="284"/>
      <c r="E15" s="284"/>
      <c r="F15" s="284"/>
      <c r="G15" s="284"/>
      <c r="H15" s="284"/>
      <c r="I15" s="284"/>
      <c r="J15" s="285"/>
    </row>
    <row r="16" spans="1:25" ht="30.75" customHeight="1">
      <c r="A16" s="283"/>
      <c r="B16" s="284"/>
      <c r="C16" s="284"/>
      <c r="D16" s="284"/>
      <c r="E16" s="284"/>
      <c r="F16" s="284"/>
      <c r="G16" s="284"/>
      <c r="H16" s="284"/>
      <c r="I16" s="284"/>
      <c r="J16" s="285"/>
    </row>
    <row r="17" spans="1:66" ht="30.75" customHeight="1">
      <c r="A17" s="60"/>
      <c r="B17" s="61"/>
      <c r="C17" s="61"/>
      <c r="D17" s="61"/>
      <c r="E17" s="61"/>
      <c r="F17" s="61"/>
      <c r="G17" s="61"/>
      <c r="H17" s="61"/>
      <c r="I17" s="61"/>
      <c r="J17" s="62"/>
    </row>
    <row r="18" spans="1:66" ht="18" customHeight="1">
      <c r="A18" s="54"/>
      <c r="B18" s="55"/>
      <c r="C18" s="54"/>
      <c r="D18" s="54"/>
      <c r="E18" s="54"/>
      <c r="F18" s="54"/>
      <c r="G18" s="54"/>
      <c r="H18" s="54"/>
      <c r="I18" s="54"/>
      <c r="J18" s="56"/>
    </row>
    <row r="19" spans="1:66" ht="30.75" customHeight="1">
      <c r="A19" s="29" t="s">
        <v>252</v>
      </c>
      <c r="J19" s="30" t="s">
        <v>31</v>
      </c>
    </row>
    <row r="20" spans="1:66" ht="30" customHeight="1">
      <c r="A20" s="286" t="s">
        <v>253</v>
      </c>
      <c r="B20" s="286"/>
      <c r="C20" s="286"/>
      <c r="D20" s="48" t="s">
        <v>254</v>
      </c>
      <c r="E20" s="48" t="s">
        <v>255</v>
      </c>
      <c r="F20" s="63" t="s">
        <v>256</v>
      </c>
      <c r="G20" s="63" t="s">
        <v>257</v>
      </c>
      <c r="H20" s="63" t="s">
        <v>258</v>
      </c>
      <c r="I20" s="286" t="s">
        <v>259</v>
      </c>
      <c r="J20" s="286"/>
    </row>
    <row r="21" spans="1:66" ht="30" customHeight="1">
      <c r="A21" s="287" t="s">
        <v>335</v>
      </c>
      <c r="B21" s="288"/>
      <c r="C21" s="289"/>
      <c r="D21" s="266" t="s">
        <v>336</v>
      </c>
      <c r="E21" s="65">
        <f>수행과업!E32</f>
        <v>108.10456363636364</v>
      </c>
      <c r="F21" s="66" t="s">
        <v>337</v>
      </c>
      <c r="G21" s="64"/>
      <c r="H21" s="266" t="s">
        <v>340</v>
      </c>
      <c r="I21" s="290" t="s">
        <v>341</v>
      </c>
      <c r="J21" s="277"/>
    </row>
    <row r="22" spans="1:66" ht="30" customHeight="1">
      <c r="A22" s="291"/>
      <c r="B22" s="292"/>
      <c r="C22" s="293"/>
      <c r="D22" s="64"/>
      <c r="E22" s="65"/>
      <c r="F22" s="67"/>
      <c r="G22" s="64"/>
      <c r="H22" s="68"/>
      <c r="I22" s="275"/>
      <c r="J22" s="277"/>
    </row>
    <row r="23" spans="1:66" ht="30" customHeight="1">
      <c r="A23" s="291"/>
      <c r="B23" s="292"/>
      <c r="C23" s="293"/>
      <c r="D23" s="64"/>
      <c r="E23" s="65"/>
      <c r="F23" s="66"/>
      <c r="G23" s="68"/>
      <c r="H23" s="68"/>
      <c r="I23" s="275"/>
      <c r="J23" s="277"/>
    </row>
    <row r="24" spans="1:66" ht="18" customHeight="1">
      <c r="A24" s="54"/>
      <c r="B24" s="55"/>
      <c r="C24" s="54"/>
      <c r="D24" s="54"/>
      <c r="E24" s="54"/>
      <c r="F24" s="54"/>
      <c r="G24" s="54"/>
      <c r="H24" s="54"/>
      <c r="I24" s="54"/>
      <c r="J24" s="56"/>
    </row>
    <row r="25" spans="1:66" ht="30.75" customHeight="1">
      <c r="A25" s="29" t="s">
        <v>260</v>
      </c>
      <c r="J25" s="30" t="s">
        <v>261</v>
      </c>
    </row>
    <row r="26" spans="1:66" ht="30" customHeight="1">
      <c r="A26" s="48" t="s">
        <v>262</v>
      </c>
      <c r="B26" s="48" t="s">
        <v>263</v>
      </c>
      <c r="C26" s="48" t="s">
        <v>264</v>
      </c>
      <c r="D26" s="69" t="s">
        <v>265</v>
      </c>
      <c r="E26" s="298" t="s">
        <v>339</v>
      </c>
      <c r="F26" s="298"/>
      <c r="G26" s="298"/>
      <c r="H26" s="298"/>
      <c r="I26" s="298"/>
      <c r="J26" s="299"/>
    </row>
    <row r="27" spans="1:66" ht="30" customHeight="1">
      <c r="A27" s="48" t="s">
        <v>266</v>
      </c>
      <c r="B27" s="70">
        <v>4</v>
      </c>
      <c r="C27" s="70">
        <v>47</v>
      </c>
      <c r="D27" s="71"/>
      <c r="E27" s="300"/>
      <c r="F27" s="300"/>
      <c r="G27" s="300"/>
      <c r="H27" s="300"/>
      <c r="I27" s="300"/>
      <c r="J27" s="301"/>
    </row>
    <row r="28" spans="1:66" ht="30" customHeight="1">
      <c r="A28" s="48" t="s">
        <v>267</v>
      </c>
      <c r="B28" s="70">
        <v>4</v>
      </c>
      <c r="C28" s="70">
        <v>47</v>
      </c>
      <c r="D28" s="71"/>
      <c r="E28" s="300"/>
      <c r="F28" s="300"/>
      <c r="G28" s="300"/>
      <c r="H28" s="300"/>
      <c r="I28" s="300"/>
      <c r="J28" s="301"/>
    </row>
    <row r="29" spans="1:66" ht="30" customHeight="1">
      <c r="A29" s="48" t="s">
        <v>268</v>
      </c>
      <c r="B29" s="70"/>
      <c r="C29" s="70">
        <f>C28-C27</f>
        <v>0</v>
      </c>
      <c r="D29" s="270" t="s">
        <v>269</v>
      </c>
      <c r="E29" s="281" t="s">
        <v>339</v>
      </c>
      <c r="F29" s="281"/>
      <c r="G29" s="281"/>
      <c r="H29" s="281"/>
      <c r="I29" s="281"/>
      <c r="J29" s="282"/>
    </row>
    <row r="30" spans="1:66" s="26" customFormat="1" ht="18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L30" s="27"/>
      <c r="M30" s="28"/>
      <c r="O30" s="28"/>
      <c r="Q30" s="28"/>
      <c r="S30" s="28"/>
      <c r="U30" s="28"/>
      <c r="W30" s="28"/>
      <c r="Y30" s="28"/>
      <c r="AA30" s="28"/>
      <c r="AC30" s="28"/>
      <c r="AE30" s="28"/>
      <c r="AG30" s="28"/>
      <c r="AI30" s="28"/>
      <c r="AJ30" s="28"/>
      <c r="AK30" s="28"/>
      <c r="AL30" s="28"/>
      <c r="AM30" s="28"/>
      <c r="AN30" s="28"/>
      <c r="AO30" s="28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</row>
    <row r="31" spans="1:66" s="26" customFormat="1" ht="30.75" customHeight="1">
      <c r="A31" s="29" t="s">
        <v>270</v>
      </c>
      <c r="B31" s="28"/>
      <c r="C31" s="28"/>
      <c r="D31" s="28"/>
      <c r="E31" s="28"/>
      <c r="F31" s="28"/>
      <c r="G31" s="28"/>
      <c r="H31" s="28"/>
      <c r="I31" s="28"/>
      <c r="J31" s="30" t="s">
        <v>261</v>
      </c>
      <c r="L31" s="27"/>
      <c r="M31" s="28"/>
      <c r="O31" s="28"/>
      <c r="Q31" s="28"/>
      <c r="S31" s="28"/>
      <c r="U31" s="28"/>
      <c r="W31" s="28"/>
      <c r="Y31" s="28"/>
      <c r="AA31" s="28"/>
      <c r="AC31" s="28"/>
      <c r="AE31" s="28"/>
      <c r="AG31" s="28"/>
      <c r="AI31" s="28"/>
      <c r="AJ31" s="28"/>
      <c r="AK31" s="28"/>
      <c r="AL31" s="28"/>
      <c r="AM31" s="28"/>
      <c r="AN31" s="28"/>
      <c r="AO31" s="28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</row>
    <row r="32" spans="1:66" s="26" customFormat="1" ht="29.1" customHeight="1">
      <c r="A32" s="286" t="s">
        <v>271</v>
      </c>
      <c r="B32" s="286"/>
      <c r="C32" s="286"/>
      <c r="D32" s="48" t="s">
        <v>272</v>
      </c>
      <c r="E32" s="48" t="s">
        <v>273</v>
      </c>
      <c r="F32" s="63" t="s">
        <v>274</v>
      </c>
      <c r="G32" s="48" t="s">
        <v>275</v>
      </c>
      <c r="H32" s="294" t="s">
        <v>276</v>
      </c>
      <c r="I32" s="295"/>
      <c r="J32" s="296"/>
      <c r="L32" s="27"/>
      <c r="M32" s="28"/>
      <c r="O32" s="28"/>
      <c r="Q32" s="28"/>
      <c r="S32" s="28"/>
      <c r="U32" s="28"/>
      <c r="W32" s="28"/>
      <c r="Y32" s="28"/>
      <c r="AA32" s="28"/>
      <c r="AC32" s="28"/>
      <c r="AE32" s="28"/>
      <c r="AG32" s="28"/>
      <c r="AI32" s="28"/>
      <c r="AJ32" s="28"/>
      <c r="AK32" s="28"/>
      <c r="AL32" s="28"/>
      <c r="AM32" s="28"/>
      <c r="AN32" s="28"/>
      <c r="AO32" s="28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</row>
    <row r="33" spans="1:66" s="239" customFormat="1" ht="29.1" customHeight="1">
      <c r="A33" s="297"/>
      <c r="B33" s="297"/>
      <c r="C33" s="297"/>
      <c r="D33" s="243"/>
      <c r="E33" s="251"/>
      <c r="F33" s="238"/>
      <c r="G33" s="252"/>
      <c r="H33" s="253"/>
      <c r="I33" s="242"/>
      <c r="J33" s="254"/>
      <c r="L33" s="244"/>
      <c r="M33" s="240"/>
      <c r="O33" s="240"/>
      <c r="Q33" s="240"/>
      <c r="S33" s="240"/>
      <c r="U33" s="240"/>
      <c r="W33" s="240"/>
      <c r="Y33" s="240"/>
      <c r="AA33" s="240"/>
      <c r="AC33" s="240"/>
      <c r="AE33" s="240"/>
      <c r="AG33" s="240"/>
      <c r="AI33" s="240"/>
      <c r="AJ33" s="240"/>
      <c r="AK33" s="240"/>
      <c r="AL33" s="240"/>
      <c r="AM33" s="240"/>
      <c r="AN33" s="240"/>
      <c r="AO33" s="240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  <c r="BI33" s="241"/>
      <c r="BJ33" s="241"/>
      <c r="BK33" s="241"/>
      <c r="BL33" s="241"/>
      <c r="BM33" s="241"/>
      <c r="BN33" s="241"/>
    </row>
    <row r="34" spans="1:66" s="239" customFormat="1" ht="29.1" customHeight="1">
      <c r="A34" s="297"/>
      <c r="B34" s="297"/>
      <c r="C34" s="297"/>
      <c r="D34" s="243"/>
      <c r="E34" s="251"/>
      <c r="F34" s="238"/>
      <c r="G34" s="252"/>
      <c r="H34" s="253"/>
      <c r="I34" s="242"/>
      <c r="J34" s="254"/>
      <c r="L34" s="244"/>
      <c r="M34" s="240"/>
      <c r="O34" s="240"/>
      <c r="Q34" s="240"/>
      <c r="S34" s="240"/>
      <c r="U34" s="240"/>
      <c r="W34" s="240"/>
      <c r="Y34" s="240"/>
      <c r="AA34" s="240"/>
      <c r="AC34" s="240"/>
      <c r="AE34" s="240"/>
      <c r="AG34" s="240"/>
      <c r="AI34" s="240"/>
      <c r="AJ34" s="240"/>
      <c r="AK34" s="240"/>
      <c r="AL34" s="240"/>
      <c r="AM34" s="240"/>
      <c r="AN34" s="240"/>
      <c r="AO34" s="240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</row>
    <row r="35" spans="1:66" s="26" customFormat="1" ht="29.1" customHeight="1">
      <c r="A35" s="297"/>
      <c r="B35" s="297"/>
      <c r="C35" s="297"/>
      <c r="D35" s="243"/>
      <c r="E35" s="72"/>
      <c r="F35" s="238"/>
      <c r="G35" s="252"/>
      <c r="H35" s="275"/>
      <c r="I35" s="276"/>
      <c r="J35" s="277"/>
      <c r="L35" s="27"/>
      <c r="M35" s="28"/>
      <c r="O35" s="28"/>
      <c r="Q35" s="28"/>
      <c r="S35" s="28"/>
      <c r="U35" s="28"/>
      <c r="W35" s="28"/>
      <c r="Y35" s="28"/>
      <c r="AA35" s="28"/>
      <c r="AC35" s="28"/>
      <c r="AE35" s="28"/>
      <c r="AG35" s="28"/>
      <c r="AI35" s="28"/>
      <c r="AJ35" s="28"/>
      <c r="AK35" s="28"/>
      <c r="AL35" s="28"/>
      <c r="AM35" s="28"/>
      <c r="AN35" s="28"/>
      <c r="AO35" s="28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</row>
    <row r="36" spans="1:66" s="26" customFormat="1" ht="29.1" customHeight="1">
      <c r="A36" s="297"/>
      <c r="B36" s="297"/>
      <c r="C36" s="297"/>
      <c r="D36" s="243"/>
      <c r="E36" s="250"/>
      <c r="F36" s="238"/>
      <c r="G36" s="252"/>
      <c r="H36" s="275"/>
      <c r="I36" s="276"/>
      <c r="J36" s="277"/>
      <c r="L36" s="27"/>
      <c r="M36" s="28"/>
      <c r="O36" s="28"/>
      <c r="Q36" s="28"/>
      <c r="S36" s="28"/>
      <c r="U36" s="28"/>
      <c r="W36" s="28"/>
      <c r="Y36" s="28"/>
      <c r="AA36" s="28"/>
      <c r="AC36" s="28"/>
      <c r="AE36" s="28"/>
      <c r="AG36" s="28"/>
      <c r="AI36" s="28"/>
      <c r="AJ36" s="28"/>
      <c r="AK36" s="28"/>
      <c r="AL36" s="28"/>
      <c r="AM36" s="28"/>
      <c r="AN36" s="28"/>
      <c r="AO36" s="28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</row>
    <row r="37" spans="1:66" s="26" customFormat="1" ht="29.1" customHeight="1">
      <c r="A37" s="278" t="s">
        <v>277</v>
      </c>
      <c r="B37" s="279"/>
      <c r="C37" s="279"/>
      <c r="D37" s="280"/>
      <c r="E37" s="246">
        <f>SUM(E33:E36)</f>
        <v>0</v>
      </c>
      <c r="F37" s="48"/>
      <c r="G37" s="247">
        <f>SUM(G33:G36)</f>
        <v>0</v>
      </c>
      <c r="H37" s="278"/>
      <c r="I37" s="279"/>
      <c r="J37" s="280"/>
      <c r="L37" s="27"/>
      <c r="M37" s="28"/>
      <c r="O37" s="28"/>
      <c r="Q37" s="28"/>
      <c r="S37" s="28"/>
      <c r="U37" s="28"/>
      <c r="W37" s="28"/>
      <c r="Y37" s="28"/>
      <c r="AA37" s="28"/>
      <c r="AC37" s="28"/>
      <c r="AE37" s="28"/>
      <c r="AG37" s="28"/>
      <c r="AI37" s="28"/>
      <c r="AJ37" s="28"/>
      <c r="AK37" s="28"/>
      <c r="AL37" s="28"/>
      <c r="AM37" s="28"/>
      <c r="AN37" s="28"/>
      <c r="AO37" s="28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</row>
    <row r="38" spans="1:66" s="26" customFormat="1" ht="30.75" customHeight="1">
      <c r="A38" s="29" t="s">
        <v>278</v>
      </c>
      <c r="B38" s="28"/>
      <c r="C38" s="28"/>
      <c r="D38" s="28"/>
      <c r="E38" s="28"/>
      <c r="F38" s="28"/>
      <c r="G38" s="28"/>
      <c r="H38" s="28"/>
      <c r="I38" s="28"/>
      <c r="J38" s="30" t="s">
        <v>261</v>
      </c>
      <c r="L38" s="27"/>
      <c r="M38" s="28"/>
      <c r="O38" s="28"/>
      <c r="Q38" s="28"/>
      <c r="S38" s="28"/>
      <c r="U38" s="28"/>
      <c r="W38" s="28"/>
      <c r="Y38" s="28"/>
      <c r="AA38" s="28"/>
      <c r="AC38" s="28"/>
      <c r="AE38" s="28"/>
      <c r="AG38" s="28"/>
      <c r="AI38" s="28"/>
      <c r="AJ38" s="28"/>
      <c r="AK38" s="28"/>
      <c r="AL38" s="28"/>
      <c r="AM38" s="28"/>
      <c r="AN38" s="28"/>
      <c r="AO38" s="28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</row>
    <row r="39" spans="1:66" s="26" customFormat="1" ht="30.75" customHeight="1">
      <c r="A39" s="286" t="s">
        <v>271</v>
      </c>
      <c r="B39" s="286"/>
      <c r="C39" s="286"/>
      <c r="D39" s="48" t="s">
        <v>272</v>
      </c>
      <c r="E39" s="48" t="s">
        <v>273</v>
      </c>
      <c r="F39" s="63" t="s">
        <v>279</v>
      </c>
      <c r="G39" s="48" t="s">
        <v>275</v>
      </c>
      <c r="H39" s="294" t="s">
        <v>276</v>
      </c>
      <c r="I39" s="295"/>
      <c r="J39" s="296"/>
      <c r="L39" s="27"/>
      <c r="M39" s="28"/>
      <c r="O39" s="28"/>
      <c r="Q39" s="28"/>
      <c r="S39" s="28"/>
      <c r="U39" s="28"/>
      <c r="W39" s="28"/>
      <c r="Y39" s="28"/>
      <c r="AA39" s="28"/>
      <c r="AC39" s="28"/>
      <c r="AE39" s="28"/>
      <c r="AG39" s="28"/>
      <c r="AI39" s="28"/>
      <c r="AJ39" s="28"/>
      <c r="AK39" s="28"/>
      <c r="AL39" s="28"/>
      <c r="AM39" s="28"/>
      <c r="AN39" s="28"/>
      <c r="AO39" s="28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</row>
    <row r="40" spans="1:66" s="26" customFormat="1" ht="30.75" customHeight="1">
      <c r="A40" s="273"/>
      <c r="B40" s="274"/>
      <c r="C40" s="274"/>
      <c r="D40" s="64"/>
      <c r="E40" s="74"/>
      <c r="F40" s="75"/>
      <c r="G40" s="74"/>
      <c r="H40" s="275"/>
      <c r="I40" s="276"/>
      <c r="J40" s="277"/>
      <c r="L40" s="27"/>
      <c r="M40" s="28"/>
      <c r="O40" s="28"/>
      <c r="Q40" s="28"/>
      <c r="S40" s="28"/>
      <c r="U40" s="28"/>
      <c r="W40" s="28"/>
      <c r="Y40" s="28"/>
      <c r="AA40" s="28"/>
      <c r="AC40" s="28"/>
      <c r="AE40" s="28"/>
      <c r="AG40" s="28"/>
      <c r="AI40" s="28"/>
      <c r="AJ40" s="28"/>
      <c r="AK40" s="28"/>
      <c r="AL40" s="28"/>
      <c r="AM40" s="28"/>
      <c r="AN40" s="28"/>
      <c r="AO40" s="28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</row>
    <row r="41" spans="1:66" s="26" customFormat="1" ht="30.75" customHeight="1">
      <c r="A41" s="273"/>
      <c r="B41" s="274"/>
      <c r="C41" s="274"/>
      <c r="D41" s="76"/>
      <c r="E41" s="74"/>
      <c r="F41" s="75"/>
      <c r="G41" s="74"/>
      <c r="H41" s="275"/>
      <c r="I41" s="276"/>
      <c r="J41" s="277"/>
      <c r="L41" s="27"/>
      <c r="M41" s="28"/>
      <c r="O41" s="28"/>
      <c r="Q41" s="28"/>
      <c r="S41" s="28"/>
      <c r="U41" s="28"/>
      <c r="W41" s="28"/>
      <c r="Y41" s="28"/>
      <c r="AA41" s="28"/>
      <c r="AC41" s="28"/>
      <c r="AE41" s="28"/>
      <c r="AG41" s="28"/>
      <c r="AI41" s="28"/>
      <c r="AJ41" s="28"/>
      <c r="AK41" s="28"/>
      <c r="AL41" s="28"/>
      <c r="AM41" s="28"/>
      <c r="AN41" s="28"/>
      <c r="AO41" s="28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</row>
    <row r="42" spans="1:66" s="26" customFormat="1" ht="30.75" customHeight="1">
      <c r="A42" s="278" t="s">
        <v>277</v>
      </c>
      <c r="B42" s="279"/>
      <c r="C42" s="279"/>
      <c r="D42" s="280"/>
      <c r="E42" s="70"/>
      <c r="F42" s="48"/>
      <c r="G42" s="70">
        <f>SUM(G40:G41)</f>
        <v>0</v>
      </c>
      <c r="H42" s="278"/>
      <c r="I42" s="279"/>
      <c r="J42" s="280"/>
      <c r="L42" s="27"/>
      <c r="M42" s="28"/>
      <c r="O42" s="28"/>
      <c r="Q42" s="28"/>
      <c r="S42" s="28"/>
      <c r="U42" s="28"/>
      <c r="W42" s="28"/>
      <c r="Y42" s="28"/>
      <c r="AA42" s="28"/>
      <c r="AC42" s="28"/>
      <c r="AE42" s="28"/>
      <c r="AG42" s="28"/>
      <c r="AI42" s="28"/>
      <c r="AJ42" s="28"/>
      <c r="AK42" s="28"/>
      <c r="AL42" s="28"/>
      <c r="AM42" s="28"/>
      <c r="AN42" s="28"/>
      <c r="AO42" s="28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</row>
    <row r="43" spans="1:66" s="26" customFormat="1" ht="8.25" customHeight="1">
      <c r="A43" s="77"/>
      <c r="B43" s="77"/>
      <c r="C43" s="77"/>
      <c r="D43" s="77"/>
      <c r="E43" s="77"/>
      <c r="F43" s="77"/>
      <c r="G43" s="78"/>
      <c r="H43" s="77"/>
      <c r="I43" s="77"/>
      <c r="J43" s="79"/>
      <c r="L43" s="27"/>
      <c r="M43" s="28"/>
      <c r="O43" s="28"/>
      <c r="Q43" s="28"/>
      <c r="S43" s="28"/>
      <c r="U43" s="28"/>
      <c r="W43" s="28"/>
      <c r="Y43" s="28"/>
      <c r="AA43" s="28"/>
      <c r="AC43" s="28"/>
      <c r="AE43" s="28"/>
      <c r="AG43" s="28"/>
      <c r="AI43" s="28"/>
      <c r="AJ43" s="28"/>
      <c r="AK43" s="28"/>
      <c r="AL43" s="28"/>
      <c r="AM43" s="28"/>
      <c r="AN43" s="28"/>
      <c r="AO43" s="28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</row>
    <row r="44" spans="1:66" s="26" customFormat="1" ht="30.75" customHeight="1">
      <c r="A44" s="278" t="s">
        <v>280</v>
      </c>
      <c r="B44" s="279"/>
      <c r="C44" s="279"/>
      <c r="D44" s="280"/>
      <c r="E44" s="73"/>
      <c r="F44" s="73"/>
      <c r="G44" s="80">
        <f>G42+G37</f>
        <v>0</v>
      </c>
      <c r="H44" s="81"/>
      <c r="I44" s="81"/>
      <c r="J44" s="82"/>
      <c r="L44" s="27"/>
      <c r="M44" s="28"/>
      <c r="O44" s="28"/>
      <c r="Q44" s="28"/>
      <c r="S44" s="28"/>
      <c r="U44" s="28"/>
      <c r="W44" s="28"/>
      <c r="Y44" s="28"/>
      <c r="AA44" s="28"/>
      <c r="AC44" s="28"/>
      <c r="AE44" s="28"/>
      <c r="AG44" s="28"/>
      <c r="AI44" s="28"/>
      <c r="AJ44" s="28"/>
      <c r="AK44" s="28"/>
      <c r="AL44" s="28"/>
      <c r="AM44" s="28"/>
      <c r="AN44" s="28"/>
      <c r="AO44" s="28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</row>
  </sheetData>
  <mergeCells count="38">
    <mergeCell ref="E26:J28"/>
    <mergeCell ref="A13:J13"/>
    <mergeCell ref="A1:J1"/>
    <mergeCell ref="J7:J8"/>
    <mergeCell ref="C8:D8"/>
    <mergeCell ref="A11:J11"/>
    <mergeCell ref="A12:J12"/>
    <mergeCell ref="A44:D44"/>
    <mergeCell ref="A40:C40"/>
    <mergeCell ref="H40:J40"/>
    <mergeCell ref="A32:C32"/>
    <mergeCell ref="H32:J32"/>
    <mergeCell ref="A35:C35"/>
    <mergeCell ref="H35:J35"/>
    <mergeCell ref="A36:C36"/>
    <mergeCell ref="H36:J36"/>
    <mergeCell ref="A33:C33"/>
    <mergeCell ref="A34:C34"/>
    <mergeCell ref="A37:D37"/>
    <mergeCell ref="H37:J37"/>
    <mergeCell ref="A39:C39"/>
    <mergeCell ref="H39:J39"/>
    <mergeCell ref="O11:P11"/>
    <mergeCell ref="A41:C41"/>
    <mergeCell ref="H41:J41"/>
    <mergeCell ref="A42:D42"/>
    <mergeCell ref="H42:J42"/>
    <mergeCell ref="E29:J29"/>
    <mergeCell ref="A15:J15"/>
    <mergeCell ref="A16:J16"/>
    <mergeCell ref="A20:C20"/>
    <mergeCell ref="I20:J20"/>
    <mergeCell ref="A21:C21"/>
    <mergeCell ref="I21:J21"/>
    <mergeCell ref="A22:C22"/>
    <mergeCell ref="I22:J22"/>
    <mergeCell ref="A23:C23"/>
    <mergeCell ref="I23:J23"/>
  </mergeCells>
  <phoneticPr fontId="2" type="noConversion"/>
  <printOptions horizontalCentered="1"/>
  <pageMargins left="0.19685039370078741" right="0.19685039370078741" top="0.39370078740157483" bottom="0.15748031496062992" header="0.31496062992125984" footer="0.1574803149606299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76"/>
  <sheetViews>
    <sheetView tabSelected="1" view="pageBreakPreview" zoomScaleNormal="11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H8" sqref="AH8:AH10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10.75" style="1" customWidth="1"/>
    <col min="8" max="8" width="4.875" style="6" customWidth="1"/>
    <col min="9" max="9" width="6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0.25" style="1" hidden="1" customWidth="1"/>
    <col min="20" max="21" width="0.25" style="22" hidden="1" customWidth="1"/>
    <col min="22" max="22" width="5.125" style="6" customWidth="1"/>
    <col min="23" max="23" width="10.5" style="1" customWidth="1"/>
    <col min="24" max="24" width="5.125" style="6" customWidth="1"/>
    <col min="25" max="25" width="10.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4.25" style="1" customWidth="1"/>
    <col min="35" max="35" width="12.625" style="1" customWidth="1"/>
    <col min="36" max="37" width="12.625" style="113" customWidth="1"/>
    <col min="38" max="38" width="4.5" style="1" customWidth="1"/>
    <col min="39" max="39" width="6.125" style="1" customWidth="1"/>
    <col min="40" max="40" width="17.125" style="1" customWidth="1"/>
    <col min="41" max="41" width="10.25" style="2"/>
    <col min="42" max="42" width="15.75" style="3" customWidth="1"/>
    <col min="43" max="65" width="16.5" style="3" customWidth="1"/>
    <col min="66" max="16384" width="9" style="4"/>
  </cols>
  <sheetData>
    <row r="1" spans="1:72" ht="24.75" customHeight="1">
      <c r="A1" s="302" t="s">
        <v>281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116"/>
      <c r="AK1" s="116"/>
      <c r="AL1" s="21"/>
    </row>
    <row r="2" spans="1:72" ht="21.75" customHeight="1">
      <c r="A2" s="5" t="s">
        <v>30</v>
      </c>
      <c r="AI2" s="7" t="s">
        <v>31</v>
      </c>
      <c r="AJ2" s="114"/>
      <c r="AK2" s="261"/>
      <c r="AN2" s="20"/>
      <c r="AP2" s="3">
        <f>AN48+AN52+AN56+AN60</f>
        <v>46945000</v>
      </c>
    </row>
    <row r="3" spans="1:72" ht="22.5" customHeight="1" thickBot="1">
      <c r="A3" s="84" t="s">
        <v>0</v>
      </c>
      <c r="B3" s="84" t="s">
        <v>2</v>
      </c>
      <c r="C3" s="84" t="s">
        <v>3</v>
      </c>
      <c r="D3" s="366" t="s">
        <v>4</v>
      </c>
      <c r="E3" s="366"/>
      <c r="F3" s="367" t="s">
        <v>32</v>
      </c>
      <c r="G3" s="365"/>
      <c r="H3" s="85" t="s">
        <v>39</v>
      </c>
      <c r="I3" s="86" t="s">
        <v>40</v>
      </c>
      <c r="J3" s="364" t="s">
        <v>42</v>
      </c>
      <c r="K3" s="365"/>
      <c r="L3" s="364" t="s">
        <v>43</v>
      </c>
      <c r="M3" s="365"/>
      <c r="N3" s="364" t="s">
        <v>44</v>
      </c>
      <c r="O3" s="365"/>
      <c r="P3" s="364" t="s">
        <v>45</v>
      </c>
      <c r="Q3" s="365"/>
      <c r="R3" s="364" t="s">
        <v>46</v>
      </c>
      <c r="S3" s="365"/>
      <c r="T3" s="364" t="s">
        <v>47</v>
      </c>
      <c r="U3" s="365"/>
      <c r="V3" s="364" t="s">
        <v>48</v>
      </c>
      <c r="W3" s="365"/>
      <c r="X3" s="364" t="s">
        <v>49</v>
      </c>
      <c r="Y3" s="365"/>
      <c r="Z3" s="364" t="s">
        <v>33</v>
      </c>
      <c r="AA3" s="365"/>
      <c r="AB3" s="364" t="s">
        <v>34</v>
      </c>
      <c r="AC3" s="365"/>
      <c r="AD3" s="364" t="s">
        <v>35</v>
      </c>
      <c r="AE3" s="365"/>
      <c r="AF3" s="364" t="s">
        <v>36</v>
      </c>
      <c r="AG3" s="365"/>
      <c r="AH3" s="115" t="s">
        <v>282</v>
      </c>
      <c r="AI3" s="87" t="s">
        <v>5</v>
      </c>
      <c r="AJ3" s="112"/>
      <c r="AK3" s="112"/>
      <c r="AL3" s="8" t="s">
        <v>1</v>
      </c>
      <c r="AN3" s="20"/>
      <c r="AP3" s="262" t="s">
        <v>315</v>
      </c>
      <c r="AQ3" s="263"/>
    </row>
    <row r="4" spans="1:72" ht="22.5" customHeight="1">
      <c r="A4" s="353">
        <v>1</v>
      </c>
      <c r="B4" s="356" t="s">
        <v>62</v>
      </c>
      <c r="C4" s="88" t="s">
        <v>64</v>
      </c>
      <c r="D4" s="89" t="s">
        <v>7</v>
      </c>
      <c r="E4" s="90">
        <f>AN4/1100000</f>
        <v>2348</v>
      </c>
      <c r="F4" s="91" t="s">
        <v>8</v>
      </c>
      <c r="G4" s="92">
        <f>E4*0.75-(G5+G6)</f>
        <v>1306.187637</v>
      </c>
      <c r="H4" s="358">
        <v>0.9</v>
      </c>
      <c r="I4" s="361">
        <f>H4+K4+M4+O4+Q4+S4+U4+W4+Y4+AA4+AC4+AE4+AG4</f>
        <v>0.9</v>
      </c>
      <c r="J4" s="93" t="s">
        <v>41</v>
      </c>
      <c r="K4" s="94"/>
      <c r="L4" s="93" t="s">
        <v>41</v>
      </c>
      <c r="M4" s="94"/>
      <c r="N4" s="93" t="s">
        <v>41</v>
      </c>
      <c r="O4" s="94"/>
      <c r="P4" s="93" t="s">
        <v>41</v>
      </c>
      <c r="Q4" s="94"/>
      <c r="R4" s="93" t="s">
        <v>41</v>
      </c>
      <c r="S4" s="94"/>
      <c r="T4" s="93" t="s">
        <v>41</v>
      </c>
      <c r="U4" s="94"/>
      <c r="V4" s="93" t="s">
        <v>41</v>
      </c>
      <c r="W4" s="94"/>
      <c r="X4" s="93" t="s">
        <v>41</v>
      </c>
      <c r="Y4" s="94"/>
      <c r="Z4" s="93" t="s">
        <v>41</v>
      </c>
      <c r="AA4" s="94"/>
      <c r="AB4" s="93" t="s">
        <v>41</v>
      </c>
      <c r="AC4" s="94"/>
      <c r="AD4" s="93" t="s">
        <v>41</v>
      </c>
      <c r="AE4" s="94"/>
      <c r="AF4" s="93" t="s">
        <v>41</v>
      </c>
      <c r="AG4" s="94"/>
      <c r="AH4" s="325" t="s">
        <v>352</v>
      </c>
      <c r="AI4" s="325" t="s">
        <v>356</v>
      </c>
      <c r="AJ4" s="117" t="s">
        <v>283</v>
      </c>
      <c r="AK4" s="118" t="s">
        <v>284</v>
      </c>
      <c r="AL4" s="368" t="s">
        <v>73</v>
      </c>
      <c r="AM4" s="9" t="s">
        <v>7</v>
      </c>
      <c r="AN4" s="10">
        <v>2582800000</v>
      </c>
      <c r="AO4" s="11" t="s">
        <v>9</v>
      </c>
      <c r="AP4" s="12">
        <f>SUM(AQ4:BM4)</f>
        <v>227152363</v>
      </c>
      <c r="AQ4" s="13" t="s">
        <v>10</v>
      </c>
      <c r="AR4" s="14">
        <v>74500363</v>
      </c>
      <c r="AS4" s="14" t="s">
        <v>11</v>
      </c>
      <c r="AT4" s="14">
        <v>152652000</v>
      </c>
      <c r="AU4" s="14" t="s">
        <v>12</v>
      </c>
      <c r="AV4" s="14"/>
      <c r="AW4" s="14" t="s">
        <v>12</v>
      </c>
      <c r="AX4" s="14"/>
      <c r="AY4" s="14" t="s">
        <v>12</v>
      </c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</row>
    <row r="5" spans="1:72" ht="22.5" customHeight="1" thickBot="1">
      <c r="A5" s="354"/>
      <c r="B5" s="357"/>
      <c r="C5" s="95" t="s">
        <v>212</v>
      </c>
      <c r="D5" s="96" t="s">
        <v>13</v>
      </c>
      <c r="E5" s="97">
        <f>AN5/1100000</f>
        <v>436.36363636363637</v>
      </c>
      <c r="F5" s="98" t="s">
        <v>14</v>
      </c>
      <c r="G5" s="99">
        <f>AP4/1000000</f>
        <v>227.15236300000001</v>
      </c>
      <c r="H5" s="359"/>
      <c r="I5" s="362"/>
      <c r="J5" s="100" t="s">
        <v>29</v>
      </c>
      <c r="K5" s="101">
        <f>$G4*K4</f>
        <v>0</v>
      </c>
      <c r="L5" s="100" t="s">
        <v>29</v>
      </c>
      <c r="M5" s="101">
        <f>$G4*M4</f>
        <v>0</v>
      </c>
      <c r="N5" s="100" t="s">
        <v>29</v>
      </c>
      <c r="O5" s="101">
        <f>$G4*O4</f>
        <v>0</v>
      </c>
      <c r="P5" s="100" t="s">
        <v>29</v>
      </c>
      <c r="Q5" s="101">
        <f>$G4*Q4</f>
        <v>0</v>
      </c>
      <c r="R5" s="100" t="s">
        <v>29</v>
      </c>
      <c r="S5" s="101">
        <f>$G4*S4</f>
        <v>0</v>
      </c>
      <c r="T5" s="100" t="s">
        <v>29</v>
      </c>
      <c r="U5" s="101">
        <f>$G4*U4</f>
        <v>0</v>
      </c>
      <c r="V5" s="100" t="s">
        <v>29</v>
      </c>
      <c r="W5" s="144">
        <f>$G4*W4</f>
        <v>0</v>
      </c>
      <c r="X5" s="100" t="s">
        <v>29</v>
      </c>
      <c r="Y5" s="101">
        <f>$G4*Y4</f>
        <v>0</v>
      </c>
      <c r="Z5" s="100" t="s">
        <v>29</v>
      </c>
      <c r="AA5" s="101">
        <f>$G4*AA4</f>
        <v>0</v>
      </c>
      <c r="AB5" s="100" t="s">
        <v>29</v>
      </c>
      <c r="AC5" s="101">
        <f>$G4*AC4</f>
        <v>0</v>
      </c>
      <c r="AD5" s="100" t="s">
        <v>29</v>
      </c>
      <c r="AE5" s="101">
        <f>$G4*AE4</f>
        <v>0</v>
      </c>
      <c r="AF5" s="100" t="s">
        <v>29</v>
      </c>
      <c r="AG5" s="101">
        <f>$G4*AG4</f>
        <v>0</v>
      </c>
      <c r="AH5" s="326"/>
      <c r="AI5" s="329"/>
      <c r="AJ5" s="119">
        <f>(I4-H4)*G4</f>
        <v>0</v>
      </c>
      <c r="AK5" s="120">
        <f>(1-I4)*G4</f>
        <v>130.61876369999996</v>
      </c>
      <c r="AL5" s="369"/>
      <c r="AM5" s="9" t="s">
        <v>13</v>
      </c>
      <c r="AN5" s="10">
        <v>480000000</v>
      </c>
      <c r="AO5" s="11" t="s">
        <v>15</v>
      </c>
      <c r="AP5" s="12">
        <f>SUM(AQ5:BM5)</f>
        <v>227660000</v>
      </c>
      <c r="AQ5" s="13" t="s">
        <v>66</v>
      </c>
      <c r="AR5" s="14">
        <v>50000000</v>
      </c>
      <c r="AS5" s="14" t="s">
        <v>67</v>
      </c>
      <c r="AT5" s="14">
        <v>60000000</v>
      </c>
      <c r="AU5" s="14" t="s">
        <v>68</v>
      </c>
      <c r="AV5" s="14">
        <v>85000000</v>
      </c>
      <c r="AW5" s="14" t="s">
        <v>69</v>
      </c>
      <c r="AX5" s="14">
        <v>21000000</v>
      </c>
      <c r="AY5" s="14" t="s">
        <v>69</v>
      </c>
      <c r="AZ5" s="14">
        <v>11660000</v>
      </c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  <c r="BO5" s="15"/>
      <c r="BP5" s="15"/>
      <c r="BQ5" s="15"/>
      <c r="BR5" s="15"/>
      <c r="BS5" s="15"/>
      <c r="BT5" s="15"/>
    </row>
    <row r="6" spans="1:72" ht="22.5" customHeight="1">
      <c r="A6" s="354"/>
      <c r="B6" s="357"/>
      <c r="C6" s="102" t="s">
        <v>65</v>
      </c>
      <c r="D6" s="96" t="s">
        <v>20</v>
      </c>
      <c r="E6" s="97">
        <f>E4-E5</f>
        <v>1911.6363636363635</v>
      </c>
      <c r="F6" s="103" t="s">
        <v>21</v>
      </c>
      <c r="G6" s="99">
        <f>(AP5+AP6)/1000000</f>
        <v>227.66</v>
      </c>
      <c r="H6" s="359"/>
      <c r="I6" s="362"/>
      <c r="J6" s="340" t="s">
        <v>22</v>
      </c>
      <c r="K6" s="342" t="s">
        <v>87</v>
      </c>
      <c r="L6" s="340" t="s">
        <v>22</v>
      </c>
      <c r="M6" s="342" t="s">
        <v>87</v>
      </c>
      <c r="N6" s="340" t="s">
        <v>22</v>
      </c>
      <c r="O6" s="342" t="s">
        <v>87</v>
      </c>
      <c r="P6" s="340" t="s">
        <v>22</v>
      </c>
      <c r="Q6" s="342" t="s">
        <v>87</v>
      </c>
      <c r="R6" s="340" t="s">
        <v>22</v>
      </c>
      <c r="S6" s="342" t="s">
        <v>87</v>
      </c>
      <c r="T6" s="340" t="s">
        <v>22</v>
      </c>
      <c r="U6" s="342" t="s">
        <v>87</v>
      </c>
      <c r="V6" s="340" t="s">
        <v>22</v>
      </c>
      <c r="W6" s="342" t="s">
        <v>87</v>
      </c>
      <c r="X6" s="340" t="s">
        <v>22</v>
      </c>
      <c r="Y6" s="342" t="s">
        <v>351</v>
      </c>
      <c r="Z6" s="340" t="s">
        <v>22</v>
      </c>
      <c r="AA6" s="342"/>
      <c r="AB6" s="340" t="s">
        <v>22</v>
      </c>
      <c r="AC6" s="342" t="s">
        <v>23</v>
      </c>
      <c r="AD6" s="340" t="s">
        <v>22</v>
      </c>
      <c r="AE6" s="342" t="s">
        <v>23</v>
      </c>
      <c r="AF6" s="340" t="s">
        <v>22</v>
      </c>
      <c r="AG6" s="342" t="s">
        <v>23</v>
      </c>
      <c r="AH6" s="327"/>
      <c r="AI6" s="329"/>
      <c r="AJ6" s="109"/>
      <c r="AK6" s="109"/>
      <c r="AL6" s="369"/>
      <c r="AM6" s="9" t="s">
        <v>20</v>
      </c>
      <c r="AN6" s="10">
        <f>AN4-AN5</f>
        <v>2102800000</v>
      </c>
      <c r="AO6" s="11" t="s">
        <v>24</v>
      </c>
      <c r="AP6" s="12"/>
      <c r="BN6" s="15"/>
      <c r="BO6" s="15"/>
      <c r="BP6" s="15"/>
      <c r="BQ6" s="15"/>
      <c r="BR6" s="15"/>
      <c r="BS6" s="15"/>
      <c r="BT6" s="15"/>
    </row>
    <row r="7" spans="1:72" ht="22.5" customHeight="1" thickBot="1">
      <c r="A7" s="355"/>
      <c r="B7" s="104" t="s">
        <v>63</v>
      </c>
      <c r="C7" s="105" t="s">
        <v>38</v>
      </c>
      <c r="D7" s="106" t="s">
        <v>25</v>
      </c>
      <c r="E7" s="107">
        <f>E5/E4</f>
        <v>0.18584481957565432</v>
      </c>
      <c r="F7" s="106" t="s">
        <v>26</v>
      </c>
      <c r="G7" s="107">
        <f>(E4-(G5+G6)/0.7)/E4</f>
        <v>0.72328281637868086</v>
      </c>
      <c r="H7" s="360"/>
      <c r="I7" s="363"/>
      <c r="J7" s="341"/>
      <c r="K7" s="343"/>
      <c r="L7" s="341"/>
      <c r="M7" s="343"/>
      <c r="N7" s="341"/>
      <c r="O7" s="343"/>
      <c r="P7" s="341"/>
      <c r="Q7" s="343"/>
      <c r="R7" s="341"/>
      <c r="S7" s="343"/>
      <c r="T7" s="341"/>
      <c r="U7" s="343"/>
      <c r="V7" s="341"/>
      <c r="W7" s="343"/>
      <c r="X7" s="341"/>
      <c r="Y7" s="343"/>
      <c r="Z7" s="341"/>
      <c r="AA7" s="343"/>
      <c r="AB7" s="341"/>
      <c r="AC7" s="343"/>
      <c r="AD7" s="341"/>
      <c r="AE7" s="343"/>
      <c r="AF7" s="341"/>
      <c r="AG7" s="343"/>
      <c r="AH7" s="138">
        <f>(I4-E7)*E4</f>
        <v>1676.8363636363636</v>
      </c>
      <c r="AI7" s="371"/>
      <c r="AJ7" s="109"/>
      <c r="AK7" s="109"/>
      <c r="AL7" s="370"/>
      <c r="AM7" s="9"/>
      <c r="AN7" s="18">
        <f>AN5/AN4</f>
        <v>0.18584481957565432</v>
      </c>
      <c r="AO7" s="16" t="s">
        <v>27</v>
      </c>
      <c r="AP7" s="17">
        <f>SUM(AP4:AP6)</f>
        <v>454812363</v>
      </c>
    </row>
    <row r="8" spans="1:72" ht="22.5" customHeight="1">
      <c r="A8" s="353">
        <v>2</v>
      </c>
      <c r="B8" s="356" t="s">
        <v>78</v>
      </c>
      <c r="C8" s="108" t="s">
        <v>70</v>
      </c>
      <c r="D8" s="89" t="s">
        <v>7</v>
      </c>
      <c r="E8" s="141">
        <f t="shared" ref="E8:E9" si="0">AN8/1100000</f>
        <v>3386</v>
      </c>
      <c r="F8" s="91" t="s">
        <v>8</v>
      </c>
      <c r="G8" s="142">
        <f t="shared" ref="G8" si="1">E8*0.75-(G9+G10)</f>
        <v>2539.5</v>
      </c>
      <c r="H8" s="358">
        <v>0.33</v>
      </c>
      <c r="I8" s="361">
        <f>H8+K8+M8+O8+Q8+S8+U8+W8+Y8+AA8+AC8+AE8+AG8</f>
        <v>0.33</v>
      </c>
      <c r="J8" s="93" t="s">
        <v>41</v>
      </c>
      <c r="K8" s="94"/>
      <c r="L8" s="93" t="s">
        <v>41</v>
      </c>
      <c r="M8" s="94"/>
      <c r="N8" s="93" t="s">
        <v>41</v>
      </c>
      <c r="O8" s="94"/>
      <c r="P8" s="93" t="s">
        <v>41</v>
      </c>
      <c r="Q8" s="94"/>
      <c r="R8" s="93" t="s">
        <v>41</v>
      </c>
      <c r="S8" s="94"/>
      <c r="T8" s="93" t="s">
        <v>41</v>
      </c>
      <c r="U8" s="94"/>
      <c r="V8" s="93" t="s">
        <v>41</v>
      </c>
      <c r="W8" s="94"/>
      <c r="X8" s="93" t="s">
        <v>41</v>
      </c>
      <c r="Y8" s="94"/>
      <c r="Z8" s="93" t="s">
        <v>41</v>
      </c>
      <c r="AA8" s="94"/>
      <c r="AB8" s="93" t="s">
        <v>41</v>
      </c>
      <c r="AC8" s="94"/>
      <c r="AD8" s="93" t="s">
        <v>41</v>
      </c>
      <c r="AE8" s="94"/>
      <c r="AF8" s="93" t="s">
        <v>41</v>
      </c>
      <c r="AG8" s="94"/>
      <c r="AH8" s="325" t="s">
        <v>346</v>
      </c>
      <c r="AI8" s="325" t="s">
        <v>72</v>
      </c>
      <c r="AJ8" s="146" t="s">
        <v>283</v>
      </c>
      <c r="AK8" s="147" t="s">
        <v>284</v>
      </c>
      <c r="AL8" s="368" t="s">
        <v>74</v>
      </c>
      <c r="AM8" s="9" t="s">
        <v>7</v>
      </c>
      <c r="AN8" s="10">
        <v>3724600000</v>
      </c>
      <c r="AO8" s="11" t="s">
        <v>9</v>
      </c>
      <c r="AP8" s="12">
        <f>SUM(AQ8:BM8)</f>
        <v>0</v>
      </c>
      <c r="AQ8" s="13" t="s">
        <v>10</v>
      </c>
      <c r="AR8" s="14"/>
      <c r="AS8" s="14" t="s">
        <v>11</v>
      </c>
      <c r="AT8" s="14"/>
      <c r="AU8" s="14" t="s">
        <v>12</v>
      </c>
      <c r="AV8" s="14"/>
      <c r="AW8" s="14" t="s">
        <v>12</v>
      </c>
      <c r="AX8" s="14"/>
      <c r="AY8" s="14" t="s">
        <v>12</v>
      </c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</row>
    <row r="9" spans="1:72" ht="22.5" customHeight="1" thickBot="1">
      <c r="A9" s="354"/>
      <c r="B9" s="357"/>
      <c r="C9" s="102" t="s">
        <v>71</v>
      </c>
      <c r="D9" s="96" t="s">
        <v>13</v>
      </c>
      <c r="E9" s="143">
        <f t="shared" si="0"/>
        <v>480</v>
      </c>
      <c r="F9" s="98" t="s">
        <v>14</v>
      </c>
      <c r="G9" s="230">
        <f>AP8/1000000</f>
        <v>0</v>
      </c>
      <c r="H9" s="359"/>
      <c r="I9" s="362"/>
      <c r="J9" s="100" t="s">
        <v>29</v>
      </c>
      <c r="K9" s="101">
        <f>$G8*K8</f>
        <v>0</v>
      </c>
      <c r="L9" s="100" t="s">
        <v>29</v>
      </c>
      <c r="M9" s="101">
        <f>$G8*M8</f>
        <v>0</v>
      </c>
      <c r="N9" s="100" t="s">
        <v>29</v>
      </c>
      <c r="O9" s="101">
        <f>$G8*O8</f>
        <v>0</v>
      </c>
      <c r="P9" s="100" t="s">
        <v>29</v>
      </c>
      <c r="Q9" s="101">
        <f>$G8*Q8</f>
        <v>0</v>
      </c>
      <c r="R9" s="100" t="s">
        <v>29</v>
      </c>
      <c r="S9" s="101">
        <f>$G8*S8</f>
        <v>0</v>
      </c>
      <c r="T9" s="100" t="s">
        <v>29</v>
      </c>
      <c r="U9" s="101">
        <f>$G8*U8</f>
        <v>0</v>
      </c>
      <c r="V9" s="100" t="s">
        <v>29</v>
      </c>
      <c r="W9" s="101">
        <f>$G8*W8</f>
        <v>0</v>
      </c>
      <c r="X9" s="100" t="s">
        <v>29</v>
      </c>
      <c r="Y9" s="101">
        <f>$G8*Y8</f>
        <v>0</v>
      </c>
      <c r="Z9" s="100" t="s">
        <v>29</v>
      </c>
      <c r="AA9" s="101">
        <f>$G8*AA8</f>
        <v>0</v>
      </c>
      <c r="AB9" s="100" t="s">
        <v>29</v>
      </c>
      <c r="AC9" s="101">
        <f>$G8*AC8</f>
        <v>0</v>
      </c>
      <c r="AD9" s="100" t="s">
        <v>29</v>
      </c>
      <c r="AE9" s="101">
        <f>$G8*AE8</f>
        <v>0</v>
      </c>
      <c r="AF9" s="100" t="s">
        <v>29</v>
      </c>
      <c r="AG9" s="101">
        <f>$G8*AG8</f>
        <v>0</v>
      </c>
      <c r="AH9" s="326"/>
      <c r="AI9" s="329"/>
      <c r="AJ9" s="148">
        <f>(I8-H8)*G8</f>
        <v>0</v>
      </c>
      <c r="AK9" s="149">
        <f>(1-I8)*G8</f>
        <v>1701.4649999999999</v>
      </c>
      <c r="AL9" s="369"/>
      <c r="AM9" s="9" t="s">
        <v>13</v>
      </c>
      <c r="AN9" s="10">
        <v>528000000</v>
      </c>
      <c r="AO9" s="11" t="s">
        <v>15</v>
      </c>
      <c r="AP9" s="12">
        <f>SUM(AQ9:BM9)</f>
        <v>0</v>
      </c>
      <c r="AQ9" s="13" t="s">
        <v>16</v>
      </c>
      <c r="AR9" s="14"/>
      <c r="AS9" s="14" t="s">
        <v>17</v>
      </c>
      <c r="AT9" s="14"/>
      <c r="AU9" s="14" t="s">
        <v>18</v>
      </c>
      <c r="AV9" s="14"/>
      <c r="AW9" s="14" t="s">
        <v>19</v>
      </c>
      <c r="AX9" s="14"/>
      <c r="AY9" s="14" t="s">
        <v>12</v>
      </c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5"/>
      <c r="BO9" s="15"/>
      <c r="BP9" s="15"/>
      <c r="BQ9" s="15"/>
      <c r="BR9" s="15"/>
      <c r="BS9" s="15"/>
      <c r="BT9" s="15"/>
    </row>
    <row r="10" spans="1:72" ht="22.5" customHeight="1">
      <c r="A10" s="354"/>
      <c r="B10" s="357"/>
      <c r="C10" s="102" t="s">
        <v>65</v>
      </c>
      <c r="D10" s="96" t="s">
        <v>20</v>
      </c>
      <c r="E10" s="143">
        <f t="shared" ref="E10" si="2">E8-E9</f>
        <v>2906</v>
      </c>
      <c r="F10" s="103" t="s">
        <v>21</v>
      </c>
      <c r="G10" s="230">
        <f>(AP9+AP10)/1000000</f>
        <v>0</v>
      </c>
      <c r="H10" s="359"/>
      <c r="I10" s="362"/>
      <c r="J10" s="340" t="s">
        <v>22</v>
      </c>
      <c r="K10" s="342"/>
      <c r="L10" s="340" t="s">
        <v>22</v>
      </c>
      <c r="M10" s="342"/>
      <c r="N10" s="340" t="s">
        <v>22</v>
      </c>
      <c r="O10" s="342"/>
      <c r="P10" s="340" t="s">
        <v>22</v>
      </c>
      <c r="Q10" s="342"/>
      <c r="R10" s="340" t="s">
        <v>22</v>
      </c>
      <c r="S10" s="342"/>
      <c r="T10" s="340" t="s">
        <v>22</v>
      </c>
      <c r="U10" s="342" t="s">
        <v>295</v>
      </c>
      <c r="V10" s="340" t="s">
        <v>22</v>
      </c>
      <c r="W10" s="342" t="s">
        <v>190</v>
      </c>
      <c r="X10" s="340" t="s">
        <v>22</v>
      </c>
      <c r="Y10" s="342" t="s">
        <v>325</v>
      </c>
      <c r="Z10" s="340" t="s">
        <v>22</v>
      </c>
      <c r="AA10" s="342"/>
      <c r="AB10" s="340" t="s">
        <v>22</v>
      </c>
      <c r="AC10" s="342"/>
      <c r="AD10" s="340" t="s">
        <v>22</v>
      </c>
      <c r="AE10" s="342"/>
      <c r="AF10" s="340" t="s">
        <v>22</v>
      </c>
      <c r="AG10" s="342"/>
      <c r="AH10" s="327"/>
      <c r="AI10" s="329"/>
      <c r="AJ10" s="109"/>
      <c r="AK10" s="109"/>
      <c r="AL10" s="369"/>
      <c r="AM10" s="9" t="s">
        <v>20</v>
      </c>
      <c r="AN10" s="10">
        <f>AN8-AN9</f>
        <v>3196600000</v>
      </c>
      <c r="AO10" s="11" t="s">
        <v>24</v>
      </c>
      <c r="AP10" s="12"/>
      <c r="BN10" s="15"/>
      <c r="BO10" s="15"/>
      <c r="BP10" s="15"/>
      <c r="BQ10" s="15"/>
      <c r="BR10" s="15"/>
      <c r="BS10" s="15"/>
      <c r="BT10" s="15"/>
    </row>
    <row r="11" spans="1:72" ht="22.5" customHeight="1" thickBot="1">
      <c r="A11" s="355"/>
      <c r="B11" s="104" t="s">
        <v>63</v>
      </c>
      <c r="C11" s="105" t="s">
        <v>38</v>
      </c>
      <c r="D11" s="106" t="s">
        <v>25</v>
      </c>
      <c r="E11" s="145">
        <f t="shared" ref="E11" si="3">E9/E8</f>
        <v>0.14176018901358536</v>
      </c>
      <c r="F11" s="106" t="s">
        <v>26</v>
      </c>
      <c r="G11" s="145">
        <f t="shared" ref="G11" si="4">(E8-(G9+G10)/0.7)/E8</f>
        <v>1</v>
      </c>
      <c r="H11" s="360"/>
      <c r="I11" s="363"/>
      <c r="J11" s="341"/>
      <c r="K11" s="343"/>
      <c r="L11" s="341"/>
      <c r="M11" s="343"/>
      <c r="N11" s="341"/>
      <c r="O11" s="343"/>
      <c r="P11" s="341"/>
      <c r="Q11" s="343"/>
      <c r="R11" s="341"/>
      <c r="S11" s="343"/>
      <c r="T11" s="341"/>
      <c r="U11" s="343"/>
      <c r="V11" s="341"/>
      <c r="W11" s="343"/>
      <c r="X11" s="341"/>
      <c r="Y11" s="343"/>
      <c r="Z11" s="341"/>
      <c r="AA11" s="343"/>
      <c r="AB11" s="341"/>
      <c r="AC11" s="343"/>
      <c r="AD11" s="341"/>
      <c r="AE11" s="343"/>
      <c r="AF11" s="341"/>
      <c r="AG11" s="343"/>
      <c r="AH11" s="138">
        <f>(I8-E11)*E8</f>
        <v>637.38</v>
      </c>
      <c r="AI11" s="371"/>
      <c r="AJ11" s="109"/>
      <c r="AK11" s="109"/>
      <c r="AL11" s="370"/>
      <c r="AM11" s="9"/>
      <c r="AN11" s="18">
        <f>AN9/AN8</f>
        <v>0.14176018901358536</v>
      </c>
      <c r="AO11" s="16" t="s">
        <v>27</v>
      </c>
      <c r="AP11" s="17">
        <f>SUM(AP8:AP10)</f>
        <v>0</v>
      </c>
    </row>
    <row r="12" spans="1:72" ht="22.5" customHeight="1">
      <c r="A12" s="353">
        <v>3</v>
      </c>
      <c r="B12" s="356" t="s">
        <v>77</v>
      </c>
      <c r="C12" s="108" t="s">
        <v>64</v>
      </c>
      <c r="D12" s="89" t="s">
        <v>7</v>
      </c>
      <c r="E12" s="141">
        <f t="shared" ref="E12:E13" si="5">AN12/1100000</f>
        <v>416.09090909090907</v>
      </c>
      <c r="F12" s="91" t="s">
        <v>8</v>
      </c>
      <c r="G12" s="142">
        <f t="shared" ref="G12" si="6">E12*0.75-(G13+G14)</f>
        <v>112.06818181818181</v>
      </c>
      <c r="H12" s="358">
        <v>0.3</v>
      </c>
      <c r="I12" s="361">
        <f>H12+K12+M12+O12+Q12+S12+U12+W12+Y12+AA12+AC12+AE12+AG12</f>
        <v>0.3</v>
      </c>
      <c r="J12" s="93" t="s">
        <v>41</v>
      </c>
      <c r="K12" s="94"/>
      <c r="L12" s="93" t="s">
        <v>41</v>
      </c>
      <c r="M12" s="94"/>
      <c r="N12" s="93" t="s">
        <v>41</v>
      </c>
      <c r="O12" s="94"/>
      <c r="P12" s="93" t="s">
        <v>41</v>
      </c>
      <c r="Q12" s="94"/>
      <c r="R12" s="93" t="s">
        <v>41</v>
      </c>
      <c r="S12" s="94"/>
      <c r="T12" s="93" t="s">
        <v>41</v>
      </c>
      <c r="U12" s="94"/>
      <c r="V12" s="93" t="s">
        <v>41</v>
      </c>
      <c r="W12" s="94"/>
      <c r="X12" s="93" t="s">
        <v>41</v>
      </c>
      <c r="Y12" s="94"/>
      <c r="Z12" s="93" t="s">
        <v>41</v>
      </c>
      <c r="AA12" s="94"/>
      <c r="AB12" s="93" t="s">
        <v>41</v>
      </c>
      <c r="AC12" s="94"/>
      <c r="AD12" s="93" t="s">
        <v>41</v>
      </c>
      <c r="AE12" s="94"/>
      <c r="AF12" s="93" t="s">
        <v>41</v>
      </c>
      <c r="AG12" s="94"/>
      <c r="AH12" s="328" t="s">
        <v>298</v>
      </c>
      <c r="AI12" s="325" t="s">
        <v>82</v>
      </c>
      <c r="AJ12" s="146" t="s">
        <v>283</v>
      </c>
      <c r="AK12" s="147" t="s">
        <v>284</v>
      </c>
      <c r="AL12" s="368" t="s">
        <v>75</v>
      </c>
      <c r="AM12" s="9" t="s">
        <v>7</v>
      </c>
      <c r="AN12" s="10">
        <v>457700000</v>
      </c>
      <c r="AO12" s="11" t="s">
        <v>9</v>
      </c>
      <c r="AP12" s="12">
        <f>SUM(AQ12:BM12)</f>
        <v>0</v>
      </c>
      <c r="AQ12" s="13" t="s">
        <v>10</v>
      </c>
      <c r="AR12" s="14"/>
      <c r="AS12" s="14" t="s">
        <v>11</v>
      </c>
      <c r="AT12" s="14"/>
      <c r="AU12" s="14" t="s">
        <v>12</v>
      </c>
      <c r="AV12" s="14"/>
      <c r="AW12" s="14" t="s">
        <v>12</v>
      </c>
      <c r="AX12" s="14"/>
      <c r="AY12" s="14" t="s">
        <v>12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</row>
    <row r="13" spans="1:72" ht="22.5" customHeight="1" thickBot="1">
      <c r="A13" s="354"/>
      <c r="B13" s="357"/>
      <c r="C13" s="102" t="s">
        <v>213</v>
      </c>
      <c r="D13" s="96" t="s">
        <v>13</v>
      </c>
      <c r="E13" s="143">
        <f t="shared" si="5"/>
        <v>156.73454545454547</v>
      </c>
      <c r="F13" s="98" t="s">
        <v>14</v>
      </c>
      <c r="G13" s="230">
        <f>AP12/1000000</f>
        <v>0</v>
      </c>
      <c r="H13" s="359"/>
      <c r="I13" s="362"/>
      <c r="J13" s="100" t="s">
        <v>29</v>
      </c>
      <c r="K13" s="101">
        <f>$G12*K12</f>
        <v>0</v>
      </c>
      <c r="L13" s="100" t="s">
        <v>29</v>
      </c>
      <c r="M13" s="101">
        <f>$G12*M12</f>
        <v>0</v>
      </c>
      <c r="N13" s="100" t="s">
        <v>29</v>
      </c>
      <c r="O13" s="101">
        <f>$G12*O12</f>
        <v>0</v>
      </c>
      <c r="P13" s="100" t="s">
        <v>29</v>
      </c>
      <c r="Q13" s="101">
        <f>$G12*Q12</f>
        <v>0</v>
      </c>
      <c r="R13" s="100" t="s">
        <v>29</v>
      </c>
      <c r="S13" s="101">
        <f>$G12*S12</f>
        <v>0</v>
      </c>
      <c r="T13" s="100" t="s">
        <v>29</v>
      </c>
      <c r="U13" s="101">
        <f>$G12*U12</f>
        <v>0</v>
      </c>
      <c r="V13" s="100" t="s">
        <v>29</v>
      </c>
      <c r="W13" s="144">
        <f>$G12*W12</f>
        <v>0</v>
      </c>
      <c r="X13" s="100" t="s">
        <v>29</v>
      </c>
      <c r="Y13" s="101">
        <f>$G12*Y12</f>
        <v>0</v>
      </c>
      <c r="Z13" s="100" t="s">
        <v>29</v>
      </c>
      <c r="AA13" s="101">
        <f>$G12*AA12</f>
        <v>0</v>
      </c>
      <c r="AB13" s="100" t="s">
        <v>29</v>
      </c>
      <c r="AC13" s="101">
        <f>$G12*AC12</f>
        <v>0</v>
      </c>
      <c r="AD13" s="100" t="s">
        <v>29</v>
      </c>
      <c r="AE13" s="101">
        <f>$G12*AE12</f>
        <v>0</v>
      </c>
      <c r="AF13" s="100" t="s">
        <v>29</v>
      </c>
      <c r="AG13" s="101">
        <f>$G12*AG12</f>
        <v>0</v>
      </c>
      <c r="AH13" s="326"/>
      <c r="AI13" s="329"/>
      <c r="AJ13" s="148">
        <f>(I12-H12)*G12</f>
        <v>0</v>
      </c>
      <c r="AK13" s="149">
        <f>(1-I12)*G12</f>
        <v>78.447727272727263</v>
      </c>
      <c r="AL13" s="369"/>
      <c r="AM13" s="9" t="s">
        <v>13</v>
      </c>
      <c r="AN13" s="10">
        <v>172408000</v>
      </c>
      <c r="AO13" s="11" t="s">
        <v>15</v>
      </c>
      <c r="AP13" s="12">
        <f>SUM(AQ13:BM13)</f>
        <v>200000000</v>
      </c>
      <c r="AQ13" s="13" t="s">
        <v>80</v>
      </c>
      <c r="AR13" s="14">
        <v>100000000</v>
      </c>
      <c r="AS13" s="14" t="s">
        <v>81</v>
      </c>
      <c r="AT13" s="14">
        <v>100000000</v>
      </c>
      <c r="AU13" s="14" t="s">
        <v>18</v>
      </c>
      <c r="AV13" s="14"/>
      <c r="AW13" s="14" t="s">
        <v>19</v>
      </c>
      <c r="AX13" s="14"/>
      <c r="AY13" s="14" t="s">
        <v>12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5"/>
      <c r="BO13" s="15"/>
      <c r="BP13" s="15"/>
      <c r="BQ13" s="15"/>
      <c r="BR13" s="15"/>
      <c r="BS13" s="15"/>
      <c r="BT13" s="15"/>
    </row>
    <row r="14" spans="1:72" ht="22.5" customHeight="1">
      <c r="A14" s="354"/>
      <c r="B14" s="357"/>
      <c r="C14" s="102" t="s">
        <v>79</v>
      </c>
      <c r="D14" s="96" t="s">
        <v>20</v>
      </c>
      <c r="E14" s="143">
        <f t="shared" ref="E14" si="7">E12-E13</f>
        <v>259.3563636363636</v>
      </c>
      <c r="F14" s="103" t="s">
        <v>21</v>
      </c>
      <c r="G14" s="230">
        <f>(AP13+AP14)/1000000</f>
        <v>200</v>
      </c>
      <c r="H14" s="359"/>
      <c r="I14" s="362"/>
      <c r="J14" s="340" t="s">
        <v>22</v>
      </c>
      <c r="K14" s="342"/>
      <c r="L14" s="340" t="s">
        <v>22</v>
      </c>
      <c r="M14" s="342"/>
      <c r="N14" s="340" t="s">
        <v>22</v>
      </c>
      <c r="O14" s="342"/>
      <c r="P14" s="340" t="s">
        <v>22</v>
      </c>
      <c r="Q14" s="342"/>
      <c r="R14" s="340" t="s">
        <v>22</v>
      </c>
      <c r="S14" s="342"/>
      <c r="T14" s="340" t="s">
        <v>22</v>
      </c>
      <c r="U14" s="342"/>
      <c r="V14" s="340" t="s">
        <v>22</v>
      </c>
      <c r="W14" s="342" t="s">
        <v>87</v>
      </c>
      <c r="X14" s="340" t="s">
        <v>22</v>
      </c>
      <c r="Y14" s="342" t="s">
        <v>87</v>
      </c>
      <c r="Z14" s="340" t="s">
        <v>22</v>
      </c>
      <c r="AA14" s="342"/>
      <c r="AB14" s="340" t="s">
        <v>22</v>
      </c>
      <c r="AC14" s="342"/>
      <c r="AD14" s="340" t="s">
        <v>22</v>
      </c>
      <c r="AE14" s="342"/>
      <c r="AF14" s="340" t="s">
        <v>22</v>
      </c>
      <c r="AG14" s="342"/>
      <c r="AH14" s="327"/>
      <c r="AI14" s="329"/>
      <c r="AJ14" s="109"/>
      <c r="AK14" s="109"/>
      <c r="AL14" s="369"/>
      <c r="AM14" s="9" t="s">
        <v>20</v>
      </c>
      <c r="AN14" s="10">
        <f>AN12-AN13</f>
        <v>285292000</v>
      </c>
      <c r="AO14" s="11" t="s">
        <v>24</v>
      </c>
      <c r="AP14" s="12"/>
      <c r="BN14" s="15"/>
      <c r="BO14" s="15"/>
      <c r="BP14" s="15"/>
      <c r="BQ14" s="15"/>
      <c r="BR14" s="15"/>
      <c r="BS14" s="15"/>
      <c r="BT14" s="15"/>
    </row>
    <row r="15" spans="1:72" ht="22.5" customHeight="1" thickBot="1">
      <c r="A15" s="355"/>
      <c r="B15" s="104" t="s">
        <v>63</v>
      </c>
      <c r="C15" s="105" t="s">
        <v>38</v>
      </c>
      <c r="D15" s="106" t="s">
        <v>25</v>
      </c>
      <c r="E15" s="145">
        <f t="shared" ref="E15" si="8">E13/E12</f>
        <v>0.37668341708542719</v>
      </c>
      <c r="F15" s="106" t="s">
        <v>26</v>
      </c>
      <c r="G15" s="145">
        <f t="shared" ref="G15" si="9">(E12-(G13+G14)/0.7)/E12</f>
        <v>0.31333687068884791</v>
      </c>
      <c r="H15" s="360"/>
      <c r="I15" s="363"/>
      <c r="J15" s="341"/>
      <c r="K15" s="343"/>
      <c r="L15" s="341"/>
      <c r="M15" s="343"/>
      <c r="N15" s="341"/>
      <c r="O15" s="343"/>
      <c r="P15" s="341"/>
      <c r="Q15" s="343"/>
      <c r="R15" s="341"/>
      <c r="S15" s="343"/>
      <c r="T15" s="341"/>
      <c r="U15" s="343"/>
      <c r="V15" s="341"/>
      <c r="W15" s="343"/>
      <c r="X15" s="341"/>
      <c r="Y15" s="343"/>
      <c r="Z15" s="341"/>
      <c r="AA15" s="343"/>
      <c r="AB15" s="341"/>
      <c r="AC15" s="343"/>
      <c r="AD15" s="341"/>
      <c r="AE15" s="343"/>
      <c r="AF15" s="341"/>
      <c r="AG15" s="343"/>
      <c r="AH15" s="138">
        <f>(I12-E15)*E12</f>
        <v>-31.907272727272751</v>
      </c>
      <c r="AI15" s="371"/>
      <c r="AJ15" s="109"/>
      <c r="AK15" s="109"/>
      <c r="AL15" s="370"/>
      <c r="AM15" s="9"/>
      <c r="AN15" s="18">
        <f>AN13/AN12</f>
        <v>0.37668341708542713</v>
      </c>
      <c r="AO15" s="16" t="s">
        <v>27</v>
      </c>
      <c r="AP15" s="17">
        <f>SUM(AP12:AP14)</f>
        <v>200000000</v>
      </c>
    </row>
    <row r="16" spans="1:72" ht="22.5" customHeight="1">
      <c r="A16" s="353">
        <v>4</v>
      </c>
      <c r="B16" s="356" t="s">
        <v>83</v>
      </c>
      <c r="C16" s="108" t="s">
        <v>84</v>
      </c>
      <c r="D16" s="89" t="s">
        <v>7</v>
      </c>
      <c r="E16" s="141">
        <f t="shared" ref="E16:E17" si="10">AN16/1100000</f>
        <v>177.81818181818181</v>
      </c>
      <c r="F16" s="91" t="s">
        <v>8</v>
      </c>
      <c r="G16" s="142">
        <f t="shared" ref="G16" si="11">E16*0.75-(G17+G18)</f>
        <v>73.363636363636374</v>
      </c>
      <c r="H16" s="358">
        <v>0.6</v>
      </c>
      <c r="I16" s="361">
        <f>H16+K16+M16+O16+Q16+S16+U16+W16+Y16+AA16+AC16+AE16+AG16</f>
        <v>0.6</v>
      </c>
      <c r="J16" s="93" t="s">
        <v>41</v>
      </c>
      <c r="K16" s="94"/>
      <c r="L16" s="93" t="s">
        <v>41</v>
      </c>
      <c r="M16" s="94"/>
      <c r="N16" s="93" t="s">
        <v>41</v>
      </c>
      <c r="O16" s="94"/>
      <c r="P16" s="93" t="s">
        <v>41</v>
      </c>
      <c r="Q16" s="94"/>
      <c r="R16" s="93" t="s">
        <v>41</v>
      </c>
      <c r="S16" s="94"/>
      <c r="T16" s="93" t="s">
        <v>41</v>
      </c>
      <c r="U16" s="94"/>
      <c r="V16" s="93" t="s">
        <v>41</v>
      </c>
      <c r="W16" s="94"/>
      <c r="X16" s="93" t="s">
        <v>41</v>
      </c>
      <c r="Y16" s="94"/>
      <c r="Z16" s="93" t="s">
        <v>41</v>
      </c>
      <c r="AA16" s="94"/>
      <c r="AB16" s="93" t="s">
        <v>41</v>
      </c>
      <c r="AC16" s="94"/>
      <c r="AD16" s="93" t="s">
        <v>41</v>
      </c>
      <c r="AE16" s="94"/>
      <c r="AF16" s="93" t="s">
        <v>41</v>
      </c>
      <c r="AG16" s="94"/>
      <c r="AH16" s="328" t="s">
        <v>298</v>
      </c>
      <c r="AI16" s="325" t="s">
        <v>82</v>
      </c>
      <c r="AJ16" s="146" t="s">
        <v>283</v>
      </c>
      <c r="AK16" s="147" t="s">
        <v>284</v>
      </c>
      <c r="AL16" s="368" t="s">
        <v>76</v>
      </c>
      <c r="AM16" s="9" t="s">
        <v>7</v>
      </c>
      <c r="AN16" s="10">
        <v>195600000</v>
      </c>
      <c r="AO16" s="11" t="s">
        <v>9</v>
      </c>
      <c r="AP16" s="12">
        <f>SUM(AQ16:BM16)</f>
        <v>0</v>
      </c>
      <c r="AQ16" s="13" t="s">
        <v>10</v>
      </c>
      <c r="AR16" s="14"/>
      <c r="AS16" s="14" t="s">
        <v>11</v>
      </c>
      <c r="AT16" s="14"/>
      <c r="AU16" s="14" t="s">
        <v>12</v>
      </c>
      <c r="AV16" s="14"/>
      <c r="AW16" s="14" t="s">
        <v>12</v>
      </c>
      <c r="AX16" s="14"/>
      <c r="AY16" s="14" t="s">
        <v>12</v>
      </c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</row>
    <row r="17" spans="1:72" ht="22.5" customHeight="1" thickBot="1">
      <c r="A17" s="354"/>
      <c r="B17" s="357"/>
      <c r="C17" s="102" t="s">
        <v>214</v>
      </c>
      <c r="D17" s="96" t="s">
        <v>13</v>
      </c>
      <c r="E17" s="143">
        <f t="shared" si="10"/>
        <v>17.727272727272727</v>
      </c>
      <c r="F17" s="98" t="s">
        <v>14</v>
      </c>
      <c r="G17" s="230">
        <f>AP16/1000000</f>
        <v>0</v>
      </c>
      <c r="H17" s="359"/>
      <c r="I17" s="362"/>
      <c r="J17" s="100" t="s">
        <v>29</v>
      </c>
      <c r="K17" s="101">
        <f>$G16*K16</f>
        <v>0</v>
      </c>
      <c r="L17" s="100" t="s">
        <v>29</v>
      </c>
      <c r="M17" s="101">
        <f>$G16*M16</f>
        <v>0</v>
      </c>
      <c r="N17" s="100" t="s">
        <v>29</v>
      </c>
      <c r="O17" s="101">
        <f>$G16*O16</f>
        <v>0</v>
      </c>
      <c r="P17" s="100" t="s">
        <v>29</v>
      </c>
      <c r="Q17" s="101">
        <f>$G16*Q16</f>
        <v>0</v>
      </c>
      <c r="R17" s="100" t="s">
        <v>29</v>
      </c>
      <c r="S17" s="101">
        <f>$G16*S16</f>
        <v>0</v>
      </c>
      <c r="T17" s="100" t="s">
        <v>29</v>
      </c>
      <c r="U17" s="101">
        <f>$G16*U16</f>
        <v>0</v>
      </c>
      <c r="V17" s="100" t="s">
        <v>29</v>
      </c>
      <c r="W17" s="144">
        <f>$G16*W16</f>
        <v>0</v>
      </c>
      <c r="X17" s="100" t="s">
        <v>29</v>
      </c>
      <c r="Y17" s="101">
        <f>$G16*Y16</f>
        <v>0</v>
      </c>
      <c r="Z17" s="100" t="s">
        <v>29</v>
      </c>
      <c r="AA17" s="101">
        <f>$G16*AA16</f>
        <v>0</v>
      </c>
      <c r="AB17" s="100" t="s">
        <v>29</v>
      </c>
      <c r="AC17" s="101">
        <f>$G16*AC16</f>
        <v>0</v>
      </c>
      <c r="AD17" s="100" t="s">
        <v>29</v>
      </c>
      <c r="AE17" s="101">
        <f>$G16*AE16</f>
        <v>0</v>
      </c>
      <c r="AF17" s="100" t="s">
        <v>29</v>
      </c>
      <c r="AG17" s="101">
        <f>$G16*AG16</f>
        <v>0</v>
      </c>
      <c r="AH17" s="326"/>
      <c r="AI17" s="329"/>
      <c r="AJ17" s="148">
        <f>(I16-H16)*G16</f>
        <v>0</v>
      </c>
      <c r="AK17" s="149">
        <f>(1-I16)*G16</f>
        <v>29.345454545454551</v>
      </c>
      <c r="AL17" s="369"/>
      <c r="AM17" s="9" t="s">
        <v>13</v>
      </c>
      <c r="AN17" s="10">
        <v>19500000</v>
      </c>
      <c r="AO17" s="11" t="s">
        <v>15</v>
      </c>
      <c r="AP17" s="12">
        <f>SUM(AQ17:BM17)</f>
        <v>60000000</v>
      </c>
      <c r="AQ17" s="13" t="s">
        <v>86</v>
      </c>
      <c r="AR17" s="14">
        <v>60000000</v>
      </c>
      <c r="AS17" s="14" t="s">
        <v>17</v>
      </c>
      <c r="AT17" s="14"/>
      <c r="AU17" s="14" t="s">
        <v>18</v>
      </c>
      <c r="AV17" s="14"/>
      <c r="AW17" s="14" t="s">
        <v>19</v>
      </c>
      <c r="AX17" s="14"/>
      <c r="AY17" s="14" t="s">
        <v>12</v>
      </c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5"/>
      <c r="BO17" s="15"/>
      <c r="BP17" s="15"/>
      <c r="BQ17" s="15"/>
      <c r="BR17" s="15"/>
      <c r="BS17" s="15"/>
      <c r="BT17" s="15"/>
    </row>
    <row r="18" spans="1:72" ht="22.5" customHeight="1">
      <c r="A18" s="354"/>
      <c r="B18" s="357"/>
      <c r="C18" s="102" t="s">
        <v>65</v>
      </c>
      <c r="D18" s="96" t="s">
        <v>20</v>
      </c>
      <c r="E18" s="143">
        <f t="shared" ref="E18" si="12">E16-E17</f>
        <v>160.09090909090909</v>
      </c>
      <c r="F18" s="103" t="s">
        <v>21</v>
      </c>
      <c r="G18" s="230">
        <f>(AP17+AP18)/1000000</f>
        <v>60</v>
      </c>
      <c r="H18" s="359"/>
      <c r="I18" s="362"/>
      <c r="J18" s="340" t="s">
        <v>22</v>
      </c>
      <c r="K18" s="342"/>
      <c r="L18" s="340" t="s">
        <v>22</v>
      </c>
      <c r="M18" s="342"/>
      <c r="N18" s="340" t="s">
        <v>22</v>
      </c>
      <c r="O18" s="342"/>
      <c r="P18" s="340" t="s">
        <v>22</v>
      </c>
      <c r="Q18" s="342"/>
      <c r="R18" s="340" t="s">
        <v>22</v>
      </c>
      <c r="S18" s="342"/>
      <c r="T18" s="340" t="s">
        <v>22</v>
      </c>
      <c r="U18" s="342"/>
      <c r="V18" s="340" t="s">
        <v>22</v>
      </c>
      <c r="W18" s="342" t="s">
        <v>87</v>
      </c>
      <c r="X18" s="340" t="s">
        <v>22</v>
      </c>
      <c r="Y18" s="342" t="s">
        <v>87</v>
      </c>
      <c r="Z18" s="340" t="s">
        <v>22</v>
      </c>
      <c r="AA18" s="342"/>
      <c r="AB18" s="340" t="s">
        <v>22</v>
      </c>
      <c r="AC18" s="342"/>
      <c r="AD18" s="340" t="s">
        <v>22</v>
      </c>
      <c r="AE18" s="342"/>
      <c r="AF18" s="340" t="s">
        <v>22</v>
      </c>
      <c r="AG18" s="342"/>
      <c r="AH18" s="327"/>
      <c r="AI18" s="329"/>
      <c r="AJ18" s="109"/>
      <c r="AK18" s="109"/>
      <c r="AL18" s="369"/>
      <c r="AM18" s="9" t="s">
        <v>20</v>
      </c>
      <c r="AN18" s="10">
        <f>AN16-AN17</f>
        <v>176100000</v>
      </c>
      <c r="AO18" s="11" t="s">
        <v>24</v>
      </c>
      <c r="AP18" s="12"/>
      <c r="BN18" s="15"/>
      <c r="BO18" s="15"/>
      <c r="BP18" s="15"/>
      <c r="BQ18" s="15"/>
      <c r="BR18" s="15"/>
      <c r="BS18" s="15"/>
      <c r="BT18" s="15"/>
    </row>
    <row r="19" spans="1:72" ht="22.5" customHeight="1" thickBot="1">
      <c r="A19" s="355"/>
      <c r="B19" s="104" t="s">
        <v>63</v>
      </c>
      <c r="C19" s="105" t="s">
        <v>38</v>
      </c>
      <c r="D19" s="106" t="s">
        <v>25</v>
      </c>
      <c r="E19" s="145">
        <f t="shared" ref="E19" si="13">E17/E16</f>
        <v>9.9693251533742325E-2</v>
      </c>
      <c r="F19" s="106" t="s">
        <v>26</v>
      </c>
      <c r="G19" s="145">
        <f t="shared" ref="G19" si="14">(E16-(G17+G18)/0.7)/E16</f>
        <v>0.51796669588080624</v>
      </c>
      <c r="H19" s="360"/>
      <c r="I19" s="363"/>
      <c r="J19" s="341"/>
      <c r="K19" s="343"/>
      <c r="L19" s="341"/>
      <c r="M19" s="343"/>
      <c r="N19" s="341"/>
      <c r="O19" s="343"/>
      <c r="P19" s="341"/>
      <c r="Q19" s="343"/>
      <c r="R19" s="341"/>
      <c r="S19" s="343"/>
      <c r="T19" s="341"/>
      <c r="U19" s="343"/>
      <c r="V19" s="341"/>
      <c r="W19" s="343"/>
      <c r="X19" s="341"/>
      <c r="Y19" s="343"/>
      <c r="Z19" s="341"/>
      <c r="AA19" s="343"/>
      <c r="AB19" s="341"/>
      <c r="AC19" s="343"/>
      <c r="AD19" s="341"/>
      <c r="AE19" s="343"/>
      <c r="AF19" s="341"/>
      <c r="AG19" s="343"/>
      <c r="AH19" s="138">
        <f>(I16-E19)*E16</f>
        <v>88.963636363636354</v>
      </c>
      <c r="AI19" s="371"/>
      <c r="AJ19" s="109"/>
      <c r="AK19" s="109"/>
      <c r="AL19" s="370"/>
      <c r="AM19" s="9"/>
      <c r="AN19" s="18">
        <f>AN17/AN16</f>
        <v>9.9693251533742325E-2</v>
      </c>
      <c r="AO19" s="16" t="s">
        <v>27</v>
      </c>
      <c r="AP19" s="17">
        <f>SUM(AP16:AP18)</f>
        <v>60000000</v>
      </c>
    </row>
    <row r="20" spans="1:72" ht="22.5" customHeight="1">
      <c r="A20" s="353">
        <v>5</v>
      </c>
      <c r="B20" s="356" t="s">
        <v>140</v>
      </c>
      <c r="C20" s="108" t="s">
        <v>89</v>
      </c>
      <c r="D20" s="89" t="s">
        <v>7</v>
      </c>
      <c r="E20" s="141">
        <f t="shared" ref="E20:E21" si="15">AN20/1100000</f>
        <v>363.73032454545455</v>
      </c>
      <c r="F20" s="91" t="s">
        <v>8</v>
      </c>
      <c r="G20" s="142">
        <f t="shared" ref="G20" si="16">E20*0.75-(G21+G22)</f>
        <v>218.8872434090909</v>
      </c>
      <c r="H20" s="358">
        <v>0.9</v>
      </c>
      <c r="I20" s="361">
        <f>H20+K20+M20+O20+Q20+S20+U20+W20+Y20+AA20+AC20+AE20+AG20</f>
        <v>0.9</v>
      </c>
      <c r="J20" s="93" t="s">
        <v>41</v>
      </c>
      <c r="K20" s="94"/>
      <c r="L20" s="93" t="s">
        <v>41</v>
      </c>
      <c r="M20" s="94"/>
      <c r="N20" s="93" t="s">
        <v>41</v>
      </c>
      <c r="O20" s="94"/>
      <c r="P20" s="93" t="s">
        <v>41</v>
      </c>
      <c r="Q20" s="94"/>
      <c r="R20" s="93" t="s">
        <v>41</v>
      </c>
      <c r="S20" s="94"/>
      <c r="T20" s="93" t="s">
        <v>41</v>
      </c>
      <c r="U20" s="94"/>
      <c r="V20" s="93" t="s">
        <v>41</v>
      </c>
      <c r="W20" s="94"/>
      <c r="X20" s="93" t="s">
        <v>41</v>
      </c>
      <c r="Y20" s="94"/>
      <c r="Z20" s="93" t="s">
        <v>41</v>
      </c>
      <c r="AA20" s="94"/>
      <c r="AB20" s="93" t="s">
        <v>41</v>
      </c>
      <c r="AC20" s="94"/>
      <c r="AD20" s="93" t="s">
        <v>41</v>
      </c>
      <c r="AE20" s="94"/>
      <c r="AF20" s="93" t="s">
        <v>41</v>
      </c>
      <c r="AG20" s="94"/>
      <c r="AH20" s="328" t="s">
        <v>327</v>
      </c>
      <c r="AI20" s="325" t="s">
        <v>223</v>
      </c>
      <c r="AJ20" s="146" t="s">
        <v>283</v>
      </c>
      <c r="AK20" s="147" t="s">
        <v>284</v>
      </c>
      <c r="AL20" s="368" t="s">
        <v>93</v>
      </c>
      <c r="AM20" s="9" t="s">
        <v>7</v>
      </c>
      <c r="AN20" s="10">
        <v>400103357</v>
      </c>
      <c r="AO20" s="11" t="s">
        <v>9</v>
      </c>
      <c r="AP20" s="12">
        <f>SUM(AQ20:BM20)</f>
        <v>42910500</v>
      </c>
      <c r="AQ20" s="13" t="s">
        <v>10</v>
      </c>
      <c r="AR20" s="14">
        <v>9000000</v>
      </c>
      <c r="AS20" s="14" t="s">
        <v>11</v>
      </c>
      <c r="AT20" s="14">
        <v>33910500</v>
      </c>
      <c r="AU20" s="14" t="s">
        <v>12</v>
      </c>
      <c r="AV20" s="14"/>
      <c r="AW20" s="14" t="s">
        <v>12</v>
      </c>
      <c r="AX20" s="14"/>
      <c r="AY20" s="14" t="s">
        <v>12</v>
      </c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</row>
    <row r="21" spans="1:72" ht="22.5" customHeight="1" thickBot="1">
      <c r="A21" s="354"/>
      <c r="B21" s="357"/>
      <c r="C21" s="102" t="s">
        <v>90</v>
      </c>
      <c r="D21" s="96" t="s">
        <v>13</v>
      </c>
      <c r="E21" s="143">
        <f t="shared" si="15"/>
        <v>255.39818181818183</v>
      </c>
      <c r="F21" s="98" t="s">
        <v>14</v>
      </c>
      <c r="G21" s="230">
        <f>AP20/1000000</f>
        <v>42.910499999999999</v>
      </c>
      <c r="H21" s="359"/>
      <c r="I21" s="362"/>
      <c r="J21" s="100" t="s">
        <v>29</v>
      </c>
      <c r="K21" s="101">
        <f>$G20*K20</f>
        <v>0</v>
      </c>
      <c r="L21" s="100" t="s">
        <v>29</v>
      </c>
      <c r="M21" s="101">
        <f>$G20*M20</f>
        <v>0</v>
      </c>
      <c r="N21" s="100" t="s">
        <v>29</v>
      </c>
      <c r="O21" s="101">
        <f>$G20*O20</f>
        <v>0</v>
      </c>
      <c r="P21" s="100" t="s">
        <v>29</v>
      </c>
      <c r="Q21" s="101">
        <f>$G20*Q20</f>
        <v>0</v>
      </c>
      <c r="R21" s="100" t="s">
        <v>29</v>
      </c>
      <c r="S21" s="101">
        <f>$G20*S20</f>
        <v>0</v>
      </c>
      <c r="T21" s="100" t="s">
        <v>29</v>
      </c>
      <c r="U21" s="101">
        <f>$G20*U20</f>
        <v>0</v>
      </c>
      <c r="V21" s="100" t="s">
        <v>29</v>
      </c>
      <c r="W21" s="144">
        <f>$G20*W20</f>
        <v>0</v>
      </c>
      <c r="X21" s="100" t="s">
        <v>29</v>
      </c>
      <c r="Y21" s="101">
        <f>$G20*Y20</f>
        <v>0</v>
      </c>
      <c r="Z21" s="100" t="s">
        <v>29</v>
      </c>
      <c r="AA21" s="101">
        <f>$G20*AA20</f>
        <v>0</v>
      </c>
      <c r="AB21" s="100" t="s">
        <v>29</v>
      </c>
      <c r="AC21" s="101">
        <f>$G20*AC20</f>
        <v>0</v>
      </c>
      <c r="AD21" s="100" t="s">
        <v>29</v>
      </c>
      <c r="AE21" s="101">
        <f>$G20*AE20</f>
        <v>0</v>
      </c>
      <c r="AF21" s="100" t="s">
        <v>29</v>
      </c>
      <c r="AG21" s="101">
        <f>$G20*AG20</f>
        <v>0</v>
      </c>
      <c r="AH21" s="326"/>
      <c r="AI21" s="329"/>
      <c r="AJ21" s="148">
        <f>(I20-H20)*G20</f>
        <v>0</v>
      </c>
      <c r="AK21" s="149">
        <f>(1-I20)*G20</f>
        <v>21.888724340909086</v>
      </c>
      <c r="AL21" s="369"/>
      <c r="AM21" s="9" t="s">
        <v>13</v>
      </c>
      <c r="AN21" s="10">
        <v>280938000</v>
      </c>
      <c r="AO21" s="11" t="s">
        <v>15</v>
      </c>
      <c r="AP21" s="12">
        <f>SUM(AQ21:BM21)</f>
        <v>11000000</v>
      </c>
      <c r="AQ21" s="19" t="s">
        <v>94</v>
      </c>
      <c r="AR21" s="14">
        <v>11000000</v>
      </c>
      <c r="AS21" s="14" t="s">
        <v>67</v>
      </c>
      <c r="AT21" s="14"/>
      <c r="AU21" s="14" t="s">
        <v>68</v>
      </c>
      <c r="AV21" s="14"/>
      <c r="AW21" s="14" t="s">
        <v>69</v>
      </c>
      <c r="AX21" s="14"/>
      <c r="AY21" s="14" t="s">
        <v>69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5"/>
      <c r="BO21" s="15"/>
      <c r="BP21" s="15"/>
      <c r="BQ21" s="15"/>
      <c r="BR21" s="15"/>
      <c r="BS21" s="15"/>
      <c r="BT21" s="15"/>
    </row>
    <row r="22" spans="1:72" ht="22.5" customHeight="1">
      <c r="A22" s="354"/>
      <c r="B22" s="357"/>
      <c r="C22" s="102" t="s">
        <v>91</v>
      </c>
      <c r="D22" s="96" t="s">
        <v>20</v>
      </c>
      <c r="E22" s="143">
        <f t="shared" ref="E22" si="17">E20-E21</f>
        <v>108.33214272727272</v>
      </c>
      <c r="F22" s="103" t="s">
        <v>21</v>
      </c>
      <c r="G22" s="230">
        <f>(AP21+AP22)/1000000</f>
        <v>11</v>
      </c>
      <c r="H22" s="359"/>
      <c r="I22" s="362"/>
      <c r="J22" s="340" t="s">
        <v>22</v>
      </c>
      <c r="K22" s="342" t="s">
        <v>23</v>
      </c>
      <c r="L22" s="340" t="s">
        <v>22</v>
      </c>
      <c r="M22" s="342" t="s">
        <v>23</v>
      </c>
      <c r="N22" s="340" t="s">
        <v>22</v>
      </c>
      <c r="O22" s="342" t="s">
        <v>23</v>
      </c>
      <c r="P22" s="340" t="s">
        <v>22</v>
      </c>
      <c r="Q22" s="342" t="s">
        <v>23</v>
      </c>
      <c r="R22" s="340" t="s">
        <v>22</v>
      </c>
      <c r="S22" s="342" t="s">
        <v>23</v>
      </c>
      <c r="T22" s="340" t="s">
        <v>22</v>
      </c>
      <c r="U22" s="342"/>
      <c r="V22" s="340" t="s">
        <v>22</v>
      </c>
      <c r="W22" s="342" t="s">
        <v>87</v>
      </c>
      <c r="X22" s="340" t="s">
        <v>22</v>
      </c>
      <c r="Y22" s="342" t="s">
        <v>328</v>
      </c>
      <c r="Z22" s="340" t="s">
        <v>22</v>
      </c>
      <c r="AA22" s="342" t="s">
        <v>23</v>
      </c>
      <c r="AB22" s="340" t="s">
        <v>22</v>
      </c>
      <c r="AC22" s="342" t="s">
        <v>23</v>
      </c>
      <c r="AD22" s="340" t="s">
        <v>22</v>
      </c>
      <c r="AE22" s="342" t="s">
        <v>23</v>
      </c>
      <c r="AF22" s="340" t="s">
        <v>22</v>
      </c>
      <c r="AG22" s="342" t="s">
        <v>23</v>
      </c>
      <c r="AH22" s="326"/>
      <c r="AI22" s="329"/>
      <c r="AJ22" s="109"/>
      <c r="AK22" s="109"/>
      <c r="AL22" s="369"/>
      <c r="AM22" s="9" t="s">
        <v>20</v>
      </c>
      <c r="AN22" s="10">
        <f>AN20-AN21</f>
        <v>119165357</v>
      </c>
      <c r="AO22" s="11" t="s">
        <v>24</v>
      </c>
      <c r="AP22" s="12"/>
      <c r="BN22" s="15"/>
      <c r="BO22" s="15"/>
      <c r="BP22" s="15"/>
      <c r="BQ22" s="15"/>
      <c r="BR22" s="15"/>
      <c r="BS22" s="15"/>
      <c r="BT22" s="15"/>
    </row>
    <row r="23" spans="1:72" ht="22.5" customHeight="1" thickBot="1">
      <c r="A23" s="355"/>
      <c r="B23" s="104" t="s">
        <v>88</v>
      </c>
      <c r="C23" s="105" t="s">
        <v>92</v>
      </c>
      <c r="D23" s="106" t="s">
        <v>25</v>
      </c>
      <c r="E23" s="145">
        <f t="shared" ref="E23" si="18">E21/E20</f>
        <v>0.70216356620072051</v>
      </c>
      <c r="F23" s="106" t="s">
        <v>26</v>
      </c>
      <c r="G23" s="233">
        <f t="shared" ref="G23" si="19">(E20-(G21+G22)/0.7)/E20</f>
        <v>0.78826346113361911</v>
      </c>
      <c r="H23" s="360"/>
      <c r="I23" s="363"/>
      <c r="J23" s="341"/>
      <c r="K23" s="343"/>
      <c r="L23" s="341"/>
      <c r="M23" s="343"/>
      <c r="N23" s="341"/>
      <c r="O23" s="343"/>
      <c r="P23" s="341"/>
      <c r="Q23" s="343"/>
      <c r="R23" s="341"/>
      <c r="S23" s="343"/>
      <c r="T23" s="341"/>
      <c r="U23" s="343"/>
      <c r="V23" s="341"/>
      <c r="W23" s="343"/>
      <c r="X23" s="341"/>
      <c r="Y23" s="343"/>
      <c r="Z23" s="341"/>
      <c r="AA23" s="343"/>
      <c r="AB23" s="341"/>
      <c r="AC23" s="343"/>
      <c r="AD23" s="341"/>
      <c r="AE23" s="343"/>
      <c r="AF23" s="341"/>
      <c r="AG23" s="343"/>
      <c r="AH23" s="138">
        <f>(I20-E23)*E20</f>
        <v>71.959110272727273</v>
      </c>
      <c r="AI23" s="371"/>
      <c r="AJ23" s="109"/>
      <c r="AK23" s="109"/>
      <c r="AL23" s="370"/>
      <c r="AM23" s="9"/>
      <c r="AN23" s="18">
        <f>AN21/AN20</f>
        <v>0.70216356620072051</v>
      </c>
      <c r="AO23" s="16" t="s">
        <v>27</v>
      </c>
      <c r="AP23" s="17">
        <f>SUM(AP20:AP22)</f>
        <v>53910500</v>
      </c>
    </row>
    <row r="24" spans="1:72" ht="22.5" customHeight="1">
      <c r="A24" s="353">
        <v>6</v>
      </c>
      <c r="B24" s="356" t="s">
        <v>139</v>
      </c>
      <c r="C24" s="108" t="s">
        <v>95</v>
      </c>
      <c r="D24" s="89" t="s">
        <v>7</v>
      </c>
      <c r="E24" s="141">
        <f t="shared" ref="E24:E25" si="20">AN24/1100000</f>
        <v>182.94237272727273</v>
      </c>
      <c r="F24" s="91" t="s">
        <v>8</v>
      </c>
      <c r="G24" s="142">
        <f t="shared" ref="G24" si="21">E24*0.75-(G25+G26)</f>
        <v>88.306779545454532</v>
      </c>
      <c r="H24" s="358"/>
      <c r="I24" s="361">
        <f>H24+K24+M24+O24+Q24+S24+U24+W24+Y24+AA24+AC24+AE24+AG24</f>
        <v>0.4</v>
      </c>
      <c r="J24" s="93" t="s">
        <v>41</v>
      </c>
      <c r="K24" s="94"/>
      <c r="L24" s="93" t="s">
        <v>41</v>
      </c>
      <c r="M24" s="94"/>
      <c r="N24" s="93" t="s">
        <v>41</v>
      </c>
      <c r="O24" s="94">
        <v>0.05</v>
      </c>
      <c r="P24" s="93" t="s">
        <v>41</v>
      </c>
      <c r="Q24" s="94">
        <v>0.05</v>
      </c>
      <c r="R24" s="93" t="s">
        <v>41</v>
      </c>
      <c r="S24" s="94">
        <v>0.05</v>
      </c>
      <c r="T24" s="93" t="s">
        <v>41</v>
      </c>
      <c r="U24" s="94">
        <v>0.05</v>
      </c>
      <c r="V24" s="93" t="s">
        <v>41</v>
      </c>
      <c r="W24" s="94">
        <v>0.1</v>
      </c>
      <c r="X24" s="93" t="s">
        <v>41</v>
      </c>
      <c r="Y24" s="94">
        <v>0.1</v>
      </c>
      <c r="Z24" s="93" t="s">
        <v>41</v>
      </c>
      <c r="AA24" s="94"/>
      <c r="AB24" s="93" t="s">
        <v>41</v>
      </c>
      <c r="AC24" s="94"/>
      <c r="AD24" s="93" t="s">
        <v>41</v>
      </c>
      <c r="AE24" s="94"/>
      <c r="AF24" s="93" t="s">
        <v>41</v>
      </c>
      <c r="AG24" s="94"/>
      <c r="AH24" s="325" t="s">
        <v>347</v>
      </c>
      <c r="AI24" s="325" t="s">
        <v>222</v>
      </c>
      <c r="AJ24" s="146" t="s">
        <v>283</v>
      </c>
      <c r="AK24" s="147" t="s">
        <v>284</v>
      </c>
      <c r="AL24" s="368" t="s">
        <v>97</v>
      </c>
      <c r="AM24" s="9" t="s">
        <v>7</v>
      </c>
      <c r="AN24" s="10">
        <v>201236610</v>
      </c>
      <c r="AO24" s="11" t="s">
        <v>9</v>
      </c>
      <c r="AP24" s="12">
        <f>SUM(AQ24:BM24)</f>
        <v>39900000</v>
      </c>
      <c r="AQ24" s="23" t="s">
        <v>185</v>
      </c>
      <c r="AR24" s="14">
        <v>13300000</v>
      </c>
      <c r="AS24" s="24" t="s">
        <v>183</v>
      </c>
      <c r="AT24" s="14">
        <v>26600000</v>
      </c>
      <c r="AU24" s="14" t="s">
        <v>12</v>
      </c>
      <c r="AV24" s="14"/>
      <c r="AW24" s="14" t="s">
        <v>12</v>
      </c>
      <c r="AX24" s="14"/>
      <c r="AY24" s="14" t="s">
        <v>12</v>
      </c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 spans="1:72" ht="22.5" customHeight="1" thickBot="1">
      <c r="A25" s="354"/>
      <c r="B25" s="357"/>
      <c r="C25" s="102" t="s">
        <v>96</v>
      </c>
      <c r="D25" s="96" t="s">
        <v>13</v>
      </c>
      <c r="E25" s="143">
        <f t="shared" si="20"/>
        <v>74.850909090909084</v>
      </c>
      <c r="F25" s="98" t="s">
        <v>14</v>
      </c>
      <c r="G25" s="230">
        <f>AP24/1000000</f>
        <v>39.9</v>
      </c>
      <c r="H25" s="359"/>
      <c r="I25" s="362"/>
      <c r="J25" s="100" t="s">
        <v>29</v>
      </c>
      <c r="K25" s="101">
        <f>$G24*K24</f>
        <v>0</v>
      </c>
      <c r="L25" s="100" t="s">
        <v>29</v>
      </c>
      <c r="M25" s="101">
        <f>$G24*M24</f>
        <v>0</v>
      </c>
      <c r="N25" s="100" t="s">
        <v>29</v>
      </c>
      <c r="O25" s="101">
        <f>$G24*O24</f>
        <v>4.415338977272727</v>
      </c>
      <c r="P25" s="100" t="s">
        <v>29</v>
      </c>
      <c r="Q25" s="101">
        <f>$G24*Q24</f>
        <v>4.415338977272727</v>
      </c>
      <c r="R25" s="100" t="s">
        <v>29</v>
      </c>
      <c r="S25" s="101">
        <f>$G24*S24</f>
        <v>4.415338977272727</v>
      </c>
      <c r="T25" s="100" t="s">
        <v>29</v>
      </c>
      <c r="U25" s="101">
        <f>$G24*U24</f>
        <v>4.415338977272727</v>
      </c>
      <c r="V25" s="100" t="s">
        <v>29</v>
      </c>
      <c r="W25" s="144">
        <f>$G24*W24</f>
        <v>8.8306779545454539</v>
      </c>
      <c r="X25" s="100" t="s">
        <v>29</v>
      </c>
      <c r="Y25" s="101">
        <f>$G24*Y24</f>
        <v>8.8306779545454539</v>
      </c>
      <c r="Z25" s="100" t="s">
        <v>29</v>
      </c>
      <c r="AA25" s="101">
        <f>$G24*AA24</f>
        <v>0</v>
      </c>
      <c r="AB25" s="100" t="s">
        <v>29</v>
      </c>
      <c r="AC25" s="101">
        <f>$G24*AC24</f>
        <v>0</v>
      </c>
      <c r="AD25" s="100" t="s">
        <v>29</v>
      </c>
      <c r="AE25" s="101">
        <f>$G24*AE24</f>
        <v>0</v>
      </c>
      <c r="AF25" s="100" t="s">
        <v>29</v>
      </c>
      <c r="AG25" s="101">
        <f>$G24*AG24</f>
        <v>0</v>
      </c>
      <c r="AH25" s="329"/>
      <c r="AI25" s="329"/>
      <c r="AJ25" s="148">
        <f>(I24-H24)*G24</f>
        <v>35.322711818181816</v>
      </c>
      <c r="AK25" s="149">
        <f>(1-I24)*G24</f>
        <v>52.984067727272716</v>
      </c>
      <c r="AL25" s="369"/>
      <c r="AM25" s="9" t="s">
        <v>13</v>
      </c>
      <c r="AN25" s="10">
        <v>82336000</v>
      </c>
      <c r="AO25" s="11" t="s">
        <v>15</v>
      </c>
      <c r="AP25" s="12">
        <f>SUM(AQ25:BM25)</f>
        <v>9000000</v>
      </c>
      <c r="AQ25" s="23" t="s">
        <v>186</v>
      </c>
      <c r="AR25" s="14">
        <v>3000000</v>
      </c>
      <c r="AS25" s="24" t="s">
        <v>187</v>
      </c>
      <c r="AT25" s="14">
        <v>6000000</v>
      </c>
      <c r="AU25" s="14" t="s">
        <v>18</v>
      </c>
      <c r="AV25" s="14"/>
      <c r="AW25" s="14" t="s">
        <v>19</v>
      </c>
      <c r="AX25" s="14"/>
      <c r="AY25" s="14" t="s">
        <v>12</v>
      </c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5"/>
      <c r="BO25" s="15"/>
      <c r="BP25" s="15"/>
      <c r="BQ25" s="15"/>
      <c r="BR25" s="15"/>
      <c r="BS25" s="15"/>
      <c r="BT25" s="15"/>
    </row>
    <row r="26" spans="1:72" ht="22.5" customHeight="1">
      <c r="A26" s="354"/>
      <c r="B26" s="357"/>
      <c r="C26" s="102" t="s">
        <v>37</v>
      </c>
      <c r="D26" s="96" t="s">
        <v>20</v>
      </c>
      <c r="E26" s="143">
        <f t="shared" ref="E26" si="22">E24-E25</f>
        <v>108.09146363636364</v>
      </c>
      <c r="F26" s="103" t="s">
        <v>21</v>
      </c>
      <c r="G26" s="230">
        <f>(AP25+AP26)/1000000</f>
        <v>9</v>
      </c>
      <c r="H26" s="359"/>
      <c r="I26" s="362"/>
      <c r="J26" s="340" t="s">
        <v>22</v>
      </c>
      <c r="K26" s="342"/>
      <c r="L26" s="340" t="s">
        <v>22</v>
      </c>
      <c r="M26" s="342"/>
      <c r="N26" s="340" t="s">
        <v>22</v>
      </c>
      <c r="O26" s="342"/>
      <c r="P26" s="340" t="s">
        <v>22</v>
      </c>
      <c r="Q26" s="342"/>
      <c r="R26" s="340" t="s">
        <v>22</v>
      </c>
      <c r="S26" s="342"/>
      <c r="T26" s="340" t="s">
        <v>22</v>
      </c>
      <c r="U26" s="342" t="s">
        <v>296</v>
      </c>
      <c r="V26" s="340" t="s">
        <v>22</v>
      </c>
      <c r="W26" s="342" t="s">
        <v>296</v>
      </c>
      <c r="X26" s="340" t="s">
        <v>22</v>
      </c>
      <c r="Y26" s="342" t="s">
        <v>188</v>
      </c>
      <c r="Z26" s="340" t="s">
        <v>22</v>
      </c>
      <c r="AA26" s="342"/>
      <c r="AB26" s="340" t="s">
        <v>22</v>
      </c>
      <c r="AC26" s="342"/>
      <c r="AD26" s="340" t="s">
        <v>22</v>
      </c>
      <c r="AE26" s="342"/>
      <c r="AF26" s="340" t="s">
        <v>22</v>
      </c>
      <c r="AG26" s="342"/>
      <c r="AH26" s="329"/>
      <c r="AI26" s="329"/>
      <c r="AJ26" s="109"/>
      <c r="AK26" s="109"/>
      <c r="AL26" s="369"/>
      <c r="AM26" s="9" t="s">
        <v>20</v>
      </c>
      <c r="AN26" s="10">
        <f>AN24-AN25</f>
        <v>118900610</v>
      </c>
      <c r="AO26" s="11" t="s">
        <v>24</v>
      </c>
      <c r="AP26" s="12"/>
      <c r="BN26" s="15"/>
      <c r="BO26" s="15"/>
      <c r="BP26" s="15"/>
      <c r="BQ26" s="15"/>
      <c r="BR26" s="15"/>
      <c r="BS26" s="15"/>
      <c r="BT26" s="15"/>
    </row>
    <row r="27" spans="1:72" ht="22.5" customHeight="1" thickBot="1">
      <c r="A27" s="355"/>
      <c r="B27" s="104" t="s">
        <v>88</v>
      </c>
      <c r="C27" s="105" t="s">
        <v>38</v>
      </c>
      <c r="D27" s="106" t="s">
        <v>25</v>
      </c>
      <c r="E27" s="145">
        <f t="shared" ref="E27" si="23">E25/E24</f>
        <v>0.4091502038321953</v>
      </c>
      <c r="F27" s="106" t="s">
        <v>26</v>
      </c>
      <c r="G27" s="145">
        <f t="shared" ref="G27" si="24">(E24-(G25+G26)/0.7)/E24</f>
        <v>0.61814673213359561</v>
      </c>
      <c r="H27" s="360"/>
      <c r="I27" s="363"/>
      <c r="J27" s="341"/>
      <c r="K27" s="343"/>
      <c r="L27" s="341"/>
      <c r="M27" s="343"/>
      <c r="N27" s="341"/>
      <c r="O27" s="343"/>
      <c r="P27" s="341"/>
      <c r="Q27" s="343"/>
      <c r="R27" s="341"/>
      <c r="S27" s="343"/>
      <c r="T27" s="341"/>
      <c r="U27" s="343"/>
      <c r="V27" s="341"/>
      <c r="W27" s="343"/>
      <c r="X27" s="341"/>
      <c r="Y27" s="343"/>
      <c r="Z27" s="341"/>
      <c r="AA27" s="343"/>
      <c r="AB27" s="341"/>
      <c r="AC27" s="343"/>
      <c r="AD27" s="341"/>
      <c r="AE27" s="343"/>
      <c r="AF27" s="341"/>
      <c r="AG27" s="343"/>
      <c r="AH27" s="138">
        <f>(I24-E27)*E24</f>
        <v>-1.6739599999999883</v>
      </c>
      <c r="AI27" s="371"/>
      <c r="AJ27" s="109"/>
      <c r="AK27" s="109"/>
      <c r="AL27" s="370"/>
      <c r="AM27" s="9"/>
      <c r="AN27" s="18">
        <f>AN25/AN24</f>
        <v>0.40915020383219536</v>
      </c>
      <c r="AO27" s="16" t="s">
        <v>27</v>
      </c>
      <c r="AP27" s="17">
        <f>SUM(AP24:AP26)</f>
        <v>48900000</v>
      </c>
    </row>
    <row r="28" spans="1:72" ht="22.5" customHeight="1">
      <c r="A28" s="353">
        <v>7</v>
      </c>
      <c r="B28" s="356" t="s">
        <v>98</v>
      </c>
      <c r="C28" s="108" t="s">
        <v>100</v>
      </c>
      <c r="D28" s="89" t="s">
        <v>7</v>
      </c>
      <c r="E28" s="141">
        <f t="shared" ref="E28:E29" si="25">AN28/1100000</f>
        <v>116.20545454545454</v>
      </c>
      <c r="F28" s="91" t="s">
        <v>8</v>
      </c>
      <c r="G28" s="142">
        <f t="shared" ref="G28" si="26">E28*0.75-(G29+G30)</f>
        <v>16.364090909090919</v>
      </c>
      <c r="H28" s="358"/>
      <c r="I28" s="361">
        <f>H28+K28+M28+O28+Q28+S28+U28+W28+Y28+AA28+AC28+AE28+AG28</f>
        <v>0.5</v>
      </c>
      <c r="J28" s="93" t="s">
        <v>41</v>
      </c>
      <c r="K28" s="94"/>
      <c r="L28" s="93" t="s">
        <v>41</v>
      </c>
      <c r="M28" s="94">
        <v>0.05</v>
      </c>
      <c r="N28" s="93" t="s">
        <v>41</v>
      </c>
      <c r="O28" s="94">
        <v>0.05</v>
      </c>
      <c r="P28" s="93" t="s">
        <v>41</v>
      </c>
      <c r="Q28" s="94">
        <v>0.05</v>
      </c>
      <c r="R28" s="93" t="s">
        <v>41</v>
      </c>
      <c r="S28" s="94">
        <v>0.05</v>
      </c>
      <c r="T28" s="93" t="s">
        <v>41</v>
      </c>
      <c r="U28" s="94">
        <v>0.1</v>
      </c>
      <c r="V28" s="93" t="s">
        <v>41</v>
      </c>
      <c r="W28" s="94">
        <v>0.1</v>
      </c>
      <c r="X28" s="93" t="s">
        <v>41</v>
      </c>
      <c r="Y28" s="94">
        <v>0.1</v>
      </c>
      <c r="Z28" s="93" t="s">
        <v>41</v>
      </c>
      <c r="AA28" s="94"/>
      <c r="AB28" s="93" t="s">
        <v>41</v>
      </c>
      <c r="AC28" s="94"/>
      <c r="AD28" s="93" t="s">
        <v>41</v>
      </c>
      <c r="AE28" s="94"/>
      <c r="AF28" s="93" t="s">
        <v>41</v>
      </c>
      <c r="AG28" s="94"/>
      <c r="AH28" s="330" t="s">
        <v>299</v>
      </c>
      <c r="AI28" s="325" t="s">
        <v>221</v>
      </c>
      <c r="AJ28" s="146" t="s">
        <v>283</v>
      </c>
      <c r="AK28" s="147" t="s">
        <v>284</v>
      </c>
      <c r="AL28" s="368" t="s">
        <v>103</v>
      </c>
      <c r="AM28" s="9" t="s">
        <v>7</v>
      </c>
      <c r="AN28" s="10">
        <v>127826000</v>
      </c>
      <c r="AO28" s="11" t="s">
        <v>9</v>
      </c>
      <c r="AP28" s="12">
        <f>SUM(AQ28:BM28)</f>
        <v>29790000</v>
      </c>
      <c r="AQ28" s="13" t="s">
        <v>10</v>
      </c>
      <c r="AR28" s="14">
        <v>8630000</v>
      </c>
      <c r="AS28" s="24" t="s">
        <v>183</v>
      </c>
      <c r="AT28" s="14">
        <v>21160000</v>
      </c>
      <c r="AU28" s="14" t="s">
        <v>12</v>
      </c>
      <c r="AV28" s="14"/>
      <c r="AW28" s="14" t="s">
        <v>12</v>
      </c>
      <c r="AX28" s="14"/>
      <c r="AY28" s="14" t="s">
        <v>12</v>
      </c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</row>
    <row r="29" spans="1:72" ht="22.5" customHeight="1" thickBot="1">
      <c r="A29" s="354"/>
      <c r="B29" s="357"/>
      <c r="C29" s="102" t="s">
        <v>101</v>
      </c>
      <c r="D29" s="96" t="s">
        <v>13</v>
      </c>
      <c r="E29" s="143">
        <f t="shared" si="25"/>
        <v>34.854545454545452</v>
      </c>
      <c r="F29" s="98" t="s">
        <v>14</v>
      </c>
      <c r="G29" s="230">
        <f>AP28/1000000</f>
        <v>29.79</v>
      </c>
      <c r="H29" s="359"/>
      <c r="I29" s="362"/>
      <c r="J29" s="100" t="s">
        <v>29</v>
      </c>
      <c r="K29" s="101">
        <f>$G28*K28</f>
        <v>0</v>
      </c>
      <c r="L29" s="100" t="s">
        <v>29</v>
      </c>
      <c r="M29" s="101">
        <f>$G28*M28</f>
        <v>0.81820454545454602</v>
      </c>
      <c r="N29" s="100" t="s">
        <v>29</v>
      </c>
      <c r="O29" s="101">
        <f>$G28*O28</f>
        <v>0.81820454545454602</v>
      </c>
      <c r="P29" s="100" t="s">
        <v>29</v>
      </c>
      <c r="Q29" s="101">
        <f>$G28*Q28</f>
        <v>0.81820454545454602</v>
      </c>
      <c r="R29" s="100" t="s">
        <v>29</v>
      </c>
      <c r="S29" s="101">
        <f>$G28*S28</f>
        <v>0.81820454545454602</v>
      </c>
      <c r="T29" s="100" t="s">
        <v>29</v>
      </c>
      <c r="U29" s="101">
        <f>$G28*U28</f>
        <v>1.636409090909092</v>
      </c>
      <c r="V29" s="100" t="s">
        <v>29</v>
      </c>
      <c r="W29" s="144">
        <f>$G28*W28</f>
        <v>1.636409090909092</v>
      </c>
      <c r="X29" s="100" t="s">
        <v>29</v>
      </c>
      <c r="Y29" s="101">
        <f>$G28*Y28</f>
        <v>1.636409090909092</v>
      </c>
      <c r="Z29" s="100" t="s">
        <v>29</v>
      </c>
      <c r="AA29" s="101">
        <f>$G28*AA28</f>
        <v>0</v>
      </c>
      <c r="AB29" s="100" t="s">
        <v>29</v>
      </c>
      <c r="AC29" s="101">
        <f>$G28*AC28</f>
        <v>0</v>
      </c>
      <c r="AD29" s="100" t="s">
        <v>29</v>
      </c>
      <c r="AE29" s="101">
        <f>$G28*AE28</f>
        <v>0</v>
      </c>
      <c r="AF29" s="100" t="s">
        <v>29</v>
      </c>
      <c r="AG29" s="101">
        <f>$G28*AG28</f>
        <v>0</v>
      </c>
      <c r="AH29" s="331"/>
      <c r="AI29" s="329"/>
      <c r="AJ29" s="148">
        <f>(I28-H28)*G28</f>
        <v>8.1820454545454595</v>
      </c>
      <c r="AK29" s="149">
        <f>(1-I28)*G28</f>
        <v>8.1820454545454595</v>
      </c>
      <c r="AL29" s="369"/>
      <c r="AM29" s="9" t="s">
        <v>13</v>
      </c>
      <c r="AN29" s="10">
        <v>38340000</v>
      </c>
      <c r="AO29" s="11" t="s">
        <v>15</v>
      </c>
      <c r="AP29" s="12">
        <f>SUM(AQ29:BM29)</f>
        <v>41000000</v>
      </c>
      <c r="AQ29" s="23" t="s">
        <v>66</v>
      </c>
      <c r="AR29" s="14">
        <v>9000000</v>
      </c>
      <c r="AS29" s="14" t="s">
        <v>81</v>
      </c>
      <c r="AT29" s="14">
        <v>29000000</v>
      </c>
      <c r="AU29" s="24" t="s">
        <v>184</v>
      </c>
      <c r="AV29" s="14">
        <v>3000000</v>
      </c>
      <c r="AW29" s="14" t="s">
        <v>19</v>
      </c>
      <c r="AX29" s="14"/>
      <c r="AY29" s="14" t="s">
        <v>12</v>
      </c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  <c r="BO29" s="15"/>
      <c r="BP29" s="15"/>
      <c r="BQ29" s="15"/>
      <c r="BR29" s="15"/>
      <c r="BS29" s="15"/>
      <c r="BT29" s="15"/>
    </row>
    <row r="30" spans="1:72" ht="22.5" customHeight="1">
      <c r="A30" s="354"/>
      <c r="B30" s="357"/>
      <c r="C30" s="102" t="s">
        <v>37</v>
      </c>
      <c r="D30" s="96" t="s">
        <v>20</v>
      </c>
      <c r="E30" s="143">
        <f t="shared" ref="E30" si="27">E28-E29</f>
        <v>81.350909090909084</v>
      </c>
      <c r="F30" s="103" t="s">
        <v>21</v>
      </c>
      <c r="G30" s="230">
        <f>(AP29+AP30)/1000000</f>
        <v>41</v>
      </c>
      <c r="H30" s="359"/>
      <c r="I30" s="362"/>
      <c r="J30" s="340" t="s">
        <v>22</v>
      </c>
      <c r="K30" s="342"/>
      <c r="L30" s="340" t="s">
        <v>22</v>
      </c>
      <c r="M30" s="342"/>
      <c r="N30" s="340" t="s">
        <v>22</v>
      </c>
      <c r="O30" s="342"/>
      <c r="P30" s="340" t="s">
        <v>22</v>
      </c>
      <c r="Q30" s="342"/>
      <c r="R30" s="340" t="s">
        <v>22</v>
      </c>
      <c r="S30" s="342"/>
      <c r="T30" s="340" t="s">
        <v>22</v>
      </c>
      <c r="U30" s="342" t="s">
        <v>182</v>
      </c>
      <c r="V30" s="340" t="s">
        <v>22</v>
      </c>
      <c r="W30" s="342" t="s">
        <v>182</v>
      </c>
      <c r="X30" s="340" t="s">
        <v>22</v>
      </c>
      <c r="Y30" s="342" t="s">
        <v>224</v>
      </c>
      <c r="Z30" s="340" t="s">
        <v>22</v>
      </c>
      <c r="AA30" s="342"/>
      <c r="AB30" s="340" t="s">
        <v>22</v>
      </c>
      <c r="AC30" s="342"/>
      <c r="AD30" s="340" t="s">
        <v>22</v>
      </c>
      <c r="AE30" s="342"/>
      <c r="AF30" s="340" t="s">
        <v>22</v>
      </c>
      <c r="AG30" s="342"/>
      <c r="AH30" s="331"/>
      <c r="AI30" s="329"/>
      <c r="AJ30" s="109"/>
      <c r="AK30" s="109"/>
      <c r="AL30" s="369"/>
      <c r="AM30" s="9" t="s">
        <v>20</v>
      </c>
      <c r="AN30" s="10">
        <f>AN28-AN29</f>
        <v>89486000</v>
      </c>
      <c r="AO30" s="11" t="s">
        <v>24</v>
      </c>
      <c r="AP30" s="12"/>
      <c r="BN30" s="15"/>
      <c r="BO30" s="15"/>
      <c r="BP30" s="15"/>
      <c r="BQ30" s="15"/>
      <c r="BR30" s="15"/>
      <c r="BS30" s="15"/>
      <c r="BT30" s="15"/>
    </row>
    <row r="31" spans="1:72" ht="22.5" customHeight="1" thickBot="1">
      <c r="A31" s="355"/>
      <c r="B31" s="104" t="s">
        <v>99</v>
      </c>
      <c r="C31" s="105" t="s">
        <v>38</v>
      </c>
      <c r="D31" s="106" t="s">
        <v>25</v>
      </c>
      <c r="E31" s="145">
        <f t="shared" ref="E31" si="28">E29/E28</f>
        <v>0.29993897955032622</v>
      </c>
      <c r="F31" s="106" t="s">
        <v>26</v>
      </c>
      <c r="G31" s="145">
        <f t="shared" ref="G31" si="29">(E28-(G29+G30)/0.7)/E28</f>
        <v>0.12974333413054806</v>
      </c>
      <c r="H31" s="360"/>
      <c r="I31" s="363"/>
      <c r="J31" s="341"/>
      <c r="K31" s="343"/>
      <c r="L31" s="341"/>
      <c r="M31" s="343"/>
      <c r="N31" s="341"/>
      <c r="O31" s="343"/>
      <c r="P31" s="341"/>
      <c r="Q31" s="343"/>
      <c r="R31" s="341"/>
      <c r="S31" s="343"/>
      <c r="T31" s="341"/>
      <c r="U31" s="343"/>
      <c r="V31" s="341"/>
      <c r="W31" s="343"/>
      <c r="X31" s="341"/>
      <c r="Y31" s="343"/>
      <c r="Z31" s="341"/>
      <c r="AA31" s="343"/>
      <c r="AB31" s="341"/>
      <c r="AC31" s="343"/>
      <c r="AD31" s="341"/>
      <c r="AE31" s="343"/>
      <c r="AF31" s="341"/>
      <c r="AG31" s="343"/>
      <c r="AH31" s="138">
        <f>(I28-E31)*E28</f>
        <v>23.248181818181816</v>
      </c>
      <c r="AI31" s="371"/>
      <c r="AJ31" s="109"/>
      <c r="AK31" s="109"/>
      <c r="AL31" s="370"/>
      <c r="AM31" s="9"/>
      <c r="AN31" s="18">
        <f>AN29/AN28</f>
        <v>0.29993897955032622</v>
      </c>
      <c r="AO31" s="16" t="s">
        <v>27</v>
      </c>
      <c r="AP31" s="17">
        <f>SUM(AP28:AP30)</f>
        <v>70790000</v>
      </c>
    </row>
    <row r="32" spans="1:72" ht="22.5" customHeight="1">
      <c r="A32" s="353">
        <v>8</v>
      </c>
      <c r="B32" s="356" t="s">
        <v>321</v>
      </c>
      <c r="C32" s="267" t="s">
        <v>322</v>
      </c>
      <c r="D32" s="221" t="s">
        <v>7</v>
      </c>
      <c r="E32" s="222">
        <f t="shared" ref="E32:E33" si="30">AN32/1100000</f>
        <v>108.10456363636364</v>
      </c>
      <c r="F32" s="223" t="s">
        <v>8</v>
      </c>
      <c r="G32" s="224">
        <f t="shared" ref="G32" si="31">E32*0.75-(G33+G34)</f>
        <v>37.383422727272723</v>
      </c>
      <c r="H32" s="358"/>
      <c r="I32" s="361">
        <f>H32+K32+M32+O32+Q32+S32+U32+W32+Y32+AA32+AC32+AE32+AG32</f>
        <v>0.01</v>
      </c>
      <c r="J32" s="225" t="s">
        <v>41</v>
      </c>
      <c r="K32" s="226"/>
      <c r="L32" s="225" t="s">
        <v>41</v>
      </c>
      <c r="M32" s="226"/>
      <c r="N32" s="225" t="s">
        <v>41</v>
      </c>
      <c r="O32" s="226"/>
      <c r="P32" s="225" t="s">
        <v>41</v>
      </c>
      <c r="Q32" s="226"/>
      <c r="R32" s="225" t="s">
        <v>41</v>
      </c>
      <c r="S32" s="226"/>
      <c r="T32" s="225" t="s">
        <v>41</v>
      </c>
      <c r="U32" s="226"/>
      <c r="V32" s="225" t="s">
        <v>41</v>
      </c>
      <c r="W32" s="226"/>
      <c r="X32" s="225" t="s">
        <v>41</v>
      </c>
      <c r="Y32" s="226">
        <v>0.01</v>
      </c>
      <c r="Z32" s="225" t="s">
        <v>41</v>
      </c>
      <c r="AA32" s="226"/>
      <c r="AB32" s="225" t="s">
        <v>41</v>
      </c>
      <c r="AC32" s="226"/>
      <c r="AD32" s="225" t="s">
        <v>41</v>
      </c>
      <c r="AE32" s="226"/>
      <c r="AF32" s="225" t="s">
        <v>41</v>
      </c>
      <c r="AG32" s="226"/>
      <c r="AH32" s="372" t="s">
        <v>348</v>
      </c>
      <c r="AI32" s="325" t="s">
        <v>355</v>
      </c>
      <c r="AJ32" s="215" t="s">
        <v>283</v>
      </c>
      <c r="AK32" s="216" t="s">
        <v>284</v>
      </c>
      <c r="AL32" s="368" t="s">
        <v>103</v>
      </c>
      <c r="AM32" s="9" t="s">
        <v>7</v>
      </c>
      <c r="AN32" s="10">
        <v>118915020</v>
      </c>
      <c r="AO32" s="11" t="s">
        <v>9</v>
      </c>
      <c r="AP32" s="12">
        <f>SUM(AQ32:BM32)</f>
        <v>43695000</v>
      </c>
      <c r="AQ32" s="23" t="s">
        <v>324</v>
      </c>
      <c r="AR32" s="24"/>
      <c r="AS32" s="24" t="s">
        <v>183</v>
      </c>
      <c r="AT32" s="24">
        <v>43695000</v>
      </c>
      <c r="AU32" s="24" t="s">
        <v>12</v>
      </c>
      <c r="AV32" s="24"/>
      <c r="AW32" s="24" t="s">
        <v>12</v>
      </c>
      <c r="AX32" s="24"/>
      <c r="AY32" s="24" t="s">
        <v>12</v>
      </c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</row>
    <row r="33" spans="1:72" ht="22.5" customHeight="1" thickBot="1">
      <c r="A33" s="354"/>
      <c r="B33" s="357"/>
      <c r="C33" s="268" t="s">
        <v>323</v>
      </c>
      <c r="D33" s="227" t="s">
        <v>13</v>
      </c>
      <c r="E33" s="228">
        <f t="shared" si="30"/>
        <v>0</v>
      </c>
      <c r="F33" s="229" t="s">
        <v>14</v>
      </c>
      <c r="G33" s="230">
        <f>AP32/1000000</f>
        <v>43.695</v>
      </c>
      <c r="H33" s="359"/>
      <c r="I33" s="362"/>
      <c r="J33" s="248" t="s">
        <v>29</v>
      </c>
      <c r="K33" s="249">
        <f>$G32*K32</f>
        <v>0</v>
      </c>
      <c r="L33" s="248" t="s">
        <v>29</v>
      </c>
      <c r="M33" s="249">
        <f>$G32*M32</f>
        <v>0</v>
      </c>
      <c r="N33" s="248" t="s">
        <v>29</v>
      </c>
      <c r="O33" s="249">
        <f>$G32*O32</f>
        <v>0</v>
      </c>
      <c r="P33" s="248" t="s">
        <v>29</v>
      </c>
      <c r="Q33" s="249">
        <f>$G32*Q32</f>
        <v>0</v>
      </c>
      <c r="R33" s="248" t="s">
        <v>29</v>
      </c>
      <c r="S33" s="249">
        <f>$G32*S32</f>
        <v>0</v>
      </c>
      <c r="T33" s="248" t="s">
        <v>29</v>
      </c>
      <c r="U33" s="249">
        <f>$G32*U32</f>
        <v>0</v>
      </c>
      <c r="V33" s="248" t="s">
        <v>29</v>
      </c>
      <c r="W33" s="249">
        <f>$G32*W32</f>
        <v>0</v>
      </c>
      <c r="X33" s="248" t="s">
        <v>29</v>
      </c>
      <c r="Y33" s="249">
        <f>$G32*Y32</f>
        <v>0.37383422727272725</v>
      </c>
      <c r="Z33" s="248" t="s">
        <v>29</v>
      </c>
      <c r="AA33" s="249">
        <f>$G32*AA32</f>
        <v>0</v>
      </c>
      <c r="AB33" s="248" t="s">
        <v>29</v>
      </c>
      <c r="AC33" s="249">
        <f>$G32*AC32</f>
        <v>0</v>
      </c>
      <c r="AD33" s="248" t="s">
        <v>29</v>
      </c>
      <c r="AE33" s="249">
        <f>$G32*AE32</f>
        <v>0</v>
      </c>
      <c r="AF33" s="248" t="s">
        <v>29</v>
      </c>
      <c r="AG33" s="249">
        <f>$G32*AG32</f>
        <v>0</v>
      </c>
      <c r="AH33" s="336"/>
      <c r="AI33" s="329"/>
      <c r="AJ33" s="217">
        <f>(I32-H32)*G32</f>
        <v>0.37383422727272725</v>
      </c>
      <c r="AK33" s="218">
        <f>(1-I32)*G32</f>
        <v>37.009588499999992</v>
      </c>
      <c r="AL33" s="369"/>
      <c r="AM33" s="9" t="s">
        <v>13</v>
      </c>
      <c r="AN33" s="10">
        <v>0</v>
      </c>
      <c r="AO33" s="11" t="s">
        <v>15</v>
      </c>
      <c r="AP33" s="12">
        <f>SUM(AQ33:BM33)</f>
        <v>0</v>
      </c>
      <c r="AQ33" s="23" t="s">
        <v>66</v>
      </c>
      <c r="AR33" s="24">
        <v>0</v>
      </c>
      <c r="AS33" s="24" t="s">
        <v>81</v>
      </c>
      <c r="AT33" s="24">
        <v>0</v>
      </c>
      <c r="AU33" s="24" t="s">
        <v>184</v>
      </c>
      <c r="AV33" s="24">
        <v>0</v>
      </c>
      <c r="AW33" s="24" t="s">
        <v>19</v>
      </c>
      <c r="AX33" s="24"/>
      <c r="AY33" s="24" t="s">
        <v>12</v>
      </c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15"/>
      <c r="BO33" s="15"/>
      <c r="BP33" s="15"/>
      <c r="BQ33" s="15"/>
      <c r="BR33" s="15"/>
      <c r="BS33" s="15"/>
      <c r="BT33" s="15"/>
    </row>
    <row r="34" spans="1:72" ht="22.5" customHeight="1">
      <c r="A34" s="354"/>
      <c r="B34" s="357"/>
      <c r="C34" s="268" t="s">
        <v>37</v>
      </c>
      <c r="D34" s="227" t="s">
        <v>20</v>
      </c>
      <c r="E34" s="228">
        <f t="shared" ref="E34" si="32">E32-E33</f>
        <v>108.10456363636364</v>
      </c>
      <c r="F34" s="231" t="s">
        <v>21</v>
      </c>
      <c r="G34" s="230">
        <f>(AP33+AP34)/1000000</f>
        <v>0</v>
      </c>
      <c r="H34" s="359"/>
      <c r="I34" s="362"/>
      <c r="J34" s="340" t="s">
        <v>22</v>
      </c>
      <c r="K34" s="342"/>
      <c r="L34" s="340" t="s">
        <v>22</v>
      </c>
      <c r="M34" s="342"/>
      <c r="N34" s="340" t="s">
        <v>22</v>
      </c>
      <c r="O34" s="342"/>
      <c r="P34" s="340" t="s">
        <v>22</v>
      </c>
      <c r="Q34" s="342"/>
      <c r="R34" s="340" t="s">
        <v>22</v>
      </c>
      <c r="S34" s="342"/>
      <c r="T34" s="340" t="s">
        <v>22</v>
      </c>
      <c r="U34" s="342"/>
      <c r="V34" s="340" t="s">
        <v>22</v>
      </c>
      <c r="W34" s="342"/>
      <c r="X34" s="340" t="s">
        <v>22</v>
      </c>
      <c r="Y34" s="342" t="s">
        <v>353</v>
      </c>
      <c r="Z34" s="340" t="s">
        <v>22</v>
      </c>
      <c r="AA34" s="342"/>
      <c r="AB34" s="340" t="s">
        <v>22</v>
      </c>
      <c r="AC34" s="342"/>
      <c r="AD34" s="340" t="s">
        <v>22</v>
      </c>
      <c r="AE34" s="342"/>
      <c r="AF34" s="340" t="s">
        <v>22</v>
      </c>
      <c r="AG34" s="342"/>
      <c r="AH34" s="337"/>
      <c r="AI34" s="329"/>
      <c r="AJ34" s="109"/>
      <c r="AK34" s="109"/>
      <c r="AL34" s="369"/>
      <c r="AM34" s="9" t="s">
        <v>20</v>
      </c>
      <c r="AN34" s="10">
        <f>AN32-AN33</f>
        <v>118915020</v>
      </c>
      <c r="AO34" s="11" t="s">
        <v>24</v>
      </c>
      <c r="AP34" s="12"/>
      <c r="BN34" s="15"/>
      <c r="BO34" s="15"/>
      <c r="BP34" s="15"/>
      <c r="BQ34" s="15"/>
      <c r="BR34" s="15"/>
      <c r="BS34" s="15"/>
      <c r="BT34" s="15"/>
    </row>
    <row r="35" spans="1:72" ht="22.5" customHeight="1" thickBot="1">
      <c r="A35" s="355"/>
      <c r="B35" s="104" t="s">
        <v>320</v>
      </c>
      <c r="C35" s="269" t="s">
        <v>38</v>
      </c>
      <c r="D35" s="232" t="s">
        <v>25</v>
      </c>
      <c r="E35" s="233">
        <f t="shared" ref="E35" si="33">E33/E32</f>
        <v>0</v>
      </c>
      <c r="F35" s="232" t="s">
        <v>26</v>
      </c>
      <c r="G35" s="233">
        <f t="shared" ref="G35" si="34">(E32-(G33+G34)/0.7)/E32</f>
        <v>0.42258285430577708</v>
      </c>
      <c r="H35" s="360"/>
      <c r="I35" s="363"/>
      <c r="J35" s="341"/>
      <c r="K35" s="343"/>
      <c r="L35" s="341"/>
      <c r="M35" s="343"/>
      <c r="N35" s="341"/>
      <c r="O35" s="343"/>
      <c r="P35" s="341"/>
      <c r="Q35" s="343"/>
      <c r="R35" s="341"/>
      <c r="S35" s="343"/>
      <c r="T35" s="341"/>
      <c r="U35" s="343"/>
      <c r="V35" s="341"/>
      <c r="W35" s="343"/>
      <c r="X35" s="341"/>
      <c r="Y35" s="343"/>
      <c r="Z35" s="341"/>
      <c r="AA35" s="343"/>
      <c r="AB35" s="341"/>
      <c r="AC35" s="343"/>
      <c r="AD35" s="341"/>
      <c r="AE35" s="343"/>
      <c r="AF35" s="341"/>
      <c r="AG35" s="343"/>
      <c r="AH35" s="138">
        <f>(I32-E35)*E32</f>
        <v>1.0810456363636365</v>
      </c>
      <c r="AI35" s="371"/>
      <c r="AJ35" s="109"/>
      <c r="AK35" s="109"/>
      <c r="AL35" s="370"/>
      <c r="AM35" s="9"/>
      <c r="AN35" s="18">
        <f>AN33/AN32</f>
        <v>0</v>
      </c>
      <c r="AO35" s="16" t="s">
        <v>27</v>
      </c>
      <c r="AP35" s="17">
        <f>SUM(AP32:AP34)</f>
        <v>43695000</v>
      </c>
    </row>
    <row r="36" spans="1:72" ht="22.5" customHeight="1">
      <c r="A36" s="353">
        <v>9</v>
      </c>
      <c r="B36" s="356" t="s">
        <v>138</v>
      </c>
      <c r="C36" s="108" t="s">
        <v>105</v>
      </c>
      <c r="D36" s="89" t="s">
        <v>7</v>
      </c>
      <c r="E36" s="141">
        <f t="shared" ref="E36:E37" si="35">AN36/1100000</f>
        <v>72.36</v>
      </c>
      <c r="F36" s="91" t="s">
        <v>8</v>
      </c>
      <c r="G36" s="142">
        <f t="shared" ref="G36" si="36">E36*0.75-(G37+G38)</f>
        <v>17.72</v>
      </c>
      <c r="H36" s="358">
        <v>0.95</v>
      </c>
      <c r="I36" s="361">
        <f t="shared" ref="I36" si="37">H36+K36+M36+O36+Q36+S36+U36+W36+Y36+AA36+AC36+AE36+AG36</f>
        <v>0.95</v>
      </c>
      <c r="J36" s="93" t="s">
        <v>41</v>
      </c>
      <c r="K36" s="94"/>
      <c r="L36" s="93" t="s">
        <v>41</v>
      </c>
      <c r="M36" s="94"/>
      <c r="N36" s="93" t="s">
        <v>41</v>
      </c>
      <c r="O36" s="94"/>
      <c r="P36" s="93" t="s">
        <v>41</v>
      </c>
      <c r="Q36" s="94"/>
      <c r="R36" s="93" t="s">
        <v>41</v>
      </c>
      <c r="S36" s="94"/>
      <c r="T36" s="93" t="s">
        <v>41</v>
      </c>
      <c r="U36" s="94"/>
      <c r="V36" s="93" t="s">
        <v>41</v>
      </c>
      <c r="W36" s="94"/>
      <c r="X36" s="93" t="s">
        <v>41</v>
      </c>
      <c r="Y36" s="94"/>
      <c r="Z36" s="93" t="s">
        <v>41</v>
      </c>
      <c r="AA36" s="94"/>
      <c r="AB36" s="93" t="s">
        <v>41</v>
      </c>
      <c r="AC36" s="94"/>
      <c r="AD36" s="93" t="s">
        <v>41</v>
      </c>
      <c r="AE36" s="94"/>
      <c r="AF36" s="93" t="s">
        <v>41</v>
      </c>
      <c r="AG36" s="94"/>
      <c r="AH36" s="332" t="s">
        <v>300</v>
      </c>
      <c r="AI36" s="325" t="s">
        <v>109</v>
      </c>
      <c r="AJ36" s="146" t="s">
        <v>283</v>
      </c>
      <c r="AK36" s="147" t="s">
        <v>284</v>
      </c>
      <c r="AL36" s="368" t="s">
        <v>110</v>
      </c>
      <c r="AM36" s="9" t="s">
        <v>7</v>
      </c>
      <c r="AN36" s="10">
        <v>79596000</v>
      </c>
      <c r="AO36" s="11" t="s">
        <v>9</v>
      </c>
      <c r="AP36" s="12">
        <f>SUM(AQ36:BM36)</f>
        <v>0</v>
      </c>
      <c r="AQ36" s="13" t="s">
        <v>10</v>
      </c>
      <c r="AR36" s="14"/>
      <c r="AS36" s="14" t="s">
        <v>11</v>
      </c>
      <c r="AT36" s="14"/>
      <c r="AU36" s="14" t="s">
        <v>12</v>
      </c>
      <c r="AV36" s="14"/>
      <c r="AW36" s="14" t="s">
        <v>12</v>
      </c>
      <c r="AX36" s="14"/>
      <c r="AY36" s="14" t="s">
        <v>12</v>
      </c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</row>
    <row r="37" spans="1:72" ht="22.5" customHeight="1" thickBot="1">
      <c r="A37" s="354"/>
      <c r="B37" s="357"/>
      <c r="C37" s="102" t="s">
        <v>106</v>
      </c>
      <c r="D37" s="96" t="s">
        <v>13</v>
      </c>
      <c r="E37" s="143">
        <f t="shared" si="35"/>
        <v>68.733636363636364</v>
      </c>
      <c r="F37" s="98" t="s">
        <v>14</v>
      </c>
      <c r="G37" s="230">
        <f>AP36/1000000</f>
        <v>0</v>
      </c>
      <c r="H37" s="359"/>
      <c r="I37" s="362"/>
      <c r="J37" s="100" t="s">
        <v>29</v>
      </c>
      <c r="K37" s="101">
        <f>$G36*K36</f>
        <v>0</v>
      </c>
      <c r="L37" s="100" t="s">
        <v>29</v>
      </c>
      <c r="M37" s="101">
        <f>$G36*M36</f>
        <v>0</v>
      </c>
      <c r="N37" s="100" t="s">
        <v>29</v>
      </c>
      <c r="O37" s="101">
        <f>$G36*O36</f>
        <v>0</v>
      </c>
      <c r="P37" s="100" t="s">
        <v>29</v>
      </c>
      <c r="Q37" s="101">
        <f>$G36*Q36</f>
        <v>0</v>
      </c>
      <c r="R37" s="100" t="s">
        <v>29</v>
      </c>
      <c r="S37" s="101">
        <f>$G36*S36</f>
        <v>0</v>
      </c>
      <c r="T37" s="100" t="s">
        <v>29</v>
      </c>
      <c r="U37" s="101">
        <f>$G36*U36</f>
        <v>0</v>
      </c>
      <c r="V37" s="100" t="s">
        <v>29</v>
      </c>
      <c r="W37" s="144">
        <f>$G36*W36</f>
        <v>0</v>
      </c>
      <c r="X37" s="100" t="s">
        <v>29</v>
      </c>
      <c r="Y37" s="101">
        <f>$G36*Y36</f>
        <v>0</v>
      </c>
      <c r="Z37" s="100" t="s">
        <v>29</v>
      </c>
      <c r="AA37" s="101">
        <f>$G36*AA36</f>
        <v>0</v>
      </c>
      <c r="AB37" s="100" t="s">
        <v>29</v>
      </c>
      <c r="AC37" s="101">
        <f>$G36*AC36</f>
        <v>0</v>
      </c>
      <c r="AD37" s="100" t="s">
        <v>29</v>
      </c>
      <c r="AE37" s="101">
        <f>$G36*AE36</f>
        <v>0</v>
      </c>
      <c r="AF37" s="100" t="s">
        <v>29</v>
      </c>
      <c r="AG37" s="101">
        <f>$G36*AG36</f>
        <v>0</v>
      </c>
      <c r="AH37" s="333"/>
      <c r="AI37" s="329"/>
      <c r="AJ37" s="148">
        <f>(I36-H36)*G36</f>
        <v>0</v>
      </c>
      <c r="AK37" s="149">
        <f>(1-I36)*G36</f>
        <v>0.88600000000000068</v>
      </c>
      <c r="AL37" s="369"/>
      <c r="AM37" s="9" t="s">
        <v>13</v>
      </c>
      <c r="AN37" s="10">
        <v>75607000</v>
      </c>
      <c r="AO37" s="11" t="s">
        <v>15</v>
      </c>
      <c r="AP37" s="12">
        <f>SUM(AQ37:BM37)</f>
        <v>36550000</v>
      </c>
      <c r="AQ37" s="13" t="s">
        <v>17</v>
      </c>
      <c r="AR37" s="14">
        <v>35000000</v>
      </c>
      <c r="AS37" s="14" t="s">
        <v>111</v>
      </c>
      <c r="AT37" s="14">
        <v>1550000</v>
      </c>
      <c r="AU37" s="14" t="s">
        <v>18</v>
      </c>
      <c r="AV37" s="14"/>
      <c r="AW37" s="14" t="s">
        <v>19</v>
      </c>
      <c r="AX37" s="14"/>
      <c r="AY37" s="14" t="s">
        <v>12</v>
      </c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5"/>
      <c r="BO37" s="15"/>
      <c r="BP37" s="15"/>
      <c r="BQ37" s="15"/>
      <c r="BR37" s="15"/>
      <c r="BS37" s="15"/>
      <c r="BT37" s="15"/>
    </row>
    <row r="38" spans="1:72" ht="22.5" customHeight="1">
      <c r="A38" s="354"/>
      <c r="B38" s="357"/>
      <c r="C38" s="102" t="s">
        <v>107</v>
      </c>
      <c r="D38" s="96" t="s">
        <v>20</v>
      </c>
      <c r="E38" s="143">
        <f t="shared" ref="E38" si="38">E36-E37</f>
        <v>3.6263636363636351</v>
      </c>
      <c r="F38" s="103" t="s">
        <v>21</v>
      </c>
      <c r="G38" s="230">
        <f>(AP37+AP38)/1000000</f>
        <v>36.549999999999997</v>
      </c>
      <c r="H38" s="359"/>
      <c r="I38" s="362"/>
      <c r="J38" s="340" t="s">
        <v>22</v>
      </c>
      <c r="K38" s="342"/>
      <c r="L38" s="340" t="s">
        <v>22</v>
      </c>
      <c r="M38" s="342"/>
      <c r="N38" s="340" t="s">
        <v>22</v>
      </c>
      <c r="O38" s="342"/>
      <c r="P38" s="340" t="s">
        <v>22</v>
      </c>
      <c r="Q38" s="342"/>
      <c r="R38" s="340" t="s">
        <v>22</v>
      </c>
      <c r="S38" s="342"/>
      <c r="T38" s="340" t="s">
        <v>22</v>
      </c>
      <c r="U38" s="342"/>
      <c r="V38" s="340" t="s">
        <v>22</v>
      </c>
      <c r="W38" s="342" t="s">
        <v>87</v>
      </c>
      <c r="X38" s="340" t="s">
        <v>22</v>
      </c>
      <c r="Y38" s="342" t="s">
        <v>87</v>
      </c>
      <c r="Z38" s="340" t="s">
        <v>22</v>
      </c>
      <c r="AA38" s="342"/>
      <c r="AB38" s="340" t="s">
        <v>22</v>
      </c>
      <c r="AC38" s="342"/>
      <c r="AD38" s="340" t="s">
        <v>22</v>
      </c>
      <c r="AE38" s="342"/>
      <c r="AF38" s="340" t="s">
        <v>22</v>
      </c>
      <c r="AG38" s="342"/>
      <c r="AH38" s="334"/>
      <c r="AI38" s="329"/>
      <c r="AJ38" s="109"/>
      <c r="AK38" s="109"/>
      <c r="AL38" s="369"/>
      <c r="AM38" s="9" t="s">
        <v>20</v>
      </c>
      <c r="AN38" s="10">
        <f>AN36-AN37</f>
        <v>3989000</v>
      </c>
      <c r="AO38" s="11" t="s">
        <v>24</v>
      </c>
      <c r="AP38" s="12"/>
      <c r="BN38" s="15"/>
      <c r="BO38" s="15"/>
      <c r="BP38" s="15"/>
      <c r="BQ38" s="15"/>
      <c r="BR38" s="15"/>
      <c r="BS38" s="15"/>
      <c r="BT38" s="15"/>
    </row>
    <row r="39" spans="1:72" ht="22.5" customHeight="1" thickBot="1">
      <c r="A39" s="355"/>
      <c r="B39" s="104" t="s">
        <v>104</v>
      </c>
      <c r="C39" s="105" t="s">
        <v>108</v>
      </c>
      <c r="D39" s="106" t="s">
        <v>25</v>
      </c>
      <c r="E39" s="145">
        <f t="shared" ref="E39" si="39">E37/E36</f>
        <v>0.94988441630232678</v>
      </c>
      <c r="F39" s="106" t="s">
        <v>26</v>
      </c>
      <c r="G39" s="145">
        <f t="shared" ref="G39" si="40">(E36-(G37+G38)/0.7)/E36</f>
        <v>0.27840953960356946</v>
      </c>
      <c r="H39" s="360"/>
      <c r="I39" s="363"/>
      <c r="J39" s="341"/>
      <c r="K39" s="343"/>
      <c r="L39" s="341"/>
      <c r="M39" s="343"/>
      <c r="N39" s="341"/>
      <c r="O39" s="343"/>
      <c r="P39" s="341"/>
      <c r="Q39" s="343"/>
      <c r="R39" s="341"/>
      <c r="S39" s="343"/>
      <c r="T39" s="341"/>
      <c r="U39" s="343"/>
      <c r="V39" s="341"/>
      <c r="W39" s="343"/>
      <c r="X39" s="341"/>
      <c r="Y39" s="343"/>
      <c r="Z39" s="341"/>
      <c r="AA39" s="343"/>
      <c r="AB39" s="341"/>
      <c r="AC39" s="343"/>
      <c r="AD39" s="341"/>
      <c r="AE39" s="343"/>
      <c r="AF39" s="341"/>
      <c r="AG39" s="343"/>
      <c r="AH39" s="138">
        <f>(I36-E39)*E36</f>
        <v>8.3636363636307026E-3</v>
      </c>
      <c r="AI39" s="371"/>
      <c r="AJ39" s="109"/>
      <c r="AK39" s="109"/>
      <c r="AL39" s="370"/>
      <c r="AM39" s="9"/>
      <c r="AN39" s="18">
        <f>AN37/AN36</f>
        <v>0.94988441630232678</v>
      </c>
      <c r="AO39" s="16" t="s">
        <v>27</v>
      </c>
      <c r="AP39" s="17">
        <f>SUM(AP36:AP38)</f>
        <v>36550000</v>
      </c>
    </row>
    <row r="40" spans="1:72" ht="22.5" customHeight="1">
      <c r="A40" s="353">
        <v>10</v>
      </c>
      <c r="B40" s="356" t="s">
        <v>112</v>
      </c>
      <c r="C40" s="108" t="s">
        <v>114</v>
      </c>
      <c r="D40" s="89" t="s">
        <v>7</v>
      </c>
      <c r="E40" s="141">
        <f t="shared" ref="E40:E41" si="41">AN40/1100000</f>
        <v>101</v>
      </c>
      <c r="F40" s="91" t="s">
        <v>8</v>
      </c>
      <c r="G40" s="142">
        <f t="shared" ref="G40" si="42">E40*0.75-(G41+G42)</f>
        <v>30.295454999999997</v>
      </c>
      <c r="H40" s="358">
        <v>0.95</v>
      </c>
      <c r="I40" s="361">
        <f t="shared" ref="I40" si="43">H40+K40+M40+O40+Q40+S40+U40+W40+Y40+AA40+AC40+AE40+AG40</f>
        <v>0.95</v>
      </c>
      <c r="J40" s="93" t="s">
        <v>41</v>
      </c>
      <c r="K40" s="94"/>
      <c r="L40" s="93" t="s">
        <v>41</v>
      </c>
      <c r="M40" s="94"/>
      <c r="N40" s="93" t="s">
        <v>41</v>
      </c>
      <c r="O40" s="94"/>
      <c r="P40" s="93" t="s">
        <v>41</v>
      </c>
      <c r="Q40" s="94"/>
      <c r="R40" s="93" t="s">
        <v>41</v>
      </c>
      <c r="S40" s="94"/>
      <c r="T40" s="93" t="s">
        <v>41</v>
      </c>
      <c r="U40" s="94"/>
      <c r="V40" s="93" t="s">
        <v>41</v>
      </c>
      <c r="W40" s="94"/>
      <c r="X40" s="93" t="s">
        <v>41</v>
      </c>
      <c r="Y40" s="94"/>
      <c r="Z40" s="93" t="s">
        <v>41</v>
      </c>
      <c r="AA40" s="94"/>
      <c r="AB40" s="93" t="s">
        <v>41</v>
      </c>
      <c r="AC40" s="94"/>
      <c r="AD40" s="93" t="s">
        <v>41</v>
      </c>
      <c r="AE40" s="94"/>
      <c r="AF40" s="93" t="s">
        <v>41</v>
      </c>
      <c r="AG40" s="94"/>
      <c r="AH40" s="332" t="s">
        <v>301</v>
      </c>
      <c r="AI40" s="325" t="s">
        <v>117</v>
      </c>
      <c r="AJ40" s="146" t="s">
        <v>283</v>
      </c>
      <c r="AK40" s="147" t="s">
        <v>284</v>
      </c>
      <c r="AL40" s="368" t="s">
        <v>118</v>
      </c>
      <c r="AM40" s="9" t="s">
        <v>7</v>
      </c>
      <c r="AN40" s="10">
        <v>111100000</v>
      </c>
      <c r="AO40" s="11" t="s">
        <v>9</v>
      </c>
      <c r="AP40" s="12">
        <f>SUM(AQ40:BM40)</f>
        <v>0</v>
      </c>
      <c r="AQ40" s="13" t="s">
        <v>10</v>
      </c>
      <c r="AR40" s="14"/>
      <c r="AS40" s="14" t="s">
        <v>11</v>
      </c>
      <c r="AT40" s="14"/>
      <c r="AU40" s="14" t="s">
        <v>12</v>
      </c>
      <c r="AV40" s="14"/>
      <c r="AW40" s="14" t="s">
        <v>12</v>
      </c>
      <c r="AX40" s="14"/>
      <c r="AY40" s="14" t="s">
        <v>12</v>
      </c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</row>
    <row r="41" spans="1:72" ht="22.5" customHeight="1" thickBot="1">
      <c r="A41" s="354"/>
      <c r="B41" s="357"/>
      <c r="C41" s="102" t="s">
        <v>115</v>
      </c>
      <c r="D41" s="96" t="s">
        <v>13</v>
      </c>
      <c r="E41" s="143">
        <f t="shared" si="41"/>
        <v>70.7</v>
      </c>
      <c r="F41" s="98" t="s">
        <v>14</v>
      </c>
      <c r="G41" s="230">
        <f>AP40/1000000</f>
        <v>0</v>
      </c>
      <c r="H41" s="359"/>
      <c r="I41" s="362"/>
      <c r="J41" s="100" t="s">
        <v>29</v>
      </c>
      <c r="K41" s="101">
        <f>$G40*K40</f>
        <v>0</v>
      </c>
      <c r="L41" s="100" t="s">
        <v>29</v>
      </c>
      <c r="M41" s="101">
        <f>$G40*M40</f>
        <v>0</v>
      </c>
      <c r="N41" s="100" t="s">
        <v>29</v>
      </c>
      <c r="O41" s="101">
        <f>$G40*O40</f>
        <v>0</v>
      </c>
      <c r="P41" s="100" t="s">
        <v>29</v>
      </c>
      <c r="Q41" s="101">
        <f>$G40*Q40</f>
        <v>0</v>
      </c>
      <c r="R41" s="100" t="s">
        <v>29</v>
      </c>
      <c r="S41" s="101">
        <f>$G40*S40</f>
        <v>0</v>
      </c>
      <c r="T41" s="100" t="s">
        <v>29</v>
      </c>
      <c r="U41" s="101">
        <f>$G40*U40</f>
        <v>0</v>
      </c>
      <c r="V41" s="100" t="s">
        <v>29</v>
      </c>
      <c r="W41" s="144">
        <f>$G40*W40</f>
        <v>0</v>
      </c>
      <c r="X41" s="100" t="s">
        <v>29</v>
      </c>
      <c r="Y41" s="101">
        <f>$G40*Y40</f>
        <v>0</v>
      </c>
      <c r="Z41" s="100" t="s">
        <v>29</v>
      </c>
      <c r="AA41" s="101">
        <f>$G40*AA40</f>
        <v>0</v>
      </c>
      <c r="AB41" s="100" t="s">
        <v>29</v>
      </c>
      <c r="AC41" s="101">
        <f>$G40*AC40</f>
        <v>0</v>
      </c>
      <c r="AD41" s="100" t="s">
        <v>29</v>
      </c>
      <c r="AE41" s="101">
        <f>$G40*AE40</f>
        <v>0</v>
      </c>
      <c r="AF41" s="100" t="s">
        <v>29</v>
      </c>
      <c r="AG41" s="101">
        <f>$G40*AG40</f>
        <v>0</v>
      </c>
      <c r="AH41" s="333"/>
      <c r="AI41" s="329"/>
      <c r="AJ41" s="148">
        <f>(I40-H40)*G40</f>
        <v>0</v>
      </c>
      <c r="AK41" s="149">
        <f>(1-I40)*G40</f>
        <v>1.5147727500000012</v>
      </c>
      <c r="AL41" s="369"/>
      <c r="AM41" s="9" t="s">
        <v>13</v>
      </c>
      <c r="AN41" s="10">
        <v>77770000</v>
      </c>
      <c r="AO41" s="11" t="s">
        <v>15</v>
      </c>
      <c r="AP41" s="12">
        <f>SUM(AQ41:BM41)</f>
        <v>45454545</v>
      </c>
      <c r="AQ41" s="19" t="s">
        <v>66</v>
      </c>
      <c r="AR41" s="14">
        <v>45454545</v>
      </c>
      <c r="AS41" s="14" t="s">
        <v>67</v>
      </c>
      <c r="AT41" s="14"/>
      <c r="AU41" s="14" t="s">
        <v>68</v>
      </c>
      <c r="AV41" s="14"/>
      <c r="AW41" s="14" t="s">
        <v>69</v>
      </c>
      <c r="AX41" s="14"/>
      <c r="AY41" s="14" t="s">
        <v>69</v>
      </c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5"/>
      <c r="BO41" s="15"/>
      <c r="BP41" s="15"/>
      <c r="BQ41" s="15"/>
      <c r="BR41" s="15"/>
      <c r="BS41" s="15"/>
      <c r="BT41" s="15"/>
    </row>
    <row r="42" spans="1:72" ht="22.5" customHeight="1">
      <c r="A42" s="354"/>
      <c r="B42" s="357"/>
      <c r="C42" s="102" t="s">
        <v>65</v>
      </c>
      <c r="D42" s="96" t="s">
        <v>20</v>
      </c>
      <c r="E42" s="143">
        <f t="shared" ref="E42" si="44">E40-E41</f>
        <v>30.299999999999997</v>
      </c>
      <c r="F42" s="103" t="s">
        <v>21</v>
      </c>
      <c r="G42" s="230">
        <f>(AP41+AP42)/1000000</f>
        <v>45.454545000000003</v>
      </c>
      <c r="H42" s="359"/>
      <c r="I42" s="362"/>
      <c r="J42" s="340" t="s">
        <v>22</v>
      </c>
      <c r="K42" s="342"/>
      <c r="L42" s="340"/>
      <c r="M42" s="342"/>
      <c r="N42" s="340"/>
      <c r="O42" s="342"/>
      <c r="P42" s="340"/>
      <c r="Q42" s="342"/>
      <c r="R42" s="340"/>
      <c r="S42" s="342"/>
      <c r="T42" s="340" t="s">
        <v>22</v>
      </c>
      <c r="U42" s="342"/>
      <c r="V42" s="340" t="s">
        <v>22</v>
      </c>
      <c r="W42" s="342" t="s">
        <v>87</v>
      </c>
      <c r="X42" s="340" t="s">
        <v>22</v>
      </c>
      <c r="Y42" s="342" t="s">
        <v>87</v>
      </c>
      <c r="Z42" s="340" t="s">
        <v>22</v>
      </c>
      <c r="AA42" s="342" t="s">
        <v>23</v>
      </c>
      <c r="AB42" s="340" t="s">
        <v>22</v>
      </c>
      <c r="AC42" s="342" t="s">
        <v>23</v>
      </c>
      <c r="AD42" s="340" t="s">
        <v>22</v>
      </c>
      <c r="AE42" s="342" t="s">
        <v>23</v>
      </c>
      <c r="AF42" s="340" t="s">
        <v>22</v>
      </c>
      <c r="AG42" s="342" t="s">
        <v>23</v>
      </c>
      <c r="AH42" s="334"/>
      <c r="AI42" s="329"/>
      <c r="AJ42" s="109"/>
      <c r="AK42" s="109"/>
      <c r="AL42" s="369"/>
      <c r="AM42" s="9" t="s">
        <v>20</v>
      </c>
      <c r="AN42" s="10">
        <f>AN40-AN41</f>
        <v>33330000</v>
      </c>
      <c r="AO42" s="11" t="s">
        <v>24</v>
      </c>
      <c r="AP42" s="12"/>
      <c r="BN42" s="15"/>
      <c r="BO42" s="15"/>
      <c r="BP42" s="15"/>
      <c r="BQ42" s="15"/>
      <c r="BR42" s="15"/>
      <c r="BS42" s="15"/>
      <c r="BT42" s="15"/>
    </row>
    <row r="43" spans="1:72" ht="22.5" customHeight="1" thickBot="1">
      <c r="A43" s="355"/>
      <c r="B43" s="104" t="s">
        <v>113</v>
      </c>
      <c r="C43" s="105" t="s">
        <v>116</v>
      </c>
      <c r="D43" s="106" t="s">
        <v>25</v>
      </c>
      <c r="E43" s="145">
        <f t="shared" ref="E43" si="45">E41/E40</f>
        <v>0.70000000000000007</v>
      </c>
      <c r="F43" s="106" t="s">
        <v>26</v>
      </c>
      <c r="G43" s="145">
        <f t="shared" ref="G43" si="46">(E40-(G41+G42)/0.7)/E40</f>
        <v>0.35707857142857141</v>
      </c>
      <c r="H43" s="360"/>
      <c r="I43" s="363"/>
      <c r="J43" s="341"/>
      <c r="K43" s="343"/>
      <c r="L43" s="341"/>
      <c r="M43" s="343"/>
      <c r="N43" s="341"/>
      <c r="O43" s="343"/>
      <c r="P43" s="341"/>
      <c r="Q43" s="343"/>
      <c r="R43" s="341"/>
      <c r="S43" s="343"/>
      <c r="T43" s="341"/>
      <c r="U43" s="343"/>
      <c r="V43" s="341"/>
      <c r="W43" s="343"/>
      <c r="X43" s="341"/>
      <c r="Y43" s="343"/>
      <c r="Z43" s="341"/>
      <c r="AA43" s="343"/>
      <c r="AB43" s="341"/>
      <c r="AC43" s="343"/>
      <c r="AD43" s="341"/>
      <c r="AE43" s="343"/>
      <c r="AF43" s="341"/>
      <c r="AG43" s="343"/>
      <c r="AH43" s="138">
        <f>(I40-E43)*E40</f>
        <v>25.249999999999989</v>
      </c>
      <c r="AI43" s="371"/>
      <c r="AJ43" s="109"/>
      <c r="AK43" s="109"/>
      <c r="AL43" s="370"/>
      <c r="AM43" s="9"/>
      <c r="AN43" s="18">
        <f>AN41/AN40</f>
        <v>0.7</v>
      </c>
      <c r="AO43" s="16" t="s">
        <v>27</v>
      </c>
      <c r="AP43" s="17">
        <f>SUM(AP40:AP42)</f>
        <v>45454545</v>
      </c>
    </row>
    <row r="44" spans="1:72" ht="22.5" customHeight="1">
      <c r="A44" s="353">
        <v>11</v>
      </c>
      <c r="B44" s="356" t="s">
        <v>119</v>
      </c>
      <c r="C44" s="108" t="s">
        <v>120</v>
      </c>
      <c r="D44" s="89" t="s">
        <v>7</v>
      </c>
      <c r="E44" s="141">
        <f t="shared" ref="E44:E45" si="47">AN44/1100000</f>
        <v>17.948181818181819</v>
      </c>
      <c r="F44" s="91" t="s">
        <v>8</v>
      </c>
      <c r="G44" s="142">
        <f t="shared" ref="G44" si="48">E44*0.75-(G45+G46)</f>
        <v>4.6711363636363643</v>
      </c>
      <c r="H44" s="358"/>
      <c r="I44" s="361">
        <f t="shared" ref="I44" si="49">H44+K44+M44+O44+Q44+S44+U44+W44+Y44+AA44+AC44+AE44+AG44</f>
        <v>0.35000000000000003</v>
      </c>
      <c r="J44" s="93" t="s">
        <v>41</v>
      </c>
      <c r="K44" s="94">
        <v>0.05</v>
      </c>
      <c r="L44" s="93" t="s">
        <v>41</v>
      </c>
      <c r="M44" s="94">
        <v>0.05</v>
      </c>
      <c r="N44" s="93" t="s">
        <v>41</v>
      </c>
      <c r="O44" s="94">
        <v>0.05</v>
      </c>
      <c r="P44" s="93" t="s">
        <v>41</v>
      </c>
      <c r="Q44" s="94">
        <v>0.05</v>
      </c>
      <c r="R44" s="93" t="s">
        <v>41</v>
      </c>
      <c r="S44" s="94">
        <v>0.1</v>
      </c>
      <c r="T44" s="93" t="s">
        <v>41</v>
      </c>
      <c r="U44" s="94">
        <v>0.05</v>
      </c>
      <c r="V44" s="93" t="s">
        <v>41</v>
      </c>
      <c r="W44" s="94"/>
      <c r="X44" s="93" t="s">
        <v>41</v>
      </c>
      <c r="Y44" s="94"/>
      <c r="Z44" s="93" t="s">
        <v>41</v>
      </c>
      <c r="AA44" s="94"/>
      <c r="AB44" s="93" t="s">
        <v>41</v>
      </c>
      <c r="AC44" s="94"/>
      <c r="AD44" s="93" t="s">
        <v>41</v>
      </c>
      <c r="AE44" s="94"/>
      <c r="AF44" s="93" t="s">
        <v>41</v>
      </c>
      <c r="AG44" s="94"/>
      <c r="AH44" s="328" t="s">
        <v>302</v>
      </c>
      <c r="AI44" s="325" t="s">
        <v>354</v>
      </c>
      <c r="AJ44" s="146" t="s">
        <v>283</v>
      </c>
      <c r="AK44" s="147" t="s">
        <v>284</v>
      </c>
      <c r="AL44" s="368" t="s">
        <v>122</v>
      </c>
      <c r="AM44" s="9" t="s">
        <v>7</v>
      </c>
      <c r="AN44" s="10">
        <v>19743000</v>
      </c>
      <c r="AO44" s="11" t="s">
        <v>9</v>
      </c>
      <c r="AP44" s="12">
        <f>SUM(AQ44:BM44)</f>
        <v>8790000</v>
      </c>
      <c r="AQ44" s="13" t="s">
        <v>123</v>
      </c>
      <c r="AR44" s="14">
        <v>8790000</v>
      </c>
      <c r="AS44" s="14" t="s">
        <v>11</v>
      </c>
      <c r="AT44" s="14"/>
      <c r="AU44" s="14" t="s">
        <v>12</v>
      </c>
      <c r="AV44" s="14"/>
      <c r="AW44" s="14" t="s">
        <v>12</v>
      </c>
      <c r="AX44" s="14"/>
      <c r="AY44" s="14" t="s">
        <v>12</v>
      </c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</row>
    <row r="45" spans="1:72" ht="22.5" customHeight="1" thickBot="1">
      <c r="A45" s="354"/>
      <c r="B45" s="357"/>
      <c r="C45" s="102" t="s">
        <v>121</v>
      </c>
      <c r="D45" s="96" t="s">
        <v>13</v>
      </c>
      <c r="E45" s="143">
        <f t="shared" si="47"/>
        <v>0</v>
      </c>
      <c r="F45" s="98" t="s">
        <v>14</v>
      </c>
      <c r="G45" s="230">
        <f>AP44/1000000</f>
        <v>8.7899999999999991</v>
      </c>
      <c r="H45" s="359"/>
      <c r="I45" s="362"/>
      <c r="J45" s="100" t="s">
        <v>29</v>
      </c>
      <c r="K45" s="101">
        <f>$G44*K44</f>
        <v>0.23355681818181823</v>
      </c>
      <c r="L45" s="100" t="s">
        <v>29</v>
      </c>
      <c r="M45" s="101">
        <f>$G44*M44</f>
        <v>0.23355681818181823</v>
      </c>
      <c r="N45" s="100" t="s">
        <v>29</v>
      </c>
      <c r="O45" s="101">
        <f>$G44*O44</f>
        <v>0.23355681818181823</v>
      </c>
      <c r="P45" s="100" t="s">
        <v>29</v>
      </c>
      <c r="Q45" s="101">
        <f>$G44*Q44</f>
        <v>0.23355681818181823</v>
      </c>
      <c r="R45" s="100" t="s">
        <v>29</v>
      </c>
      <c r="S45" s="101">
        <f>$G44*S44</f>
        <v>0.46711363636363645</v>
      </c>
      <c r="T45" s="100" t="s">
        <v>29</v>
      </c>
      <c r="U45" s="101">
        <f>$G44*U44</f>
        <v>0.23355681818181823</v>
      </c>
      <c r="V45" s="100" t="s">
        <v>29</v>
      </c>
      <c r="W45" s="144">
        <f>$G44*W44</f>
        <v>0</v>
      </c>
      <c r="X45" s="100" t="s">
        <v>29</v>
      </c>
      <c r="Y45" s="101">
        <f>$G44*Y44</f>
        <v>0</v>
      </c>
      <c r="Z45" s="100" t="s">
        <v>29</v>
      </c>
      <c r="AA45" s="101">
        <f>$G44*AA44</f>
        <v>0</v>
      </c>
      <c r="AB45" s="100" t="s">
        <v>29</v>
      </c>
      <c r="AC45" s="101">
        <f>$G44*AC44</f>
        <v>0</v>
      </c>
      <c r="AD45" s="100" t="s">
        <v>29</v>
      </c>
      <c r="AE45" s="101">
        <f>$G44*AE44</f>
        <v>0</v>
      </c>
      <c r="AF45" s="100" t="s">
        <v>29</v>
      </c>
      <c r="AG45" s="101">
        <f>$G44*AG44</f>
        <v>0</v>
      </c>
      <c r="AH45" s="326"/>
      <c r="AI45" s="329"/>
      <c r="AJ45" s="148">
        <f>(I44-H44)*G44</f>
        <v>1.6348977272727276</v>
      </c>
      <c r="AK45" s="149">
        <f>(1-I44)*G44</f>
        <v>3.0362386363636364</v>
      </c>
      <c r="AL45" s="369"/>
      <c r="AM45" s="9" t="s">
        <v>13</v>
      </c>
      <c r="AN45" s="10"/>
      <c r="AO45" s="11" t="s">
        <v>15</v>
      </c>
      <c r="AP45" s="12">
        <f>SUM(AQ45:BM45)</f>
        <v>0</v>
      </c>
      <c r="AQ45" s="13" t="s">
        <v>16</v>
      </c>
      <c r="AR45" s="14"/>
      <c r="AS45" s="14" t="s">
        <v>17</v>
      </c>
      <c r="AT45" s="14"/>
      <c r="AU45" s="14" t="s">
        <v>18</v>
      </c>
      <c r="AV45" s="14"/>
      <c r="AW45" s="14" t="s">
        <v>19</v>
      </c>
      <c r="AX45" s="14"/>
      <c r="AY45" s="14" t="s">
        <v>12</v>
      </c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5"/>
      <c r="BO45" s="15"/>
      <c r="BP45" s="15"/>
      <c r="BQ45" s="15"/>
      <c r="BR45" s="15"/>
      <c r="BS45" s="15"/>
      <c r="BT45" s="15"/>
    </row>
    <row r="46" spans="1:72" ht="22.5" customHeight="1">
      <c r="A46" s="354"/>
      <c r="B46" s="357"/>
      <c r="C46" s="102" t="s">
        <v>218</v>
      </c>
      <c r="D46" s="96" t="s">
        <v>20</v>
      </c>
      <c r="E46" s="143">
        <f t="shared" ref="E46" si="50">E44-E45</f>
        <v>17.948181818181819</v>
      </c>
      <c r="F46" s="103" t="s">
        <v>21</v>
      </c>
      <c r="G46" s="230">
        <f>(AP45+AP46)/1000000</f>
        <v>0</v>
      </c>
      <c r="H46" s="359"/>
      <c r="I46" s="362"/>
      <c r="J46" s="340" t="s">
        <v>22</v>
      </c>
      <c r="K46" s="342"/>
      <c r="L46" s="340" t="s">
        <v>22</v>
      </c>
      <c r="M46" s="342"/>
      <c r="N46" s="340" t="s">
        <v>22</v>
      </c>
      <c r="O46" s="342"/>
      <c r="P46" s="340" t="s">
        <v>22</v>
      </c>
      <c r="Q46" s="342"/>
      <c r="R46" s="340" t="s">
        <v>22</v>
      </c>
      <c r="S46" s="342"/>
      <c r="T46" s="340" t="s">
        <v>22</v>
      </c>
      <c r="U46" s="342" t="s">
        <v>181</v>
      </c>
      <c r="V46" s="340" t="s">
        <v>22</v>
      </c>
      <c r="W46" s="342" t="s">
        <v>297</v>
      </c>
      <c r="X46" s="340" t="s">
        <v>22</v>
      </c>
      <c r="Y46" s="342" t="s">
        <v>87</v>
      </c>
      <c r="Z46" s="340" t="s">
        <v>22</v>
      </c>
      <c r="AA46" s="342"/>
      <c r="AB46" s="340" t="s">
        <v>22</v>
      </c>
      <c r="AC46" s="342"/>
      <c r="AD46" s="340" t="s">
        <v>22</v>
      </c>
      <c r="AE46" s="342"/>
      <c r="AF46" s="340" t="s">
        <v>22</v>
      </c>
      <c r="AG46" s="342"/>
      <c r="AH46" s="327"/>
      <c r="AI46" s="329"/>
      <c r="AJ46" s="109"/>
      <c r="AK46" s="109"/>
      <c r="AL46" s="369"/>
      <c r="AM46" s="9" t="s">
        <v>20</v>
      </c>
      <c r="AN46" s="10">
        <f>AN44-AN45</f>
        <v>19743000</v>
      </c>
      <c r="AO46" s="11" t="s">
        <v>24</v>
      </c>
      <c r="AP46" s="12"/>
      <c r="BN46" s="15"/>
      <c r="BO46" s="15"/>
      <c r="BP46" s="15"/>
      <c r="BQ46" s="15"/>
      <c r="BR46" s="15"/>
      <c r="BS46" s="15"/>
      <c r="BT46" s="15"/>
    </row>
    <row r="47" spans="1:72" ht="22.5" customHeight="1" thickBot="1">
      <c r="A47" s="355"/>
      <c r="B47" s="104" t="s">
        <v>88</v>
      </c>
      <c r="C47" s="105" t="s">
        <v>219</v>
      </c>
      <c r="D47" s="106" t="s">
        <v>25</v>
      </c>
      <c r="E47" s="145">
        <f t="shared" ref="E47" si="51">E45/E44</f>
        <v>0</v>
      </c>
      <c r="F47" s="106" t="s">
        <v>26</v>
      </c>
      <c r="G47" s="145">
        <f t="shared" ref="G47" si="52">(E44-(G45+G46)/0.7)/E44</f>
        <v>0.30036685696919707</v>
      </c>
      <c r="H47" s="360"/>
      <c r="I47" s="363"/>
      <c r="J47" s="341"/>
      <c r="K47" s="343"/>
      <c r="L47" s="341"/>
      <c r="M47" s="343"/>
      <c r="N47" s="341"/>
      <c r="O47" s="343"/>
      <c r="P47" s="341"/>
      <c r="Q47" s="343"/>
      <c r="R47" s="341"/>
      <c r="S47" s="343"/>
      <c r="T47" s="341"/>
      <c r="U47" s="343"/>
      <c r="V47" s="341"/>
      <c r="W47" s="343"/>
      <c r="X47" s="341"/>
      <c r="Y47" s="343"/>
      <c r="Z47" s="341"/>
      <c r="AA47" s="343"/>
      <c r="AB47" s="341"/>
      <c r="AC47" s="343"/>
      <c r="AD47" s="341"/>
      <c r="AE47" s="343"/>
      <c r="AF47" s="341"/>
      <c r="AG47" s="343"/>
      <c r="AH47" s="138">
        <f>(I44-E47)*E44</f>
        <v>6.2818636363636369</v>
      </c>
      <c r="AI47" s="371"/>
      <c r="AJ47" s="109"/>
      <c r="AK47" s="109"/>
      <c r="AL47" s="370"/>
      <c r="AM47" s="9"/>
      <c r="AN47" s="18">
        <f>AN45/AN44</f>
        <v>0</v>
      </c>
      <c r="AO47" s="16" t="s">
        <v>27</v>
      </c>
      <c r="AP47" s="17">
        <f>SUM(AP44:AP46)</f>
        <v>8790000</v>
      </c>
    </row>
    <row r="48" spans="1:72" ht="22.5" customHeight="1">
      <c r="A48" s="353">
        <v>12</v>
      </c>
      <c r="B48" s="356" t="s">
        <v>345</v>
      </c>
      <c r="C48" s="108" t="s">
        <v>124</v>
      </c>
      <c r="D48" s="89" t="s">
        <v>7</v>
      </c>
      <c r="E48" s="141">
        <f t="shared" ref="E48:E49" si="53">AN48/1100000</f>
        <v>18.413636363636364</v>
      </c>
      <c r="F48" s="91" t="s">
        <v>8</v>
      </c>
      <c r="G48" s="142">
        <f t="shared" ref="G48" si="54">E48*0.75-(G49+G50)</f>
        <v>13.810227272727273</v>
      </c>
      <c r="H48" s="358"/>
      <c r="I48" s="361">
        <f t="shared" ref="I48" si="55">H48+K48+M48+O48+Q48+S48+U48+W48+Y48+AA48+AC48+AE48+AG48</f>
        <v>1</v>
      </c>
      <c r="J48" s="93" t="s">
        <v>41</v>
      </c>
      <c r="K48" s="94"/>
      <c r="L48" s="93" t="s">
        <v>41</v>
      </c>
      <c r="M48" s="94">
        <v>0.05</v>
      </c>
      <c r="N48" s="93" t="s">
        <v>41</v>
      </c>
      <c r="O48" s="94">
        <v>0.1</v>
      </c>
      <c r="P48" s="93" t="s">
        <v>41</v>
      </c>
      <c r="Q48" s="94">
        <v>0.1</v>
      </c>
      <c r="R48" s="93" t="s">
        <v>41</v>
      </c>
      <c r="S48" s="94">
        <v>0.2</v>
      </c>
      <c r="T48" s="93" t="s">
        <v>41</v>
      </c>
      <c r="U48" s="94">
        <v>0.2</v>
      </c>
      <c r="V48" s="93" t="s">
        <v>41</v>
      </c>
      <c r="W48" s="94">
        <v>0.35</v>
      </c>
      <c r="X48" s="93" t="s">
        <v>41</v>
      </c>
      <c r="Y48" s="94"/>
      <c r="Z48" s="93" t="s">
        <v>41</v>
      </c>
      <c r="AA48" s="94"/>
      <c r="AB48" s="93" t="s">
        <v>41</v>
      </c>
      <c r="AC48" s="94"/>
      <c r="AD48" s="93" t="s">
        <v>41</v>
      </c>
      <c r="AE48" s="94"/>
      <c r="AF48" s="93" t="s">
        <v>41</v>
      </c>
      <c r="AG48" s="94"/>
      <c r="AH48" s="335" t="s">
        <v>344</v>
      </c>
      <c r="AI48" s="325" t="s">
        <v>220</v>
      </c>
      <c r="AJ48" s="146" t="s">
        <v>283</v>
      </c>
      <c r="AK48" s="147" t="s">
        <v>284</v>
      </c>
      <c r="AL48" s="368" t="s">
        <v>125</v>
      </c>
      <c r="AM48" s="9" t="s">
        <v>7</v>
      </c>
      <c r="AN48" s="10">
        <v>20255000</v>
      </c>
      <c r="AO48" s="11" t="s">
        <v>9</v>
      </c>
      <c r="AP48" s="12">
        <f>SUM(AQ48:BM48)</f>
        <v>0</v>
      </c>
      <c r="AQ48" s="13" t="s">
        <v>10</v>
      </c>
      <c r="AR48" s="14"/>
      <c r="AS48" s="14" t="s">
        <v>11</v>
      </c>
      <c r="AT48" s="14"/>
      <c r="AU48" s="14" t="s">
        <v>12</v>
      </c>
      <c r="AV48" s="14"/>
      <c r="AW48" s="14" t="s">
        <v>12</v>
      </c>
      <c r="AX48" s="14"/>
      <c r="AY48" s="14" t="s">
        <v>12</v>
      </c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</row>
    <row r="49" spans="1:72" ht="22.5" customHeight="1" thickBot="1">
      <c r="A49" s="354"/>
      <c r="B49" s="357"/>
      <c r="C49" s="102" t="s">
        <v>178</v>
      </c>
      <c r="D49" s="96" t="s">
        <v>13</v>
      </c>
      <c r="E49" s="143">
        <f t="shared" si="53"/>
        <v>18.413636363636364</v>
      </c>
      <c r="F49" s="98" t="s">
        <v>14</v>
      </c>
      <c r="G49" s="230">
        <f>AP48/1000000</f>
        <v>0</v>
      </c>
      <c r="H49" s="359"/>
      <c r="I49" s="362"/>
      <c r="J49" s="100" t="s">
        <v>29</v>
      </c>
      <c r="K49" s="101">
        <f>$G48*K48</f>
        <v>0</v>
      </c>
      <c r="L49" s="100" t="s">
        <v>29</v>
      </c>
      <c r="M49" s="101">
        <f>$G48*M48</f>
        <v>0.69051136363636367</v>
      </c>
      <c r="N49" s="100" t="s">
        <v>29</v>
      </c>
      <c r="O49" s="101">
        <f>$G48*O48</f>
        <v>1.3810227272727273</v>
      </c>
      <c r="P49" s="100" t="s">
        <v>29</v>
      </c>
      <c r="Q49" s="101">
        <f>$G48*Q48</f>
        <v>1.3810227272727273</v>
      </c>
      <c r="R49" s="100" t="s">
        <v>29</v>
      </c>
      <c r="S49" s="101">
        <f>$G48*S48</f>
        <v>2.7620454545454547</v>
      </c>
      <c r="T49" s="100" t="s">
        <v>29</v>
      </c>
      <c r="U49" s="101">
        <f>$G48*U48</f>
        <v>2.7620454545454547</v>
      </c>
      <c r="V49" s="100" t="s">
        <v>29</v>
      </c>
      <c r="W49" s="144">
        <f>$G48*W48</f>
        <v>4.8335795454545449</v>
      </c>
      <c r="X49" s="100" t="s">
        <v>29</v>
      </c>
      <c r="Y49" s="101">
        <f>$G48*Y48</f>
        <v>0</v>
      </c>
      <c r="Z49" s="100" t="s">
        <v>29</v>
      </c>
      <c r="AA49" s="101">
        <f>$G48*AA48</f>
        <v>0</v>
      </c>
      <c r="AB49" s="100" t="s">
        <v>29</v>
      </c>
      <c r="AC49" s="101">
        <f>$G48*AC48</f>
        <v>0</v>
      </c>
      <c r="AD49" s="100" t="s">
        <v>29</v>
      </c>
      <c r="AE49" s="101">
        <f>$G48*AE48</f>
        <v>0</v>
      </c>
      <c r="AF49" s="100" t="s">
        <v>29</v>
      </c>
      <c r="AG49" s="101">
        <f>$G48*AG48</f>
        <v>0</v>
      </c>
      <c r="AH49" s="336"/>
      <c r="AI49" s="329"/>
      <c r="AJ49" s="148">
        <f>(I48-H48)*G48</f>
        <v>13.810227272727273</v>
      </c>
      <c r="AK49" s="149">
        <f>(1-I48)*G48</f>
        <v>0</v>
      </c>
      <c r="AL49" s="369"/>
      <c r="AM49" s="9" t="s">
        <v>13</v>
      </c>
      <c r="AN49" s="10">
        <v>20255000</v>
      </c>
      <c r="AO49" s="11" t="s">
        <v>15</v>
      </c>
      <c r="AP49" s="12">
        <f>SUM(AQ49:BM49)</f>
        <v>0</v>
      </c>
      <c r="AQ49" s="13" t="s">
        <v>80</v>
      </c>
      <c r="AR49" s="14"/>
      <c r="AS49" s="14" t="s">
        <v>81</v>
      </c>
      <c r="AT49" s="14"/>
      <c r="AU49" s="14" t="s">
        <v>18</v>
      </c>
      <c r="AV49" s="14"/>
      <c r="AW49" s="14" t="s">
        <v>19</v>
      </c>
      <c r="AX49" s="14"/>
      <c r="AY49" s="14" t="s">
        <v>12</v>
      </c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  <c r="BO49" s="15"/>
      <c r="BP49" s="15"/>
      <c r="BQ49" s="15"/>
      <c r="BR49" s="15"/>
      <c r="BS49" s="15"/>
      <c r="BT49" s="15"/>
    </row>
    <row r="50" spans="1:72" ht="22.5" customHeight="1">
      <c r="A50" s="354"/>
      <c r="B50" s="357"/>
      <c r="C50" s="102" t="s">
        <v>37</v>
      </c>
      <c r="D50" s="96" t="s">
        <v>20</v>
      </c>
      <c r="E50" s="143">
        <f t="shared" ref="E50" si="56">E48-E49</f>
        <v>0</v>
      </c>
      <c r="F50" s="103" t="s">
        <v>21</v>
      </c>
      <c r="G50" s="230">
        <f>(AP49+AP50)/1000000</f>
        <v>0</v>
      </c>
      <c r="H50" s="359"/>
      <c r="I50" s="362"/>
      <c r="J50" s="340" t="s">
        <v>22</v>
      </c>
      <c r="K50" s="342"/>
      <c r="L50" s="340" t="s">
        <v>22</v>
      </c>
      <c r="M50" s="342"/>
      <c r="N50" s="340" t="s">
        <v>22</v>
      </c>
      <c r="O50" s="342"/>
      <c r="P50" s="340" t="s">
        <v>22</v>
      </c>
      <c r="Q50" s="342"/>
      <c r="R50" s="340" t="s">
        <v>22</v>
      </c>
      <c r="S50" s="342"/>
      <c r="T50" s="340" t="s">
        <v>22</v>
      </c>
      <c r="U50" s="342" t="s">
        <v>303</v>
      </c>
      <c r="V50" s="340" t="s">
        <v>22</v>
      </c>
      <c r="W50" s="342" t="s">
        <v>179</v>
      </c>
      <c r="X50" s="340" t="s">
        <v>22</v>
      </c>
      <c r="Y50" s="342" t="s">
        <v>180</v>
      </c>
      <c r="Z50" s="340" t="s">
        <v>22</v>
      </c>
      <c r="AA50" s="342"/>
      <c r="AB50" s="340" t="s">
        <v>22</v>
      </c>
      <c r="AC50" s="342"/>
      <c r="AD50" s="340" t="s">
        <v>22</v>
      </c>
      <c r="AE50" s="342"/>
      <c r="AF50" s="340" t="s">
        <v>22</v>
      </c>
      <c r="AG50" s="342"/>
      <c r="AH50" s="337"/>
      <c r="AI50" s="329"/>
      <c r="AJ50" s="109"/>
      <c r="AK50" s="109"/>
      <c r="AL50" s="369"/>
      <c r="AM50" s="9" t="s">
        <v>20</v>
      </c>
      <c r="AN50" s="10">
        <f>AN48-AN49</f>
        <v>0</v>
      </c>
      <c r="AO50" s="11" t="s">
        <v>24</v>
      </c>
      <c r="AP50" s="12"/>
      <c r="BN50" s="15"/>
      <c r="BO50" s="15"/>
      <c r="BP50" s="15"/>
      <c r="BQ50" s="15"/>
      <c r="BR50" s="15"/>
      <c r="BS50" s="15"/>
      <c r="BT50" s="15"/>
    </row>
    <row r="51" spans="1:72" ht="22.5" customHeight="1" thickBot="1">
      <c r="A51" s="355"/>
      <c r="B51" s="104" t="s">
        <v>88</v>
      </c>
      <c r="C51" s="105" t="s">
        <v>38</v>
      </c>
      <c r="D51" s="106" t="s">
        <v>25</v>
      </c>
      <c r="E51" s="145">
        <f t="shared" ref="E51" si="57">E49/E48</f>
        <v>1</v>
      </c>
      <c r="F51" s="106" t="s">
        <v>26</v>
      </c>
      <c r="G51" s="145">
        <f t="shared" ref="G51" si="58">(E48-(G49+G50)/0.7)/E48</f>
        <v>1</v>
      </c>
      <c r="H51" s="360"/>
      <c r="I51" s="363"/>
      <c r="J51" s="341"/>
      <c r="K51" s="343"/>
      <c r="L51" s="341"/>
      <c r="M51" s="343"/>
      <c r="N51" s="341"/>
      <c r="O51" s="343"/>
      <c r="P51" s="341"/>
      <c r="Q51" s="343"/>
      <c r="R51" s="341"/>
      <c r="S51" s="343"/>
      <c r="T51" s="341"/>
      <c r="U51" s="343"/>
      <c r="V51" s="341"/>
      <c r="W51" s="343"/>
      <c r="X51" s="341"/>
      <c r="Y51" s="343"/>
      <c r="Z51" s="341"/>
      <c r="AA51" s="343"/>
      <c r="AB51" s="341"/>
      <c r="AC51" s="343"/>
      <c r="AD51" s="341"/>
      <c r="AE51" s="343"/>
      <c r="AF51" s="341"/>
      <c r="AG51" s="343"/>
      <c r="AH51" s="138">
        <f>(I48-E51)*E48</f>
        <v>0</v>
      </c>
      <c r="AI51" s="371"/>
      <c r="AJ51" s="109"/>
      <c r="AK51" s="109"/>
      <c r="AL51" s="370"/>
      <c r="AM51" s="9"/>
      <c r="AN51" s="18">
        <f>AN49/AN48</f>
        <v>1</v>
      </c>
      <c r="AO51" s="16" t="s">
        <v>27</v>
      </c>
      <c r="AP51" s="17">
        <f>SUM(AP48:AP50)</f>
        <v>0</v>
      </c>
    </row>
    <row r="52" spans="1:72" ht="22.5" customHeight="1">
      <c r="A52" s="353">
        <v>13</v>
      </c>
      <c r="B52" s="356" t="s">
        <v>349</v>
      </c>
      <c r="C52" s="108" t="s">
        <v>128</v>
      </c>
      <c r="D52" s="89" t="s">
        <v>7</v>
      </c>
      <c r="E52" s="141">
        <f t="shared" ref="E52:E53" si="59">AN52/1100000</f>
        <v>9.0909090909090917</v>
      </c>
      <c r="F52" s="91" t="s">
        <v>8</v>
      </c>
      <c r="G52" s="142">
        <f t="shared" ref="G52" si="60">E52*0.75-(G53+G54)</f>
        <v>1.3181818181818183</v>
      </c>
      <c r="H52" s="358"/>
      <c r="I52" s="361">
        <f t="shared" ref="I52" si="61">H52+K52+M52+O52+Q52+S52+U52+W52+Y52+AA52+AC52+AE52+AG52</f>
        <v>1</v>
      </c>
      <c r="J52" s="93" t="s">
        <v>41</v>
      </c>
      <c r="K52" s="94"/>
      <c r="L52" s="93" t="s">
        <v>41</v>
      </c>
      <c r="M52" s="94"/>
      <c r="N52" s="93" t="s">
        <v>41</v>
      </c>
      <c r="O52" s="94"/>
      <c r="P52" s="93" t="s">
        <v>41</v>
      </c>
      <c r="Q52" s="94">
        <v>0.2</v>
      </c>
      <c r="R52" s="93" t="s">
        <v>41</v>
      </c>
      <c r="S52" s="94">
        <v>0.3</v>
      </c>
      <c r="T52" s="93" t="s">
        <v>41</v>
      </c>
      <c r="U52" s="94">
        <v>0.2</v>
      </c>
      <c r="V52" s="93" t="s">
        <v>41</v>
      </c>
      <c r="W52" s="94">
        <v>0.25</v>
      </c>
      <c r="X52" s="93" t="s">
        <v>41</v>
      </c>
      <c r="Y52" s="94">
        <v>0.05</v>
      </c>
      <c r="Z52" s="93" t="s">
        <v>41</v>
      </c>
      <c r="AA52" s="94"/>
      <c r="AB52" s="93" t="s">
        <v>41</v>
      </c>
      <c r="AC52" s="94"/>
      <c r="AD52" s="93" t="s">
        <v>41</v>
      </c>
      <c r="AE52" s="94"/>
      <c r="AF52" s="93" t="s">
        <v>41</v>
      </c>
      <c r="AG52" s="94"/>
      <c r="AH52" s="338" t="s">
        <v>329</v>
      </c>
      <c r="AI52" s="325" t="s">
        <v>130</v>
      </c>
      <c r="AJ52" s="146" t="s">
        <v>283</v>
      </c>
      <c r="AK52" s="147" t="s">
        <v>284</v>
      </c>
      <c r="AL52" s="368" t="s">
        <v>131</v>
      </c>
      <c r="AM52" s="9" t="s">
        <v>7</v>
      </c>
      <c r="AN52" s="10">
        <v>10000000</v>
      </c>
      <c r="AO52" s="11" t="s">
        <v>9</v>
      </c>
      <c r="AP52" s="12">
        <f>SUM(AQ52:BM52)</f>
        <v>0</v>
      </c>
      <c r="AQ52" s="13" t="s">
        <v>10</v>
      </c>
      <c r="AR52" s="14"/>
      <c r="AS52" s="14" t="s">
        <v>11</v>
      </c>
      <c r="AT52" s="14"/>
      <c r="AU52" s="14" t="s">
        <v>12</v>
      </c>
      <c r="AV52" s="14"/>
      <c r="AW52" s="14" t="s">
        <v>12</v>
      </c>
      <c r="AX52" s="14"/>
      <c r="AY52" s="14" t="s">
        <v>12</v>
      </c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</row>
    <row r="53" spans="1:72" ht="22.5" customHeight="1" thickBot="1">
      <c r="A53" s="354"/>
      <c r="B53" s="357"/>
      <c r="C53" s="102" t="s">
        <v>129</v>
      </c>
      <c r="D53" s="96" t="s">
        <v>13</v>
      </c>
      <c r="E53" s="143">
        <f t="shared" si="59"/>
        <v>9.0909090909090917</v>
      </c>
      <c r="F53" s="98" t="s">
        <v>14</v>
      </c>
      <c r="G53" s="230">
        <f>AP52/1000000</f>
        <v>0</v>
      </c>
      <c r="H53" s="359"/>
      <c r="I53" s="362"/>
      <c r="J53" s="100" t="s">
        <v>29</v>
      </c>
      <c r="K53" s="101">
        <f>$G52*K52</f>
        <v>0</v>
      </c>
      <c r="L53" s="100" t="s">
        <v>29</v>
      </c>
      <c r="M53" s="101">
        <f>$G52*M52</f>
        <v>0</v>
      </c>
      <c r="N53" s="100" t="s">
        <v>29</v>
      </c>
      <c r="O53" s="101">
        <f>$G52*O52</f>
        <v>0</v>
      </c>
      <c r="P53" s="100" t="s">
        <v>29</v>
      </c>
      <c r="Q53" s="101">
        <f>$G52*Q52</f>
        <v>0.26363636363636367</v>
      </c>
      <c r="R53" s="100" t="s">
        <v>29</v>
      </c>
      <c r="S53" s="101">
        <f>$G52*S52</f>
        <v>0.3954545454545455</v>
      </c>
      <c r="T53" s="100" t="s">
        <v>29</v>
      </c>
      <c r="U53" s="101">
        <f>$G52*U52</f>
        <v>0.26363636363636367</v>
      </c>
      <c r="V53" s="100" t="s">
        <v>29</v>
      </c>
      <c r="W53" s="144">
        <f>$G52*W52</f>
        <v>0.32954545454545459</v>
      </c>
      <c r="X53" s="100" t="s">
        <v>29</v>
      </c>
      <c r="Y53" s="101">
        <f>$G52*Y52</f>
        <v>6.5909090909090917E-2</v>
      </c>
      <c r="Z53" s="100" t="s">
        <v>29</v>
      </c>
      <c r="AA53" s="101">
        <f>$G52*AA52</f>
        <v>0</v>
      </c>
      <c r="AB53" s="100" t="s">
        <v>29</v>
      </c>
      <c r="AC53" s="101">
        <f>$G52*AC52</f>
        <v>0</v>
      </c>
      <c r="AD53" s="100" t="s">
        <v>29</v>
      </c>
      <c r="AE53" s="101">
        <f>$G52*AE52</f>
        <v>0</v>
      </c>
      <c r="AF53" s="100" t="s">
        <v>29</v>
      </c>
      <c r="AG53" s="101">
        <f>$G52*AG52</f>
        <v>0</v>
      </c>
      <c r="AH53" s="331"/>
      <c r="AI53" s="329"/>
      <c r="AJ53" s="148">
        <f>(I52-H52)*G52</f>
        <v>1.3181818181818183</v>
      </c>
      <c r="AK53" s="149">
        <f>(1-I52)*G52</f>
        <v>0</v>
      </c>
      <c r="AL53" s="369"/>
      <c r="AM53" s="9" t="s">
        <v>13</v>
      </c>
      <c r="AN53" s="10">
        <v>10000000</v>
      </c>
      <c r="AO53" s="11" t="s">
        <v>15</v>
      </c>
      <c r="AP53" s="12">
        <f>SUM(AQ53:BM53)</f>
        <v>5500000</v>
      </c>
      <c r="AQ53" s="19" t="s">
        <v>132</v>
      </c>
      <c r="AR53" s="14">
        <v>5500000</v>
      </c>
      <c r="AS53" s="14" t="s">
        <v>111</v>
      </c>
      <c r="AT53" s="14"/>
      <c r="AU53" s="14" t="s">
        <v>18</v>
      </c>
      <c r="AV53" s="14"/>
      <c r="AW53" s="14" t="s">
        <v>19</v>
      </c>
      <c r="AX53" s="14"/>
      <c r="AY53" s="14" t="s">
        <v>12</v>
      </c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5"/>
      <c r="BP53" s="15"/>
      <c r="BQ53" s="15"/>
      <c r="BR53" s="15"/>
      <c r="BS53" s="15"/>
      <c r="BT53" s="15"/>
    </row>
    <row r="54" spans="1:72" ht="22.5" customHeight="1">
      <c r="A54" s="354"/>
      <c r="B54" s="357"/>
      <c r="C54" s="102" t="s">
        <v>37</v>
      </c>
      <c r="D54" s="96" t="s">
        <v>20</v>
      </c>
      <c r="E54" s="143">
        <f t="shared" ref="E54" si="62">E52-E53</f>
        <v>0</v>
      </c>
      <c r="F54" s="103" t="s">
        <v>21</v>
      </c>
      <c r="G54" s="230">
        <f>(AP53+AP54)/1000000</f>
        <v>5.5</v>
      </c>
      <c r="H54" s="359"/>
      <c r="I54" s="362"/>
      <c r="J54" s="340" t="s">
        <v>22</v>
      </c>
      <c r="K54" s="342"/>
      <c r="L54" s="340" t="s">
        <v>22</v>
      </c>
      <c r="M54" s="342"/>
      <c r="N54" s="340" t="s">
        <v>22</v>
      </c>
      <c r="O54" s="342"/>
      <c r="P54" s="340" t="s">
        <v>22</v>
      </c>
      <c r="Q54" s="342" t="s">
        <v>176</v>
      </c>
      <c r="R54" s="340" t="s">
        <v>22</v>
      </c>
      <c r="S54" s="342" t="s">
        <v>176</v>
      </c>
      <c r="T54" s="340" t="s">
        <v>22</v>
      </c>
      <c r="U54" s="342" t="s">
        <v>176</v>
      </c>
      <c r="V54" s="340" t="s">
        <v>22</v>
      </c>
      <c r="W54" s="342" t="s">
        <v>176</v>
      </c>
      <c r="X54" s="340" t="s">
        <v>22</v>
      </c>
      <c r="Y54" s="342" t="s">
        <v>326</v>
      </c>
      <c r="Z54" s="340" t="s">
        <v>22</v>
      </c>
      <c r="AA54" s="342"/>
      <c r="AB54" s="340" t="s">
        <v>22</v>
      </c>
      <c r="AC54" s="342"/>
      <c r="AD54" s="340" t="s">
        <v>22</v>
      </c>
      <c r="AE54" s="342"/>
      <c r="AF54" s="340" t="s">
        <v>22</v>
      </c>
      <c r="AG54" s="342"/>
      <c r="AH54" s="339"/>
      <c r="AI54" s="329"/>
      <c r="AJ54" s="109"/>
      <c r="AK54" s="109"/>
      <c r="AL54" s="369"/>
      <c r="AM54" s="9" t="s">
        <v>20</v>
      </c>
      <c r="AN54" s="10">
        <f>AN52-AN53</f>
        <v>0</v>
      </c>
      <c r="AO54" s="11" t="s">
        <v>24</v>
      </c>
      <c r="AP54" s="12"/>
      <c r="BN54" s="15"/>
      <c r="BO54" s="15"/>
      <c r="BP54" s="15"/>
      <c r="BQ54" s="15"/>
      <c r="BR54" s="15"/>
      <c r="BS54" s="15"/>
      <c r="BT54" s="15"/>
    </row>
    <row r="55" spans="1:72" ht="22.5" customHeight="1" thickBot="1">
      <c r="A55" s="355"/>
      <c r="B55" s="104" t="s">
        <v>127</v>
      </c>
      <c r="C55" s="105" t="s">
        <v>38</v>
      </c>
      <c r="D55" s="106" t="s">
        <v>25</v>
      </c>
      <c r="E55" s="145">
        <f t="shared" ref="E55" si="63">E53/E52</f>
        <v>1</v>
      </c>
      <c r="F55" s="106" t="s">
        <v>26</v>
      </c>
      <c r="G55" s="145">
        <f t="shared" ref="G55" si="64">(E52-(G53+G54)/0.7)/E52</f>
        <v>0.13571428571428573</v>
      </c>
      <c r="H55" s="360"/>
      <c r="I55" s="363"/>
      <c r="J55" s="341"/>
      <c r="K55" s="343"/>
      <c r="L55" s="341"/>
      <c r="M55" s="343"/>
      <c r="N55" s="341"/>
      <c r="O55" s="343"/>
      <c r="P55" s="341"/>
      <c r="Q55" s="343"/>
      <c r="R55" s="341"/>
      <c r="S55" s="343"/>
      <c r="T55" s="341"/>
      <c r="U55" s="343"/>
      <c r="V55" s="341"/>
      <c r="W55" s="343"/>
      <c r="X55" s="341"/>
      <c r="Y55" s="343"/>
      <c r="Z55" s="341"/>
      <c r="AA55" s="343"/>
      <c r="AB55" s="341"/>
      <c r="AC55" s="343"/>
      <c r="AD55" s="341"/>
      <c r="AE55" s="343"/>
      <c r="AF55" s="341"/>
      <c r="AG55" s="343"/>
      <c r="AH55" s="138">
        <f>(I52-E55)*E52</f>
        <v>0</v>
      </c>
      <c r="AI55" s="371"/>
      <c r="AJ55" s="109"/>
      <c r="AK55" s="109"/>
      <c r="AL55" s="370"/>
      <c r="AM55" s="9"/>
      <c r="AN55" s="18">
        <f>AN53/AN52</f>
        <v>1</v>
      </c>
      <c r="AO55" s="16" t="s">
        <v>27</v>
      </c>
      <c r="AP55" s="17">
        <f>SUM(AP52:AP54)</f>
        <v>5500000</v>
      </c>
    </row>
    <row r="56" spans="1:72" ht="22.5" customHeight="1">
      <c r="A56" s="353">
        <v>14</v>
      </c>
      <c r="B56" s="356" t="s">
        <v>331</v>
      </c>
      <c r="C56" s="108" t="s">
        <v>134</v>
      </c>
      <c r="D56" s="89" t="s">
        <v>7</v>
      </c>
      <c r="E56" s="141">
        <f t="shared" ref="E56:E57" si="65">AN56/1100000</f>
        <v>7.5909090909090908</v>
      </c>
      <c r="F56" s="91" t="s">
        <v>8</v>
      </c>
      <c r="G56" s="142">
        <f t="shared" ref="G56" si="66">E56*0.75-(G57+G58)</f>
        <v>5.6931818181818183</v>
      </c>
      <c r="H56" s="358"/>
      <c r="I56" s="361">
        <f t="shared" ref="I56" si="67">H56+K56+M56+O56+Q56+S56+U56+W56+Y56+AA56+AC56+AE56+AG56</f>
        <v>1</v>
      </c>
      <c r="J56" s="93" t="s">
        <v>41</v>
      </c>
      <c r="K56" s="94"/>
      <c r="L56" s="93" t="s">
        <v>41</v>
      </c>
      <c r="M56" s="94"/>
      <c r="N56" s="93" t="s">
        <v>41</v>
      </c>
      <c r="O56" s="94"/>
      <c r="P56" s="93" t="s">
        <v>41</v>
      </c>
      <c r="Q56" s="94"/>
      <c r="R56" s="93" t="s">
        <v>41</v>
      </c>
      <c r="S56" s="94">
        <v>0.05</v>
      </c>
      <c r="T56" s="93" t="s">
        <v>41</v>
      </c>
      <c r="U56" s="94">
        <v>0.4</v>
      </c>
      <c r="V56" s="93" t="s">
        <v>41</v>
      </c>
      <c r="W56" s="94">
        <v>0.55000000000000004</v>
      </c>
      <c r="X56" s="93" t="s">
        <v>41</v>
      </c>
      <c r="Y56" s="94"/>
      <c r="Z56" s="93" t="s">
        <v>41</v>
      </c>
      <c r="AA56" s="94"/>
      <c r="AB56" s="93" t="s">
        <v>41</v>
      </c>
      <c r="AC56" s="94"/>
      <c r="AD56" s="93" t="s">
        <v>41</v>
      </c>
      <c r="AE56" s="94"/>
      <c r="AF56" s="93" t="s">
        <v>41</v>
      </c>
      <c r="AG56" s="94"/>
      <c r="AH56" s="338" t="s">
        <v>329</v>
      </c>
      <c r="AI56" s="325" t="s">
        <v>177</v>
      </c>
      <c r="AJ56" s="146" t="s">
        <v>283</v>
      </c>
      <c r="AK56" s="147" t="s">
        <v>284</v>
      </c>
      <c r="AL56" s="368"/>
      <c r="AM56" s="9" t="s">
        <v>7</v>
      </c>
      <c r="AN56" s="10">
        <v>8350000</v>
      </c>
      <c r="AO56" s="11" t="s">
        <v>9</v>
      </c>
      <c r="AP56" s="12">
        <f>SUM(AQ56:BM56)</f>
        <v>0</v>
      </c>
      <c r="AQ56" s="13" t="s">
        <v>10</v>
      </c>
      <c r="AR56" s="14"/>
      <c r="AS56" s="14" t="s">
        <v>11</v>
      </c>
      <c r="AT56" s="14"/>
      <c r="AU56" s="14" t="s">
        <v>12</v>
      </c>
      <c r="AV56" s="14"/>
      <c r="AW56" s="14" t="s">
        <v>12</v>
      </c>
      <c r="AX56" s="14"/>
      <c r="AY56" s="14" t="s">
        <v>12</v>
      </c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</row>
    <row r="57" spans="1:72" ht="22.5" customHeight="1" thickBot="1">
      <c r="A57" s="354"/>
      <c r="B57" s="357"/>
      <c r="C57" s="102" t="s">
        <v>135</v>
      </c>
      <c r="D57" s="96" t="s">
        <v>13</v>
      </c>
      <c r="E57" s="143">
        <f t="shared" si="65"/>
        <v>7.5909090909090908</v>
      </c>
      <c r="F57" s="98" t="s">
        <v>14</v>
      </c>
      <c r="G57" s="230">
        <f>AP56/1000000</f>
        <v>0</v>
      </c>
      <c r="H57" s="359"/>
      <c r="I57" s="362"/>
      <c r="J57" s="100" t="s">
        <v>29</v>
      </c>
      <c r="K57" s="101">
        <f>$G56*K56</f>
        <v>0</v>
      </c>
      <c r="L57" s="100" t="s">
        <v>29</v>
      </c>
      <c r="M57" s="101">
        <f>$G56*M56</f>
        <v>0</v>
      </c>
      <c r="N57" s="100" t="s">
        <v>29</v>
      </c>
      <c r="O57" s="101">
        <f>$G56*O56</f>
        <v>0</v>
      </c>
      <c r="P57" s="100" t="s">
        <v>29</v>
      </c>
      <c r="Q57" s="101">
        <f>$G56*Q56</f>
        <v>0</v>
      </c>
      <c r="R57" s="100" t="s">
        <v>29</v>
      </c>
      <c r="S57" s="101">
        <f>$G56*S56</f>
        <v>0.28465909090909092</v>
      </c>
      <c r="T57" s="100" t="s">
        <v>29</v>
      </c>
      <c r="U57" s="101">
        <f>$G56*U56</f>
        <v>2.2772727272727273</v>
      </c>
      <c r="V57" s="100" t="s">
        <v>29</v>
      </c>
      <c r="W57" s="144">
        <f>$G56*W56</f>
        <v>3.1312500000000005</v>
      </c>
      <c r="X57" s="100" t="s">
        <v>29</v>
      </c>
      <c r="Y57" s="101">
        <f>$G56*Y56</f>
        <v>0</v>
      </c>
      <c r="Z57" s="100" t="s">
        <v>29</v>
      </c>
      <c r="AA57" s="101">
        <f>$G56*AA56</f>
        <v>0</v>
      </c>
      <c r="AB57" s="100" t="s">
        <v>29</v>
      </c>
      <c r="AC57" s="101">
        <f>$G56*AC56</f>
        <v>0</v>
      </c>
      <c r="AD57" s="100" t="s">
        <v>29</v>
      </c>
      <c r="AE57" s="101">
        <f>$G56*AE56</f>
        <v>0</v>
      </c>
      <c r="AF57" s="100" t="s">
        <v>29</v>
      </c>
      <c r="AG57" s="101">
        <f>$G56*AG56</f>
        <v>0</v>
      </c>
      <c r="AH57" s="331"/>
      <c r="AI57" s="329"/>
      <c r="AJ57" s="148">
        <f>(I56-H56)*G56</f>
        <v>5.6931818181818183</v>
      </c>
      <c r="AK57" s="149">
        <f>(1-I56)*G56</f>
        <v>0</v>
      </c>
      <c r="AL57" s="369"/>
      <c r="AM57" s="9" t="s">
        <v>13</v>
      </c>
      <c r="AN57" s="10">
        <v>8350000</v>
      </c>
      <c r="AO57" s="11" t="s">
        <v>15</v>
      </c>
      <c r="AP57" s="12">
        <f>SUM(AQ57:BM57)</f>
        <v>0</v>
      </c>
      <c r="AQ57" s="19" t="s">
        <v>66</v>
      </c>
      <c r="AR57" s="14"/>
      <c r="AS57" s="14" t="s">
        <v>67</v>
      </c>
      <c r="AT57" s="14"/>
      <c r="AU57" s="14" t="s">
        <v>68</v>
      </c>
      <c r="AV57" s="14"/>
      <c r="AW57" s="14" t="s">
        <v>69</v>
      </c>
      <c r="AX57" s="14"/>
      <c r="AY57" s="14" t="s">
        <v>69</v>
      </c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5"/>
      <c r="BO57" s="15"/>
      <c r="BP57" s="15"/>
      <c r="BQ57" s="15"/>
      <c r="BR57" s="15"/>
      <c r="BS57" s="15"/>
      <c r="BT57" s="15"/>
    </row>
    <row r="58" spans="1:72" ht="22.5" customHeight="1">
      <c r="A58" s="354"/>
      <c r="B58" s="357"/>
      <c r="C58" s="102" t="s">
        <v>37</v>
      </c>
      <c r="D58" s="96" t="s">
        <v>20</v>
      </c>
      <c r="E58" s="143">
        <f t="shared" ref="E58" si="68">E56-E57</f>
        <v>0</v>
      </c>
      <c r="F58" s="103" t="s">
        <v>21</v>
      </c>
      <c r="G58" s="230">
        <f>(AP57+AP58)/1000000</f>
        <v>0</v>
      </c>
      <c r="H58" s="359"/>
      <c r="I58" s="362"/>
      <c r="J58" s="340" t="s">
        <v>22</v>
      </c>
      <c r="K58" s="342"/>
      <c r="L58" s="340"/>
      <c r="M58" s="342"/>
      <c r="N58" s="340"/>
      <c r="O58" s="342"/>
      <c r="P58" s="340"/>
      <c r="Q58" s="342"/>
      <c r="R58" s="340"/>
      <c r="S58" s="342" t="s">
        <v>176</v>
      </c>
      <c r="T58" s="340" t="s">
        <v>22</v>
      </c>
      <c r="U58" s="342" t="s">
        <v>176</v>
      </c>
      <c r="V58" s="340" t="s">
        <v>22</v>
      </c>
      <c r="W58" s="342" t="s">
        <v>326</v>
      </c>
      <c r="X58" s="340" t="s">
        <v>22</v>
      </c>
      <c r="Y58" s="342" t="s">
        <v>87</v>
      </c>
      <c r="Z58" s="340" t="s">
        <v>22</v>
      </c>
      <c r="AA58" s="342" t="s">
        <v>23</v>
      </c>
      <c r="AB58" s="340" t="s">
        <v>22</v>
      </c>
      <c r="AC58" s="342" t="s">
        <v>23</v>
      </c>
      <c r="AD58" s="340" t="s">
        <v>22</v>
      </c>
      <c r="AE58" s="342" t="s">
        <v>23</v>
      </c>
      <c r="AF58" s="340" t="s">
        <v>22</v>
      </c>
      <c r="AG58" s="342" t="s">
        <v>23</v>
      </c>
      <c r="AH58" s="339"/>
      <c r="AI58" s="329"/>
      <c r="AJ58" s="109"/>
      <c r="AK58" s="109"/>
      <c r="AL58" s="369"/>
      <c r="AM58" s="9" t="s">
        <v>20</v>
      </c>
      <c r="AN58" s="10">
        <f>AN56-AN57</f>
        <v>0</v>
      </c>
      <c r="AO58" s="11" t="s">
        <v>24</v>
      </c>
      <c r="AP58" s="12"/>
      <c r="BN58" s="15"/>
      <c r="BO58" s="15"/>
      <c r="BP58" s="15"/>
      <c r="BQ58" s="15"/>
      <c r="BR58" s="15"/>
      <c r="BS58" s="15"/>
      <c r="BT58" s="15"/>
    </row>
    <row r="59" spans="1:72" ht="22.5" customHeight="1" thickBot="1">
      <c r="A59" s="355"/>
      <c r="B59" s="104" t="s">
        <v>133</v>
      </c>
      <c r="C59" s="105" t="s">
        <v>38</v>
      </c>
      <c r="D59" s="106" t="s">
        <v>25</v>
      </c>
      <c r="E59" s="145">
        <f t="shared" ref="E59" si="69">E57/E56</f>
        <v>1</v>
      </c>
      <c r="F59" s="106" t="s">
        <v>26</v>
      </c>
      <c r="G59" s="145">
        <f t="shared" ref="G59" si="70">(E56-(G57+G58)/0.7)/E56</f>
        <v>1</v>
      </c>
      <c r="H59" s="360"/>
      <c r="I59" s="363"/>
      <c r="J59" s="341"/>
      <c r="K59" s="343"/>
      <c r="L59" s="341"/>
      <c r="M59" s="343"/>
      <c r="N59" s="341"/>
      <c r="O59" s="343"/>
      <c r="P59" s="341"/>
      <c r="Q59" s="343"/>
      <c r="R59" s="341"/>
      <c r="S59" s="343"/>
      <c r="T59" s="341"/>
      <c r="U59" s="343"/>
      <c r="V59" s="341"/>
      <c r="W59" s="343"/>
      <c r="X59" s="341"/>
      <c r="Y59" s="343"/>
      <c r="Z59" s="341"/>
      <c r="AA59" s="343"/>
      <c r="AB59" s="341"/>
      <c r="AC59" s="343"/>
      <c r="AD59" s="341"/>
      <c r="AE59" s="343"/>
      <c r="AF59" s="341"/>
      <c r="AG59" s="343"/>
      <c r="AH59" s="138">
        <f>(I56-E59)*E56</f>
        <v>0</v>
      </c>
      <c r="AI59" s="371"/>
      <c r="AJ59" s="109"/>
      <c r="AK59" s="109"/>
      <c r="AL59" s="370"/>
      <c r="AM59" s="9"/>
      <c r="AN59" s="18">
        <f>AN57/AN56</f>
        <v>1</v>
      </c>
      <c r="AO59" s="16" t="s">
        <v>27</v>
      </c>
      <c r="AP59" s="17">
        <f>SUM(AP56:AP58)</f>
        <v>0</v>
      </c>
    </row>
    <row r="60" spans="1:72" ht="22.5" customHeight="1">
      <c r="A60" s="353">
        <v>15</v>
      </c>
      <c r="B60" s="356" t="s">
        <v>332</v>
      </c>
      <c r="C60" s="108" t="s">
        <v>136</v>
      </c>
      <c r="D60" s="89" t="s">
        <v>7</v>
      </c>
      <c r="E60" s="141">
        <f t="shared" ref="E60:E61" si="71">AN60/1100000</f>
        <v>7.581818181818182</v>
      </c>
      <c r="F60" s="91" t="s">
        <v>8</v>
      </c>
      <c r="G60" s="142">
        <f t="shared" ref="G60" si="72">E60*0.75-(G61+G62)</f>
        <v>5.6863636363636365</v>
      </c>
      <c r="H60" s="358"/>
      <c r="I60" s="361">
        <f>H60+K60+M60+O60+Q60+S60+U60+W60+Y60+AA60+AC60+AE60+AG60</f>
        <v>1</v>
      </c>
      <c r="J60" s="93" t="s">
        <v>41</v>
      </c>
      <c r="K60" s="94"/>
      <c r="L60" s="93" t="s">
        <v>41</v>
      </c>
      <c r="M60" s="94"/>
      <c r="N60" s="93" t="s">
        <v>41</v>
      </c>
      <c r="O60" s="94"/>
      <c r="P60" s="93" t="s">
        <v>41</v>
      </c>
      <c r="Q60" s="94"/>
      <c r="R60" s="93" t="s">
        <v>41</v>
      </c>
      <c r="S60" s="94">
        <v>0.05</v>
      </c>
      <c r="T60" s="93" t="s">
        <v>41</v>
      </c>
      <c r="U60" s="94">
        <v>0.4</v>
      </c>
      <c r="V60" s="93" t="s">
        <v>41</v>
      </c>
      <c r="W60" s="94">
        <v>0.5</v>
      </c>
      <c r="X60" s="93" t="s">
        <v>41</v>
      </c>
      <c r="Y60" s="94">
        <v>0.05</v>
      </c>
      <c r="Z60" s="93" t="s">
        <v>41</v>
      </c>
      <c r="AA60" s="94"/>
      <c r="AB60" s="93" t="s">
        <v>41</v>
      </c>
      <c r="AC60" s="94"/>
      <c r="AD60" s="93" t="s">
        <v>41</v>
      </c>
      <c r="AE60" s="94"/>
      <c r="AF60" s="93" t="s">
        <v>41</v>
      </c>
      <c r="AG60" s="94"/>
      <c r="AH60" s="338" t="s">
        <v>330</v>
      </c>
      <c r="AI60" s="325" t="s">
        <v>177</v>
      </c>
      <c r="AJ60" s="146" t="s">
        <v>283</v>
      </c>
      <c r="AK60" s="147" t="s">
        <v>284</v>
      </c>
      <c r="AL60" s="368" t="s">
        <v>122</v>
      </c>
      <c r="AM60" s="9" t="s">
        <v>7</v>
      </c>
      <c r="AN60" s="10">
        <v>8340000</v>
      </c>
      <c r="AO60" s="11" t="s">
        <v>9</v>
      </c>
      <c r="AP60" s="12">
        <f>SUM(AQ60:BM60)</f>
        <v>0</v>
      </c>
      <c r="AQ60" s="13" t="s">
        <v>123</v>
      </c>
      <c r="AR60" s="14">
        <v>0</v>
      </c>
      <c r="AS60" s="14" t="s">
        <v>11</v>
      </c>
      <c r="AT60" s="14"/>
      <c r="AU60" s="14" t="s">
        <v>12</v>
      </c>
      <c r="AV60" s="14"/>
      <c r="AW60" s="14" t="s">
        <v>12</v>
      </c>
      <c r="AX60" s="14"/>
      <c r="AY60" s="14" t="s">
        <v>12</v>
      </c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</row>
    <row r="61" spans="1:72" ht="22.5" customHeight="1" thickBot="1">
      <c r="A61" s="354"/>
      <c r="B61" s="357"/>
      <c r="C61" s="102" t="s">
        <v>137</v>
      </c>
      <c r="D61" s="96" t="s">
        <v>13</v>
      </c>
      <c r="E61" s="143">
        <f t="shared" si="71"/>
        <v>7.581818181818182</v>
      </c>
      <c r="F61" s="98" t="s">
        <v>14</v>
      </c>
      <c r="G61" s="230">
        <f>AP60/1000000</f>
        <v>0</v>
      </c>
      <c r="H61" s="359"/>
      <c r="I61" s="362"/>
      <c r="J61" s="100" t="s">
        <v>29</v>
      </c>
      <c r="K61" s="101">
        <f>$G60*K60</f>
        <v>0</v>
      </c>
      <c r="L61" s="100" t="s">
        <v>29</v>
      </c>
      <c r="M61" s="101">
        <f>$G60*M60</f>
        <v>0</v>
      </c>
      <c r="N61" s="100" t="s">
        <v>29</v>
      </c>
      <c r="O61" s="101">
        <f>$G60*O60</f>
        <v>0</v>
      </c>
      <c r="P61" s="100" t="s">
        <v>29</v>
      </c>
      <c r="Q61" s="101">
        <f>$G60*Q60</f>
        <v>0</v>
      </c>
      <c r="R61" s="100" t="s">
        <v>29</v>
      </c>
      <c r="S61" s="101">
        <f>$G60*S60</f>
        <v>0.28431818181818186</v>
      </c>
      <c r="T61" s="100" t="s">
        <v>29</v>
      </c>
      <c r="U61" s="101">
        <f>$G60*U60</f>
        <v>2.2745454545454549</v>
      </c>
      <c r="V61" s="100" t="s">
        <v>29</v>
      </c>
      <c r="W61" s="144">
        <f>$G60*W60</f>
        <v>2.8431818181818183</v>
      </c>
      <c r="X61" s="100" t="s">
        <v>29</v>
      </c>
      <c r="Y61" s="101">
        <f>$G60*Y60</f>
        <v>0.28431818181818186</v>
      </c>
      <c r="Z61" s="100" t="s">
        <v>29</v>
      </c>
      <c r="AA61" s="101">
        <f>$G60*AA60</f>
        <v>0</v>
      </c>
      <c r="AB61" s="100" t="s">
        <v>29</v>
      </c>
      <c r="AC61" s="101">
        <f>$G60*AC60</f>
        <v>0</v>
      </c>
      <c r="AD61" s="100" t="s">
        <v>29</v>
      </c>
      <c r="AE61" s="101">
        <f>$G60*AE60</f>
        <v>0</v>
      </c>
      <c r="AF61" s="100" t="s">
        <v>29</v>
      </c>
      <c r="AG61" s="101">
        <f>$G60*AG60</f>
        <v>0</v>
      </c>
      <c r="AH61" s="331"/>
      <c r="AI61" s="329"/>
      <c r="AJ61" s="148">
        <f>(I60-H60)*G60</f>
        <v>5.6863636363636365</v>
      </c>
      <c r="AK61" s="149">
        <f>(1-I60)*G60</f>
        <v>0</v>
      </c>
      <c r="AL61" s="369"/>
      <c r="AM61" s="9" t="s">
        <v>13</v>
      </c>
      <c r="AN61" s="10">
        <v>8340000</v>
      </c>
      <c r="AO61" s="11" t="s">
        <v>15</v>
      </c>
      <c r="AP61" s="12">
        <f>SUM(AQ61:BM61)</f>
        <v>0</v>
      </c>
      <c r="AQ61" s="13" t="s">
        <v>16</v>
      </c>
      <c r="AR61" s="14"/>
      <c r="AS61" s="14" t="s">
        <v>17</v>
      </c>
      <c r="AT61" s="14"/>
      <c r="AU61" s="14" t="s">
        <v>18</v>
      </c>
      <c r="AV61" s="14"/>
      <c r="AW61" s="14" t="s">
        <v>19</v>
      </c>
      <c r="AX61" s="14"/>
      <c r="AY61" s="14" t="s">
        <v>12</v>
      </c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5"/>
      <c r="BO61" s="15"/>
      <c r="BP61" s="15"/>
      <c r="BQ61" s="15"/>
      <c r="BR61" s="15"/>
      <c r="BS61" s="15"/>
      <c r="BT61" s="15"/>
    </row>
    <row r="62" spans="1:72" ht="22.5" customHeight="1">
      <c r="A62" s="354"/>
      <c r="B62" s="357"/>
      <c r="C62" s="102" t="s">
        <v>37</v>
      </c>
      <c r="D62" s="96" t="s">
        <v>20</v>
      </c>
      <c r="E62" s="143">
        <f t="shared" ref="E62" si="73">E60-E61</f>
        <v>0</v>
      </c>
      <c r="F62" s="103" t="s">
        <v>21</v>
      </c>
      <c r="G62" s="230">
        <f>(AP61+AP62)/1000000</f>
        <v>0</v>
      </c>
      <c r="H62" s="359"/>
      <c r="I62" s="362"/>
      <c r="J62" s="340" t="s">
        <v>22</v>
      </c>
      <c r="K62" s="342"/>
      <c r="L62" s="340" t="s">
        <v>22</v>
      </c>
      <c r="M62" s="342"/>
      <c r="N62" s="340" t="s">
        <v>22</v>
      </c>
      <c r="O62" s="342"/>
      <c r="P62" s="340" t="s">
        <v>22</v>
      </c>
      <c r="Q62" s="342"/>
      <c r="R62" s="340" t="s">
        <v>22</v>
      </c>
      <c r="S62" s="342" t="s">
        <v>176</v>
      </c>
      <c r="T62" s="340" t="s">
        <v>22</v>
      </c>
      <c r="U62" s="342" t="s">
        <v>176</v>
      </c>
      <c r="V62" s="340" t="s">
        <v>22</v>
      </c>
      <c r="W62" s="342" t="s">
        <v>176</v>
      </c>
      <c r="X62" s="340" t="s">
        <v>22</v>
      </c>
      <c r="Y62" s="342" t="s">
        <v>326</v>
      </c>
      <c r="Z62" s="340" t="s">
        <v>22</v>
      </c>
      <c r="AA62" s="342"/>
      <c r="AB62" s="340" t="s">
        <v>22</v>
      </c>
      <c r="AC62" s="342"/>
      <c r="AD62" s="340" t="s">
        <v>22</v>
      </c>
      <c r="AE62" s="342"/>
      <c r="AF62" s="340" t="s">
        <v>22</v>
      </c>
      <c r="AG62" s="342"/>
      <c r="AH62" s="331"/>
      <c r="AI62" s="329"/>
      <c r="AJ62" s="109"/>
      <c r="AK62" s="109"/>
      <c r="AL62" s="369"/>
      <c r="AM62" s="9" t="s">
        <v>20</v>
      </c>
      <c r="AN62" s="10">
        <f>AN60-AN61</f>
        <v>0</v>
      </c>
      <c r="AO62" s="11" t="s">
        <v>24</v>
      </c>
      <c r="AP62" s="12"/>
      <c r="BN62" s="15"/>
      <c r="BO62" s="15"/>
      <c r="BP62" s="15"/>
      <c r="BQ62" s="15"/>
      <c r="BR62" s="15"/>
      <c r="BS62" s="15"/>
      <c r="BT62" s="15"/>
    </row>
    <row r="63" spans="1:72" ht="22.5" customHeight="1" thickBot="1">
      <c r="A63" s="355"/>
      <c r="B63" s="104" t="s">
        <v>133</v>
      </c>
      <c r="C63" s="105" t="s">
        <v>38</v>
      </c>
      <c r="D63" s="106" t="s">
        <v>25</v>
      </c>
      <c r="E63" s="145">
        <f t="shared" ref="E63" si="74">E61/E60</f>
        <v>1</v>
      </c>
      <c r="F63" s="106" t="s">
        <v>26</v>
      </c>
      <c r="G63" s="145">
        <f t="shared" ref="G63" si="75">(E60-(G61+G62)/0.7)/E60</f>
        <v>1</v>
      </c>
      <c r="H63" s="360"/>
      <c r="I63" s="363"/>
      <c r="J63" s="341"/>
      <c r="K63" s="343"/>
      <c r="L63" s="341"/>
      <c r="M63" s="343"/>
      <c r="N63" s="341"/>
      <c r="O63" s="343"/>
      <c r="P63" s="341"/>
      <c r="Q63" s="343"/>
      <c r="R63" s="341"/>
      <c r="S63" s="343"/>
      <c r="T63" s="341"/>
      <c r="U63" s="343"/>
      <c r="V63" s="341"/>
      <c r="W63" s="343"/>
      <c r="X63" s="341"/>
      <c r="Y63" s="343"/>
      <c r="Z63" s="341"/>
      <c r="AA63" s="343"/>
      <c r="AB63" s="341"/>
      <c r="AC63" s="343"/>
      <c r="AD63" s="341"/>
      <c r="AE63" s="343"/>
      <c r="AF63" s="341"/>
      <c r="AG63" s="343"/>
      <c r="AH63" s="138">
        <f>(I60-E63)*E60</f>
        <v>0</v>
      </c>
      <c r="AI63" s="371"/>
      <c r="AJ63" s="109"/>
      <c r="AK63" s="109"/>
      <c r="AL63" s="370"/>
      <c r="AM63" s="9"/>
      <c r="AN63" s="18">
        <f>AN61/AN60</f>
        <v>1</v>
      </c>
      <c r="AO63" s="16" t="s">
        <v>27</v>
      </c>
      <c r="AP63" s="17">
        <f>SUM(AP60:AP62)</f>
        <v>0</v>
      </c>
    </row>
    <row r="64" spans="1:72" ht="22.5" customHeight="1">
      <c r="A64" s="344" t="s">
        <v>285</v>
      </c>
      <c r="B64" s="345"/>
      <c r="C64" s="346"/>
      <c r="D64" s="121" t="s">
        <v>286</v>
      </c>
      <c r="E64" s="137">
        <f>E4+E8+E12+E16+E20+E24+E28+E32+E36+E40+E44+E48+E52+E56+E60</f>
        <v>7332.8772609090902</v>
      </c>
      <c r="F64" s="122" t="s">
        <v>287</v>
      </c>
      <c r="G64" s="137">
        <f>G4+G8+G12+G16+G20+G24+G28+G32+G36+G40+G44+G48+G52+G56+G60</f>
        <v>4471.2555376818191</v>
      </c>
      <c r="H64" s="358"/>
      <c r="I64" s="313"/>
      <c r="J64" s="319" t="s">
        <v>288</v>
      </c>
      <c r="K64" s="322">
        <f>K5+K9+K13+K17+K21+K25+K29+K37+K41+K45+K49+K53+K57+K61</f>
        <v>0.23355681818181823</v>
      </c>
      <c r="L64" s="319" t="s">
        <v>288</v>
      </c>
      <c r="M64" s="322">
        <f>M5+M9+M13+M17+M21+M25+M29+M37+M41+M45+M49+M53+M57+M61</f>
        <v>1.7422727272727281</v>
      </c>
      <c r="N64" s="319" t="s">
        <v>288</v>
      </c>
      <c r="O64" s="322">
        <f>O5+O9+O13+O17+O21+O25+O29+O37+O41+O45+O49+O53+O57+O61</f>
        <v>6.8481230681818186</v>
      </c>
      <c r="P64" s="319" t="s">
        <v>288</v>
      </c>
      <c r="Q64" s="322">
        <f>Q5+Q9+Q13+Q17+Q21+Q25+Q29+Q37+Q41+Q45+Q49+Q53+Q57+Q61</f>
        <v>7.1117594318181823</v>
      </c>
      <c r="R64" s="319" t="s">
        <v>288</v>
      </c>
      <c r="S64" s="322">
        <f>S5+S9+S13+S17+S21+S25+S29+S37+S41+S45+S49+S53+S57+S61</f>
        <v>9.4271344318181853</v>
      </c>
      <c r="T64" s="319" t="s">
        <v>288</v>
      </c>
      <c r="U64" s="322">
        <f>U5+U9+U13+U17+U21+U25+U29+U37+U41+U45+U49+U53+U57+U61</f>
        <v>13.862804886363639</v>
      </c>
      <c r="V64" s="319" t="s">
        <v>288</v>
      </c>
      <c r="W64" s="322">
        <f>W5+W9+W13+W17+W21+W25+W29+W33+W37+W41+W45+W49+W53+W57+W61</f>
        <v>21.604643863636365</v>
      </c>
      <c r="X64" s="319" t="s">
        <v>288</v>
      </c>
      <c r="Y64" s="322">
        <f>Y5+Y9+Y13+Y17+Y21+Y25+Y29+Y33+Y37+Y41+Y45+Y49+Y53+Y57+Y61</f>
        <v>11.191148545454547</v>
      </c>
      <c r="Z64" s="319" t="s">
        <v>288</v>
      </c>
      <c r="AA64" s="322">
        <f>AA5+AA9+AA13+AA17+AA21+AA25+AA29+AA37+AA41+AA45+AA49+AA53+AA57+AA61</f>
        <v>0</v>
      </c>
      <c r="AB64" s="319" t="s">
        <v>288</v>
      </c>
      <c r="AC64" s="322">
        <f>AC5+AC9+AC13+AC17+AC21+AC25+AC29+AC37+AC41+AC45+AC49+AC53+AC57+AC61</f>
        <v>0</v>
      </c>
      <c r="AD64" s="319" t="s">
        <v>288</v>
      </c>
      <c r="AE64" s="322">
        <f>AE5+AE9+AE13+AE17+AE21+AE25+AE29+AE37+AE41+AE45+AE49+AE53+AE57+AE61</f>
        <v>0</v>
      </c>
      <c r="AF64" s="319" t="s">
        <v>288</v>
      </c>
      <c r="AG64" s="322">
        <f>AG5+AG9+AG13+AG17+AG21+AG25+AG29+AG37+AG41+AG45+AG49+AG53+AG57+AG61</f>
        <v>0</v>
      </c>
      <c r="AH64" s="310">
        <f>AH7+AH11+AH15+AH19+AH23+AH27+AH31+AH35+AH39+AH43+AH47+AH51+AH55+AH59+AH63</f>
        <v>2497.4273322727272</v>
      </c>
      <c r="AI64" s="316"/>
      <c r="AJ64" s="127" t="s">
        <v>285</v>
      </c>
      <c r="AK64" s="128" t="s">
        <v>285</v>
      </c>
    </row>
    <row r="65" spans="1:37" ht="22.5" customHeight="1" thickBot="1">
      <c r="A65" s="347"/>
      <c r="B65" s="348"/>
      <c r="C65" s="349"/>
      <c r="D65" s="123" t="s">
        <v>289</v>
      </c>
      <c r="E65" s="136">
        <f>E5+E9+E13+E17+E21+E25+E29+E33+E37+E41+E45+E49+E53+E57+E61</f>
        <v>1638.0399999999997</v>
      </c>
      <c r="F65" s="124" t="s">
        <v>290</v>
      </c>
      <c r="G65" s="136">
        <f>G5+G9+G13+G17+G21+G25+G29+G33+G37+G41+G45+G49+G53+G57+G61</f>
        <v>392.237863</v>
      </c>
      <c r="H65" s="359"/>
      <c r="I65" s="314"/>
      <c r="J65" s="320"/>
      <c r="K65" s="323"/>
      <c r="L65" s="320"/>
      <c r="M65" s="323"/>
      <c r="N65" s="320"/>
      <c r="O65" s="323"/>
      <c r="P65" s="320"/>
      <c r="Q65" s="323"/>
      <c r="R65" s="320"/>
      <c r="S65" s="323"/>
      <c r="T65" s="320"/>
      <c r="U65" s="323"/>
      <c r="V65" s="320"/>
      <c r="W65" s="323"/>
      <c r="X65" s="320"/>
      <c r="Y65" s="323"/>
      <c r="Z65" s="320"/>
      <c r="AA65" s="323"/>
      <c r="AB65" s="320"/>
      <c r="AC65" s="323"/>
      <c r="AD65" s="320"/>
      <c r="AE65" s="323"/>
      <c r="AF65" s="320"/>
      <c r="AG65" s="323"/>
      <c r="AH65" s="311"/>
      <c r="AI65" s="317"/>
      <c r="AJ65" s="129">
        <f>SUM(AJ4:AJ63)</f>
        <v>72.021443772727281</v>
      </c>
      <c r="AK65" s="148">
        <f>SUM(AK4:AK63)</f>
        <v>2065.378382927272</v>
      </c>
    </row>
    <row r="66" spans="1:37" ht="22.5" customHeight="1">
      <c r="A66" s="347"/>
      <c r="B66" s="348"/>
      <c r="C66" s="349"/>
      <c r="D66" s="123" t="s">
        <v>291</v>
      </c>
      <c r="E66" s="135">
        <f>E6+E10+E14+E18+E22+E26+E30+E34+E38+E42+E46+E50+E54+E58+E62</f>
        <v>5694.837260909092</v>
      </c>
      <c r="F66" s="125" t="s">
        <v>292</v>
      </c>
      <c r="G66" s="135">
        <f>G6+G10+G14+G18+G22+G26+G30+G34+G38+G42+G46+G50+G54+G58+G62</f>
        <v>636.16454499999998</v>
      </c>
      <c r="H66" s="359"/>
      <c r="I66" s="314"/>
      <c r="J66" s="320"/>
      <c r="K66" s="323"/>
      <c r="L66" s="320"/>
      <c r="M66" s="323"/>
      <c r="N66" s="320"/>
      <c r="O66" s="323"/>
      <c r="P66" s="320"/>
      <c r="Q66" s="323"/>
      <c r="R66" s="320"/>
      <c r="S66" s="323"/>
      <c r="T66" s="320"/>
      <c r="U66" s="323"/>
      <c r="V66" s="320"/>
      <c r="W66" s="323"/>
      <c r="X66" s="320"/>
      <c r="Y66" s="323"/>
      <c r="Z66" s="320"/>
      <c r="AA66" s="323"/>
      <c r="AB66" s="320"/>
      <c r="AC66" s="323"/>
      <c r="AD66" s="320"/>
      <c r="AE66" s="323"/>
      <c r="AF66" s="320"/>
      <c r="AG66" s="323"/>
      <c r="AH66" s="311"/>
      <c r="AI66" s="317"/>
      <c r="AJ66" s="130"/>
      <c r="AK66" s="131"/>
    </row>
    <row r="67" spans="1:37" ht="22.5" customHeight="1" thickBot="1">
      <c r="A67" s="350"/>
      <c r="B67" s="351"/>
      <c r="C67" s="352"/>
      <c r="D67" s="126" t="s">
        <v>293</v>
      </c>
      <c r="E67" s="145">
        <f t="shared" ref="E67" si="76">E65/E64</f>
        <v>0.22338298347529201</v>
      </c>
      <c r="F67" s="126" t="s">
        <v>294</v>
      </c>
      <c r="G67" s="145">
        <f t="shared" ref="G67" si="77">(E64-(G65+G66)/0.7)/E64</f>
        <v>0.7996494084287018</v>
      </c>
      <c r="H67" s="360"/>
      <c r="I67" s="315"/>
      <c r="J67" s="321"/>
      <c r="K67" s="324"/>
      <c r="L67" s="321"/>
      <c r="M67" s="324"/>
      <c r="N67" s="321"/>
      <c r="O67" s="324"/>
      <c r="P67" s="321"/>
      <c r="Q67" s="324"/>
      <c r="R67" s="321"/>
      <c r="S67" s="324"/>
      <c r="T67" s="321"/>
      <c r="U67" s="324"/>
      <c r="V67" s="321"/>
      <c r="W67" s="324"/>
      <c r="X67" s="321"/>
      <c r="Y67" s="324"/>
      <c r="Z67" s="321"/>
      <c r="AA67" s="324"/>
      <c r="AB67" s="321"/>
      <c r="AC67" s="324"/>
      <c r="AD67" s="321"/>
      <c r="AE67" s="324"/>
      <c r="AF67" s="321"/>
      <c r="AG67" s="324"/>
      <c r="AH67" s="312"/>
      <c r="AI67" s="318"/>
      <c r="AJ67" s="132"/>
      <c r="AK67" s="133"/>
    </row>
    <row r="68" spans="1:37" ht="22.5" customHeight="1"/>
    <row r="69" spans="1:37" ht="22.5" customHeight="1"/>
    <row r="70" spans="1:37" ht="22.5" customHeight="1"/>
    <row r="71" spans="1:37" ht="22.5" customHeight="1"/>
    <row r="72" spans="1:37" ht="22.5" customHeight="1"/>
    <row r="73" spans="1:37" ht="22.5" customHeight="1"/>
    <row r="74" spans="1:37" ht="22.5" customHeight="1"/>
    <row r="75" spans="1:37" ht="22.5" customHeight="1"/>
    <row r="76" spans="1:37" ht="22.5" customHeight="1"/>
  </sheetData>
  <mergeCells count="509">
    <mergeCell ref="AH32:AH34"/>
    <mergeCell ref="AI32:AI35"/>
    <mergeCell ref="AL32:AL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J64:J67"/>
    <mergeCell ref="K64:K67"/>
    <mergeCell ref="L64:L67"/>
    <mergeCell ref="O64:O67"/>
    <mergeCell ref="P64:P67"/>
    <mergeCell ref="Q64:Q67"/>
    <mergeCell ref="R64:R67"/>
    <mergeCell ref="V64:V67"/>
    <mergeCell ref="W64:W67"/>
    <mergeCell ref="AI60:AI63"/>
    <mergeCell ref="AL60:AL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V62:V63"/>
    <mergeCell ref="U62:U63"/>
    <mergeCell ref="X62:X63"/>
    <mergeCell ref="Y62:Y63"/>
    <mergeCell ref="Z62:Z63"/>
    <mergeCell ref="AA62:AA63"/>
    <mergeCell ref="AB62:AB63"/>
    <mergeCell ref="AC62:AC63"/>
    <mergeCell ref="AD62:AD63"/>
    <mergeCell ref="AD58:AD59"/>
    <mergeCell ref="AE58:AE59"/>
    <mergeCell ref="AF58:AF59"/>
    <mergeCell ref="AG58:AG59"/>
    <mergeCell ref="A60:A63"/>
    <mergeCell ref="B60:B62"/>
    <mergeCell ref="H60:H63"/>
    <mergeCell ref="I60:I63"/>
    <mergeCell ref="AE62:AE63"/>
    <mergeCell ref="AF62:AF63"/>
    <mergeCell ref="AG62:AG63"/>
    <mergeCell ref="A56:A59"/>
    <mergeCell ref="B56:B58"/>
    <mergeCell ref="H56:H59"/>
    <mergeCell ref="I56:I59"/>
    <mergeCell ref="W62:W63"/>
    <mergeCell ref="T62:T63"/>
    <mergeCell ref="AA54:AA55"/>
    <mergeCell ref="AB54:AB55"/>
    <mergeCell ref="AC54:AC55"/>
    <mergeCell ref="AD54:AD55"/>
    <mergeCell ref="AI56:AI59"/>
    <mergeCell ref="AL56:AL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E54:AE55"/>
    <mergeCell ref="AF54:AF55"/>
    <mergeCell ref="AG54:AG55"/>
    <mergeCell ref="A48:A51"/>
    <mergeCell ref="B48:B50"/>
    <mergeCell ref="H48:H51"/>
    <mergeCell ref="I48:I51"/>
    <mergeCell ref="AI52:AI55"/>
    <mergeCell ref="AL52:AL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V54:V55"/>
    <mergeCell ref="W54:W55"/>
    <mergeCell ref="X54:X55"/>
    <mergeCell ref="Y54:Y55"/>
    <mergeCell ref="Z54:Z55"/>
    <mergeCell ref="AI48:AI51"/>
    <mergeCell ref="AL48:AL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I44:AI47"/>
    <mergeCell ref="AL44:AL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44:A47"/>
    <mergeCell ref="B44:B46"/>
    <mergeCell ref="H44:H47"/>
    <mergeCell ref="I44:I47"/>
    <mergeCell ref="AL20:AL23"/>
    <mergeCell ref="AL24:AL27"/>
    <mergeCell ref="AL28:AL31"/>
    <mergeCell ref="AL36:AL39"/>
    <mergeCell ref="A40:A43"/>
    <mergeCell ref="B40:B42"/>
    <mergeCell ref="H40:H43"/>
    <mergeCell ref="I40:I43"/>
    <mergeCell ref="AI40:AI43"/>
    <mergeCell ref="AL40:AL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V42:V43"/>
    <mergeCell ref="W42:W43"/>
    <mergeCell ref="X42:X43"/>
    <mergeCell ref="Y42:Y43"/>
    <mergeCell ref="AI36:A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36:A39"/>
    <mergeCell ref="B36:B38"/>
    <mergeCell ref="H36:H39"/>
    <mergeCell ref="I36:I39"/>
    <mergeCell ref="AF38:AF39"/>
    <mergeCell ref="AG38:AG39"/>
    <mergeCell ref="A28:A31"/>
    <mergeCell ref="B28:B30"/>
    <mergeCell ref="H28:H31"/>
    <mergeCell ref="I28:I31"/>
    <mergeCell ref="T30:T31"/>
    <mergeCell ref="U30:U31"/>
    <mergeCell ref="T38:T39"/>
    <mergeCell ref="U38:U39"/>
    <mergeCell ref="A32:A35"/>
    <mergeCell ref="B32:B34"/>
    <mergeCell ref="H32:H35"/>
    <mergeCell ref="I32:I35"/>
    <mergeCell ref="AE34:AE35"/>
    <mergeCell ref="AF34:AF35"/>
    <mergeCell ref="AG34:AG35"/>
    <mergeCell ref="AI28:A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I24:A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24:A27"/>
    <mergeCell ref="B24:B26"/>
    <mergeCell ref="H24:H27"/>
    <mergeCell ref="I24:I27"/>
    <mergeCell ref="AF26:AF27"/>
    <mergeCell ref="AG26:AG27"/>
    <mergeCell ref="A20:A23"/>
    <mergeCell ref="B20:B22"/>
    <mergeCell ref="H20:H23"/>
    <mergeCell ref="I20:I23"/>
    <mergeCell ref="T22:T23"/>
    <mergeCell ref="U22:U23"/>
    <mergeCell ref="T26:T27"/>
    <mergeCell ref="U26:U27"/>
    <mergeCell ref="AI20:A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C6:AC7"/>
    <mergeCell ref="AD6:AD7"/>
    <mergeCell ref="AE6:AE7"/>
    <mergeCell ref="AF6:AF7"/>
    <mergeCell ref="AG6:AG7"/>
    <mergeCell ref="AF18:AF19"/>
    <mergeCell ref="AG18:AG19"/>
    <mergeCell ref="AB14:AB15"/>
    <mergeCell ref="AC14:AC15"/>
    <mergeCell ref="AD14:AD15"/>
    <mergeCell ref="AE14:AE15"/>
    <mergeCell ref="AF14:AF15"/>
    <mergeCell ref="AG14:AG15"/>
    <mergeCell ref="AB10:AB11"/>
    <mergeCell ref="AC10:AC11"/>
    <mergeCell ref="AD10:AD11"/>
    <mergeCell ref="AE10:AE11"/>
    <mergeCell ref="AF10:AF11"/>
    <mergeCell ref="AG10:AG11"/>
    <mergeCell ref="AA14:AA15"/>
    <mergeCell ref="Y18:Y19"/>
    <mergeCell ref="Z18:Z19"/>
    <mergeCell ref="AA18:AA19"/>
    <mergeCell ref="W14:W15"/>
    <mergeCell ref="X14:X15"/>
    <mergeCell ref="Y14:Y15"/>
    <mergeCell ref="Z14:Z15"/>
    <mergeCell ref="AB6:AB7"/>
    <mergeCell ref="A16:A19"/>
    <mergeCell ref="AL16:AL19"/>
    <mergeCell ref="B16:B18"/>
    <mergeCell ref="H16:H19"/>
    <mergeCell ref="AB18:AB19"/>
    <mergeCell ref="AC18:AC19"/>
    <mergeCell ref="AD18:AD19"/>
    <mergeCell ref="AE18:AE19"/>
    <mergeCell ref="I16:I19"/>
    <mergeCell ref="P18:P19"/>
    <mergeCell ref="AI16:AI19"/>
    <mergeCell ref="J18:J19"/>
    <mergeCell ref="K18:K19"/>
    <mergeCell ref="L18:L19"/>
    <mergeCell ref="M18:M19"/>
    <mergeCell ref="N18:N19"/>
    <mergeCell ref="O18:O19"/>
    <mergeCell ref="Q18:Q19"/>
    <mergeCell ref="R18:R19"/>
    <mergeCell ref="S18:S19"/>
    <mergeCell ref="V18:V19"/>
    <mergeCell ref="W18:W19"/>
    <mergeCell ref="X18:X19"/>
    <mergeCell ref="M10:M11"/>
    <mergeCell ref="N10:N11"/>
    <mergeCell ref="O10:O11"/>
    <mergeCell ref="A12:A15"/>
    <mergeCell ref="AL12:AL15"/>
    <mergeCell ref="B12:B14"/>
    <mergeCell ref="H12:H15"/>
    <mergeCell ref="V14:V15"/>
    <mergeCell ref="I12:I15"/>
    <mergeCell ref="P14:P15"/>
    <mergeCell ref="Q14:Q15"/>
    <mergeCell ref="AI12:AI15"/>
    <mergeCell ref="J14:J15"/>
    <mergeCell ref="K14:K15"/>
    <mergeCell ref="L14:L15"/>
    <mergeCell ref="M14:M15"/>
    <mergeCell ref="N14:N15"/>
    <mergeCell ref="O14:O15"/>
    <mergeCell ref="P10:P11"/>
    <mergeCell ref="Q10:Q11"/>
    <mergeCell ref="V10:V11"/>
    <mergeCell ref="Y10:Y11"/>
    <mergeCell ref="Z10:Z11"/>
    <mergeCell ref="AA10:AA11"/>
    <mergeCell ref="A8:A11"/>
    <mergeCell ref="AL8:AL11"/>
    <mergeCell ref="B8:B10"/>
    <mergeCell ref="H8:H11"/>
    <mergeCell ref="AI8:AI11"/>
    <mergeCell ref="J10:J11"/>
    <mergeCell ref="K10:K11"/>
    <mergeCell ref="J6:J7"/>
    <mergeCell ref="K6:K7"/>
    <mergeCell ref="L6:L7"/>
    <mergeCell ref="M6:M7"/>
    <mergeCell ref="N6:N7"/>
    <mergeCell ref="O6:O7"/>
    <mergeCell ref="R6:R7"/>
    <mergeCell ref="P6:P7"/>
    <mergeCell ref="Q6:Q7"/>
    <mergeCell ref="S6:S7"/>
    <mergeCell ref="R10:R11"/>
    <mergeCell ref="S10:S11"/>
    <mergeCell ref="I4:I7"/>
    <mergeCell ref="I8:I11"/>
    <mergeCell ref="V6:V7"/>
    <mergeCell ref="W10:W11"/>
    <mergeCell ref="X10:X11"/>
    <mergeCell ref="A1:AI1"/>
    <mergeCell ref="D3:E3"/>
    <mergeCell ref="F3:G3"/>
    <mergeCell ref="J3:K3"/>
    <mergeCell ref="L3:M3"/>
    <mergeCell ref="N3:O3"/>
    <mergeCell ref="A4:A7"/>
    <mergeCell ref="AL4:AL7"/>
    <mergeCell ref="B4:B6"/>
    <mergeCell ref="H4:H7"/>
    <mergeCell ref="AI4:AI7"/>
    <mergeCell ref="P3:Q3"/>
    <mergeCell ref="R3:S3"/>
    <mergeCell ref="V3:W3"/>
    <mergeCell ref="X3:Y3"/>
    <mergeCell ref="Z3:AA3"/>
    <mergeCell ref="W6:W7"/>
    <mergeCell ref="X6:X7"/>
    <mergeCell ref="Y6:Y7"/>
    <mergeCell ref="Z6:Z7"/>
    <mergeCell ref="AA6:AA7"/>
    <mergeCell ref="AB3:AC3"/>
    <mergeCell ref="AD3:AE3"/>
    <mergeCell ref="AF3:AG3"/>
    <mergeCell ref="T3:U3"/>
    <mergeCell ref="T6:T7"/>
    <mergeCell ref="U6:U7"/>
    <mergeCell ref="T10:T11"/>
    <mergeCell ref="U10:U11"/>
    <mergeCell ref="T14:T15"/>
    <mergeCell ref="U14:U15"/>
    <mergeCell ref="T18:T19"/>
    <mergeCell ref="U18:U19"/>
    <mergeCell ref="A64:C67"/>
    <mergeCell ref="T64:T67"/>
    <mergeCell ref="U64:U67"/>
    <mergeCell ref="T42:T43"/>
    <mergeCell ref="U42:U43"/>
    <mergeCell ref="T46:T47"/>
    <mergeCell ref="U46:U47"/>
    <mergeCell ref="T50:T51"/>
    <mergeCell ref="U50:U51"/>
    <mergeCell ref="T54:T55"/>
    <mergeCell ref="U54:U55"/>
    <mergeCell ref="T58:T59"/>
    <mergeCell ref="U58:U59"/>
    <mergeCell ref="A52:A55"/>
    <mergeCell ref="B52:B54"/>
    <mergeCell ref="H52:H55"/>
    <mergeCell ref="I52:I55"/>
    <mergeCell ref="S64:S67"/>
    <mergeCell ref="H64:H67"/>
    <mergeCell ref="AH64:AH67"/>
    <mergeCell ref="I64:I67"/>
    <mergeCell ref="AI64:AI67"/>
    <mergeCell ref="AF64:AF67"/>
    <mergeCell ref="AG64:AG67"/>
    <mergeCell ref="AH4:AH6"/>
    <mergeCell ref="AH8:AH10"/>
    <mergeCell ref="AH12:AH14"/>
    <mergeCell ref="AH16:AH18"/>
    <mergeCell ref="AH20:AH22"/>
    <mergeCell ref="AH24:AH26"/>
    <mergeCell ref="AH28:AH30"/>
    <mergeCell ref="AH36:AH38"/>
    <mergeCell ref="AH40:AH42"/>
    <mergeCell ref="AH44:AH46"/>
    <mergeCell ref="AH48:AH50"/>
    <mergeCell ref="AH52:AH54"/>
    <mergeCell ref="AH56:AH58"/>
    <mergeCell ref="AH60:AH62"/>
    <mergeCell ref="M64:M67"/>
    <mergeCell ref="N64:N67"/>
    <mergeCell ref="R14:R15"/>
    <mergeCell ref="S14:S15"/>
    <mergeCell ref="L10:L11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orientation="landscape" r:id="rId1"/>
  <rowBreaks count="2" manualBreakCount="2">
    <brk id="43" max="34" man="1"/>
    <brk id="63" max="3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8"/>
  <sheetViews>
    <sheetView view="pageBreakPreview" zoomScaleNormal="115" zoomScaleSheetLayoutView="100" workbookViewId="0">
      <selection activeCell="Y4" sqref="Y4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4.875" style="6" customWidth="1"/>
    <col min="9" max="9" width="5.2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hidden="1" customWidth="1"/>
    <col min="21" max="21" width="8.875" style="1" hidden="1" customWidth="1"/>
    <col min="22" max="22" width="5.125" style="6" customWidth="1"/>
    <col min="23" max="23" width="8.875" style="1" customWidth="1"/>
    <col min="24" max="24" width="5.125" style="6" customWidth="1"/>
    <col min="25" max="25" width="8.87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" style="1" customWidth="1"/>
    <col min="36" max="36" width="11" style="139" customWidth="1"/>
    <col min="37" max="37" width="10.25" style="1"/>
    <col min="38" max="38" width="4.5" style="1" customWidth="1"/>
    <col min="39" max="39" width="6.125" style="1" customWidth="1"/>
    <col min="40" max="40" width="16" style="1" customWidth="1"/>
    <col min="41" max="41" width="14.625" style="2" customWidth="1"/>
    <col min="42" max="65" width="16" style="3" customWidth="1"/>
    <col min="66" max="66" width="10.25" style="4"/>
    <col min="67" max="16384" width="9" style="4"/>
  </cols>
  <sheetData>
    <row r="1" spans="1:72" ht="25.5" customHeight="1">
      <c r="A1" s="5" t="s">
        <v>50</v>
      </c>
      <c r="G1" s="139" t="s">
        <v>357</v>
      </c>
      <c r="AI1" s="7" t="s">
        <v>31</v>
      </c>
      <c r="AJ1" s="140"/>
    </row>
    <row r="2" spans="1:72" ht="25.5" customHeight="1" thickBot="1">
      <c r="A2" s="157" t="s">
        <v>0</v>
      </c>
      <c r="B2" s="157" t="s">
        <v>51</v>
      </c>
      <c r="C2" s="157" t="s">
        <v>3</v>
      </c>
      <c r="D2" s="366" t="s">
        <v>53</v>
      </c>
      <c r="E2" s="366"/>
      <c r="F2" s="367" t="s">
        <v>32</v>
      </c>
      <c r="G2" s="365"/>
      <c r="H2" s="158" t="s">
        <v>39</v>
      </c>
      <c r="I2" s="159" t="s">
        <v>40</v>
      </c>
      <c r="J2" s="364" t="s">
        <v>42</v>
      </c>
      <c r="K2" s="365"/>
      <c r="L2" s="364" t="s">
        <v>43</v>
      </c>
      <c r="M2" s="365"/>
      <c r="N2" s="364" t="s">
        <v>44</v>
      </c>
      <c r="O2" s="365"/>
      <c r="P2" s="364" t="s">
        <v>45</v>
      </c>
      <c r="Q2" s="365"/>
      <c r="R2" s="364" t="s">
        <v>46</v>
      </c>
      <c r="S2" s="365"/>
      <c r="T2" s="364" t="s">
        <v>47</v>
      </c>
      <c r="U2" s="365"/>
      <c r="V2" s="364" t="s">
        <v>48</v>
      </c>
      <c r="W2" s="365"/>
      <c r="X2" s="364" t="s">
        <v>49</v>
      </c>
      <c r="Y2" s="365"/>
      <c r="Z2" s="364" t="s">
        <v>33</v>
      </c>
      <c r="AA2" s="365"/>
      <c r="AB2" s="364" t="s">
        <v>34</v>
      </c>
      <c r="AC2" s="365"/>
      <c r="AD2" s="364" t="s">
        <v>35</v>
      </c>
      <c r="AE2" s="365"/>
      <c r="AF2" s="364" t="s">
        <v>36</v>
      </c>
      <c r="AG2" s="365"/>
      <c r="AH2" s="157" t="s">
        <v>28</v>
      </c>
      <c r="AI2" s="160" t="s">
        <v>52</v>
      </c>
      <c r="AJ2" s="112"/>
      <c r="AK2" s="154"/>
      <c r="AL2" s="8" t="s">
        <v>1</v>
      </c>
      <c r="AN2" s="139" t="s">
        <v>316</v>
      </c>
      <c r="AP2" s="3" t="s">
        <v>317</v>
      </c>
    </row>
    <row r="3" spans="1:72" ht="22.5" customHeight="1">
      <c r="A3" s="353">
        <v>1</v>
      </c>
      <c r="B3" s="356" t="s">
        <v>141</v>
      </c>
      <c r="C3" s="156"/>
      <c r="D3" s="161" t="s">
        <v>14</v>
      </c>
      <c r="E3" s="162">
        <f>AN3/1000000</f>
        <v>63.047666999999997</v>
      </c>
      <c r="F3" s="163" t="s">
        <v>8</v>
      </c>
      <c r="G3" s="224">
        <f>E3-(G4+G5)</f>
        <v>13.047666999999997</v>
      </c>
      <c r="H3" s="358">
        <v>0.7</v>
      </c>
      <c r="I3" s="361">
        <f>H3+K3+M3+O3+Q3+S3+U3+W3+Y3+AA3+AC3+AE3+AG3</f>
        <v>0.92000000000000015</v>
      </c>
      <c r="J3" s="165" t="s">
        <v>41</v>
      </c>
      <c r="K3" s="166">
        <v>0.03</v>
      </c>
      <c r="L3" s="165" t="s">
        <v>41</v>
      </c>
      <c r="M3" s="166">
        <v>0.03</v>
      </c>
      <c r="N3" s="165" t="s">
        <v>41</v>
      </c>
      <c r="O3" s="166">
        <v>0.03</v>
      </c>
      <c r="P3" s="165" t="s">
        <v>41</v>
      </c>
      <c r="Q3" s="166">
        <v>0.04</v>
      </c>
      <c r="R3" s="165" t="s">
        <v>41</v>
      </c>
      <c r="S3" s="166">
        <v>0.03</v>
      </c>
      <c r="T3" s="165" t="s">
        <v>41</v>
      </c>
      <c r="U3" s="166">
        <v>0.02</v>
      </c>
      <c r="V3" s="165" t="s">
        <v>41</v>
      </c>
      <c r="W3" s="166">
        <v>0.02</v>
      </c>
      <c r="X3" s="165" t="s">
        <v>41</v>
      </c>
      <c r="Y3" s="166">
        <v>0.02</v>
      </c>
      <c r="Z3" s="165" t="s">
        <v>41</v>
      </c>
      <c r="AA3" s="166"/>
      <c r="AB3" s="165" t="s">
        <v>41</v>
      </c>
      <c r="AC3" s="166"/>
      <c r="AD3" s="165" t="s">
        <v>41</v>
      </c>
      <c r="AE3" s="166"/>
      <c r="AF3" s="165" t="s">
        <v>41</v>
      </c>
      <c r="AG3" s="166"/>
      <c r="AH3" s="328" t="s">
        <v>305</v>
      </c>
      <c r="AI3" s="325" t="s">
        <v>304</v>
      </c>
      <c r="AJ3" s="215" t="s">
        <v>283</v>
      </c>
      <c r="AK3" s="216" t="s">
        <v>284</v>
      </c>
      <c r="AL3" s="368" t="s">
        <v>6</v>
      </c>
      <c r="AM3" s="9" t="s">
        <v>14</v>
      </c>
      <c r="AN3" s="10">
        <v>63047667</v>
      </c>
      <c r="AO3" s="11"/>
      <c r="AP3" s="12">
        <f>SUM(AQ3:BM3)</f>
        <v>0</v>
      </c>
      <c r="AQ3" s="13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spans="1:72" ht="22.5" customHeight="1" thickBot="1">
      <c r="A4" s="354"/>
      <c r="B4" s="357"/>
      <c r="C4" s="179"/>
      <c r="D4" s="167"/>
      <c r="E4" s="168"/>
      <c r="F4" s="169" t="s">
        <v>55</v>
      </c>
      <c r="G4" s="170">
        <f>AP4/1100000</f>
        <v>50</v>
      </c>
      <c r="H4" s="359"/>
      <c r="I4" s="362"/>
      <c r="J4" s="171" t="s">
        <v>29</v>
      </c>
      <c r="K4" s="172">
        <f>$G3*K3</f>
        <v>0.39143000999999988</v>
      </c>
      <c r="L4" s="171" t="s">
        <v>29</v>
      </c>
      <c r="M4" s="172">
        <f>$G3*M3</f>
        <v>0.39143000999999988</v>
      </c>
      <c r="N4" s="171" t="s">
        <v>29</v>
      </c>
      <c r="O4" s="172">
        <f>$G3*O3</f>
        <v>0.39143000999999988</v>
      </c>
      <c r="P4" s="171" t="s">
        <v>29</v>
      </c>
      <c r="Q4" s="172">
        <f>$G3*Q3</f>
        <v>0.52190667999999985</v>
      </c>
      <c r="R4" s="171" t="s">
        <v>29</v>
      </c>
      <c r="S4" s="172">
        <f>$G3*S3</f>
        <v>0.39143000999999988</v>
      </c>
      <c r="T4" s="171" t="s">
        <v>29</v>
      </c>
      <c r="U4" s="172">
        <f>$G3*U3</f>
        <v>0.26095333999999992</v>
      </c>
      <c r="V4" s="171" t="s">
        <v>29</v>
      </c>
      <c r="W4" s="172">
        <f>$G3*W3</f>
        <v>0.26095333999999992</v>
      </c>
      <c r="X4" s="171" t="s">
        <v>29</v>
      </c>
      <c r="Y4" s="172">
        <f>$G3*Y3</f>
        <v>0.26095333999999992</v>
      </c>
      <c r="Z4" s="171" t="s">
        <v>29</v>
      </c>
      <c r="AA4" s="172">
        <f>$G3*AA3</f>
        <v>0</v>
      </c>
      <c r="AB4" s="171" t="s">
        <v>29</v>
      </c>
      <c r="AC4" s="172">
        <f>$G3*AC3</f>
        <v>0</v>
      </c>
      <c r="AD4" s="171" t="s">
        <v>29</v>
      </c>
      <c r="AE4" s="172">
        <f>$G3*AE3</f>
        <v>0</v>
      </c>
      <c r="AF4" s="171" t="s">
        <v>29</v>
      </c>
      <c r="AG4" s="172">
        <f>$G3*AG3</f>
        <v>0</v>
      </c>
      <c r="AH4" s="329"/>
      <c r="AI4" s="329"/>
      <c r="AJ4" s="217">
        <f>(I3-H3)*G3</f>
        <v>2.8704867400000018</v>
      </c>
      <c r="AK4" s="218">
        <f>(1-I3)*G3</f>
        <v>1.0438133599999977</v>
      </c>
      <c r="AL4" s="369"/>
      <c r="AM4" s="9"/>
      <c r="AN4" s="10"/>
      <c r="AO4" s="11" t="s">
        <v>15</v>
      </c>
      <c r="AP4" s="12">
        <f>SUM(AQ4:BM4)</f>
        <v>55000000</v>
      </c>
      <c r="AQ4" s="23" t="s">
        <v>171</v>
      </c>
      <c r="AR4" s="14">
        <f>'외주관리-부가세포함(토목부 백업)-출력X'!AQ28</f>
        <v>55000000</v>
      </c>
      <c r="AS4" s="14" t="s">
        <v>17</v>
      </c>
      <c r="AT4" s="14"/>
      <c r="AU4" s="14" t="s">
        <v>18</v>
      </c>
      <c r="AV4" s="14"/>
      <c r="AW4" s="14" t="s">
        <v>19</v>
      </c>
      <c r="AX4" s="14"/>
      <c r="AY4" s="14" t="s">
        <v>12</v>
      </c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  <c r="BO4" s="15"/>
      <c r="BP4" s="15"/>
      <c r="BQ4" s="15"/>
      <c r="BR4" s="15"/>
      <c r="BS4" s="15"/>
      <c r="BT4" s="15"/>
    </row>
    <row r="5" spans="1:72" ht="22.5" customHeight="1">
      <c r="A5" s="354"/>
      <c r="B5" s="357"/>
      <c r="C5" s="155" t="s">
        <v>37</v>
      </c>
      <c r="D5" s="382" t="s">
        <v>54</v>
      </c>
      <c r="E5" s="383"/>
      <c r="F5" s="173" t="s">
        <v>12</v>
      </c>
      <c r="G5" s="170">
        <f>AP5/1000000</f>
        <v>0</v>
      </c>
      <c r="H5" s="359"/>
      <c r="I5" s="362"/>
      <c r="J5" s="340" t="s">
        <v>22</v>
      </c>
      <c r="K5" s="342" t="s">
        <v>23</v>
      </c>
      <c r="L5" s="340" t="s">
        <v>22</v>
      </c>
      <c r="M5" s="342" t="s">
        <v>23</v>
      </c>
      <c r="N5" s="340" t="s">
        <v>22</v>
      </c>
      <c r="O5" s="342" t="s">
        <v>23</v>
      </c>
      <c r="P5" s="340" t="s">
        <v>22</v>
      </c>
      <c r="Q5" s="342" t="s">
        <v>23</v>
      </c>
      <c r="R5" s="340" t="s">
        <v>22</v>
      </c>
      <c r="S5" s="342" t="s">
        <v>23</v>
      </c>
      <c r="T5" s="340" t="s">
        <v>22</v>
      </c>
      <c r="U5" s="342" t="s">
        <v>189</v>
      </c>
      <c r="V5" s="340" t="s">
        <v>22</v>
      </c>
      <c r="W5" s="342" t="s">
        <v>189</v>
      </c>
      <c r="X5" s="340" t="s">
        <v>22</v>
      </c>
      <c r="Y5" s="342" t="s">
        <v>189</v>
      </c>
      <c r="Z5" s="340" t="s">
        <v>22</v>
      </c>
      <c r="AA5" s="342" t="s">
        <v>23</v>
      </c>
      <c r="AB5" s="340" t="s">
        <v>22</v>
      </c>
      <c r="AC5" s="342" t="s">
        <v>23</v>
      </c>
      <c r="AD5" s="340" t="s">
        <v>22</v>
      </c>
      <c r="AE5" s="342" t="s">
        <v>23</v>
      </c>
      <c r="AF5" s="340" t="s">
        <v>22</v>
      </c>
      <c r="AG5" s="342" t="s">
        <v>23</v>
      </c>
      <c r="AH5" s="329"/>
      <c r="AI5" s="329"/>
      <c r="AJ5" s="109"/>
      <c r="AK5" s="154"/>
      <c r="AL5" s="369"/>
      <c r="AM5" s="9"/>
      <c r="AN5" s="10"/>
      <c r="AO5" s="11" t="s">
        <v>24</v>
      </c>
      <c r="AP5" s="12"/>
      <c r="BN5" s="15"/>
      <c r="BO5" s="15"/>
      <c r="BP5" s="15"/>
      <c r="BQ5" s="15"/>
      <c r="BR5" s="15"/>
      <c r="BS5" s="15"/>
      <c r="BT5" s="15"/>
    </row>
    <row r="6" spans="1:72" ht="22.5" customHeight="1" thickBot="1">
      <c r="A6" s="355"/>
      <c r="B6" s="174" t="s">
        <v>123</v>
      </c>
      <c r="C6" s="175" t="s">
        <v>38</v>
      </c>
      <c r="D6" s="176" t="s">
        <v>25</v>
      </c>
      <c r="E6" s="177">
        <v>0.90900000000000003</v>
      </c>
      <c r="F6" s="176" t="s">
        <v>26</v>
      </c>
      <c r="G6" s="177">
        <f>(E3-(G4+G5)*1.1)/E3</f>
        <v>0.12764416802290227</v>
      </c>
      <c r="H6" s="360"/>
      <c r="I6" s="363"/>
      <c r="J6" s="341"/>
      <c r="K6" s="343"/>
      <c r="L6" s="341"/>
      <c r="M6" s="343"/>
      <c r="N6" s="341"/>
      <c r="O6" s="343"/>
      <c r="P6" s="341"/>
      <c r="Q6" s="343"/>
      <c r="R6" s="341"/>
      <c r="S6" s="343"/>
      <c r="T6" s="341"/>
      <c r="U6" s="343"/>
      <c r="V6" s="341"/>
      <c r="W6" s="343"/>
      <c r="X6" s="341"/>
      <c r="Y6" s="343"/>
      <c r="Z6" s="341"/>
      <c r="AA6" s="343"/>
      <c r="AB6" s="341"/>
      <c r="AC6" s="343"/>
      <c r="AD6" s="341"/>
      <c r="AE6" s="343"/>
      <c r="AF6" s="341"/>
      <c r="AG6" s="343"/>
      <c r="AH6" s="371"/>
      <c r="AI6" s="371"/>
      <c r="AJ6" s="109"/>
      <c r="AK6" s="154"/>
      <c r="AL6" s="370"/>
      <c r="AM6" s="9"/>
      <c r="AN6" s="18"/>
      <c r="AO6" s="16" t="s">
        <v>27</v>
      </c>
      <c r="AP6" s="17">
        <f>SUM(AP3:AP5)</f>
        <v>55000000</v>
      </c>
    </row>
    <row r="7" spans="1:72" ht="22.5" customHeight="1">
      <c r="A7" s="353">
        <v>2</v>
      </c>
      <c r="B7" s="356" t="s">
        <v>142</v>
      </c>
      <c r="C7" s="156">
        <v>2015.06</v>
      </c>
      <c r="D7" s="161" t="s">
        <v>14</v>
      </c>
      <c r="E7" s="162">
        <f>AN7/1000000</f>
        <v>45.5</v>
      </c>
      <c r="F7" s="163" t="s">
        <v>8</v>
      </c>
      <c r="G7" s="224">
        <f>E7-(G8+G9)</f>
        <v>45.5</v>
      </c>
      <c r="H7" s="358">
        <v>0</v>
      </c>
      <c r="I7" s="361">
        <f>H7+K7+M7+O7+Q7+S7+U7+W7+Y7+AA7+AC7+AE7+AG7</f>
        <v>0</v>
      </c>
      <c r="J7" s="165" t="s">
        <v>41</v>
      </c>
      <c r="K7" s="166"/>
      <c r="L7" s="165" t="s">
        <v>41</v>
      </c>
      <c r="M7" s="166"/>
      <c r="N7" s="165" t="s">
        <v>41</v>
      </c>
      <c r="O7" s="166"/>
      <c r="P7" s="165" t="s">
        <v>41</v>
      </c>
      <c r="Q7" s="166"/>
      <c r="R7" s="165" t="s">
        <v>41</v>
      </c>
      <c r="S7" s="166"/>
      <c r="T7" s="165" t="s">
        <v>41</v>
      </c>
      <c r="U7" s="166">
        <v>0</v>
      </c>
      <c r="V7" s="165" t="s">
        <v>41</v>
      </c>
      <c r="W7" s="166">
        <v>0</v>
      </c>
      <c r="X7" s="165" t="s">
        <v>41</v>
      </c>
      <c r="Y7" s="226">
        <v>0</v>
      </c>
      <c r="Z7" s="165" t="s">
        <v>41</v>
      </c>
      <c r="AA7" s="166"/>
      <c r="AB7" s="165" t="s">
        <v>41</v>
      </c>
      <c r="AC7" s="166"/>
      <c r="AD7" s="165" t="s">
        <v>41</v>
      </c>
      <c r="AE7" s="166"/>
      <c r="AF7" s="165" t="s">
        <v>41</v>
      </c>
      <c r="AG7" s="166"/>
      <c r="AH7" s="328" t="s">
        <v>306</v>
      </c>
      <c r="AI7" s="325" t="s">
        <v>304</v>
      </c>
      <c r="AJ7" s="215" t="s">
        <v>283</v>
      </c>
      <c r="AK7" s="216" t="s">
        <v>284</v>
      </c>
      <c r="AL7" s="368"/>
      <c r="AM7" s="9" t="s">
        <v>14</v>
      </c>
      <c r="AN7" s="10">
        <v>45500000</v>
      </c>
      <c r="AO7" s="11"/>
      <c r="AP7" s="12">
        <f>SUM(AQ7:BM7)</f>
        <v>0</v>
      </c>
      <c r="AQ7" s="13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</row>
    <row r="8" spans="1:72" ht="22.5" customHeight="1" thickBot="1">
      <c r="A8" s="354"/>
      <c r="B8" s="357"/>
      <c r="C8" s="155" t="s">
        <v>143</v>
      </c>
      <c r="D8" s="167"/>
      <c r="E8" s="168"/>
      <c r="F8" s="169" t="s">
        <v>55</v>
      </c>
      <c r="G8" s="170">
        <f t="shared" ref="G8" si="0">AP8/1100000</f>
        <v>0</v>
      </c>
      <c r="H8" s="359"/>
      <c r="I8" s="362"/>
      <c r="J8" s="171" t="s">
        <v>29</v>
      </c>
      <c r="K8" s="172">
        <f>$G7*K7</f>
        <v>0</v>
      </c>
      <c r="L8" s="171" t="s">
        <v>29</v>
      </c>
      <c r="M8" s="172">
        <f>$G7*M7</f>
        <v>0</v>
      </c>
      <c r="N8" s="171" t="s">
        <v>29</v>
      </c>
      <c r="O8" s="172">
        <f>$G7*O7</f>
        <v>0</v>
      </c>
      <c r="P8" s="171" t="s">
        <v>29</v>
      </c>
      <c r="Q8" s="172">
        <f>$G7*Q7</f>
        <v>0</v>
      </c>
      <c r="R8" s="171" t="s">
        <v>29</v>
      </c>
      <c r="S8" s="172">
        <f>$G7*S7</f>
        <v>0</v>
      </c>
      <c r="T8" s="171" t="s">
        <v>29</v>
      </c>
      <c r="U8" s="172">
        <f>$G7*U7</f>
        <v>0</v>
      </c>
      <c r="V8" s="171" t="s">
        <v>29</v>
      </c>
      <c r="W8" s="172">
        <f>$G7*W7</f>
        <v>0</v>
      </c>
      <c r="X8" s="171" t="s">
        <v>29</v>
      </c>
      <c r="Y8" s="172">
        <f>$G7*Y7</f>
        <v>0</v>
      </c>
      <c r="Z8" s="171" t="s">
        <v>29</v>
      </c>
      <c r="AA8" s="172">
        <f>$G7*AA7</f>
        <v>0</v>
      </c>
      <c r="AB8" s="171" t="s">
        <v>29</v>
      </c>
      <c r="AC8" s="172">
        <f>$G7*AC7</f>
        <v>0</v>
      </c>
      <c r="AD8" s="171" t="s">
        <v>29</v>
      </c>
      <c r="AE8" s="172">
        <f>$G7*AE7</f>
        <v>0</v>
      </c>
      <c r="AF8" s="171" t="s">
        <v>29</v>
      </c>
      <c r="AG8" s="172">
        <f>$G7*AG7</f>
        <v>0</v>
      </c>
      <c r="AH8" s="329"/>
      <c r="AI8" s="329"/>
      <c r="AJ8" s="217">
        <f>(I7-H7)*G7</f>
        <v>0</v>
      </c>
      <c r="AK8" s="218">
        <f>(1-I7)*G7</f>
        <v>45.5</v>
      </c>
      <c r="AL8" s="369"/>
      <c r="AM8" s="9"/>
      <c r="AN8" s="10"/>
      <c r="AO8" s="11" t="s">
        <v>15</v>
      </c>
      <c r="AP8" s="12">
        <f>SUM(AQ8:BM8)</f>
        <v>0</v>
      </c>
      <c r="AQ8" s="13" t="s">
        <v>16</v>
      </c>
      <c r="AR8" s="14"/>
      <c r="AS8" s="14" t="s">
        <v>17</v>
      </c>
      <c r="AT8" s="14"/>
      <c r="AU8" s="14" t="s">
        <v>18</v>
      </c>
      <c r="AV8" s="14"/>
      <c r="AW8" s="14" t="s">
        <v>19</v>
      </c>
      <c r="AX8" s="14"/>
      <c r="AY8" s="14" t="s">
        <v>12</v>
      </c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5"/>
      <c r="BP8" s="15"/>
      <c r="BQ8" s="15"/>
      <c r="BR8" s="15"/>
      <c r="BS8" s="15"/>
      <c r="BT8" s="15"/>
    </row>
    <row r="9" spans="1:72" ht="22.5" customHeight="1">
      <c r="A9" s="354"/>
      <c r="B9" s="357"/>
      <c r="C9" s="155" t="s">
        <v>37</v>
      </c>
      <c r="D9" s="382" t="s">
        <v>54</v>
      </c>
      <c r="E9" s="383"/>
      <c r="F9" s="173" t="s">
        <v>12</v>
      </c>
      <c r="G9" s="170">
        <f t="shared" ref="G9" si="1">AP9/1000000</f>
        <v>0</v>
      </c>
      <c r="H9" s="359"/>
      <c r="I9" s="362"/>
      <c r="J9" s="340" t="s">
        <v>22</v>
      </c>
      <c r="K9" s="342"/>
      <c r="L9" s="340" t="s">
        <v>22</v>
      </c>
      <c r="M9" s="342"/>
      <c r="N9" s="340" t="s">
        <v>22</v>
      </c>
      <c r="O9" s="342"/>
      <c r="P9" s="340" t="s">
        <v>22</v>
      </c>
      <c r="Q9" s="342"/>
      <c r="R9" s="340" t="s">
        <v>22</v>
      </c>
      <c r="S9" s="342"/>
      <c r="T9" s="340" t="s">
        <v>22</v>
      </c>
      <c r="U9" s="342"/>
      <c r="V9" s="340" t="s">
        <v>22</v>
      </c>
      <c r="W9" s="342"/>
      <c r="X9" s="340" t="s">
        <v>22</v>
      </c>
      <c r="Y9" s="342"/>
      <c r="Z9" s="340" t="s">
        <v>22</v>
      </c>
      <c r="AA9" s="342"/>
      <c r="AB9" s="340" t="s">
        <v>22</v>
      </c>
      <c r="AC9" s="342"/>
      <c r="AD9" s="340" t="s">
        <v>22</v>
      </c>
      <c r="AE9" s="342"/>
      <c r="AF9" s="340" t="s">
        <v>22</v>
      </c>
      <c r="AG9" s="342"/>
      <c r="AH9" s="329"/>
      <c r="AI9" s="329"/>
      <c r="AJ9" s="109"/>
      <c r="AK9" s="154"/>
      <c r="AL9" s="369"/>
      <c r="AM9" s="9"/>
      <c r="AN9" s="10"/>
      <c r="AO9" s="11" t="s">
        <v>24</v>
      </c>
      <c r="AP9" s="12"/>
      <c r="BN9" s="15"/>
      <c r="BO9" s="15"/>
      <c r="BP9" s="15"/>
      <c r="BQ9" s="15"/>
      <c r="BR9" s="15"/>
      <c r="BS9" s="15"/>
      <c r="BT9" s="15"/>
    </row>
    <row r="10" spans="1:72" ht="22.5" customHeight="1" thickBot="1">
      <c r="A10" s="355"/>
      <c r="B10" s="174" t="s">
        <v>123</v>
      </c>
      <c r="C10" s="175" t="s">
        <v>38</v>
      </c>
      <c r="D10" s="176" t="s">
        <v>25</v>
      </c>
      <c r="E10" s="177">
        <v>7.8E-2</v>
      </c>
      <c r="F10" s="176" t="s">
        <v>26</v>
      </c>
      <c r="G10" s="177">
        <f t="shared" ref="G10" si="2">(E7-(G8+G9)*1.1)/E7</f>
        <v>1</v>
      </c>
      <c r="H10" s="360"/>
      <c r="I10" s="363"/>
      <c r="J10" s="341"/>
      <c r="K10" s="343"/>
      <c r="L10" s="341"/>
      <c r="M10" s="343"/>
      <c r="N10" s="341"/>
      <c r="O10" s="343"/>
      <c r="P10" s="341"/>
      <c r="Q10" s="343"/>
      <c r="R10" s="341"/>
      <c r="S10" s="343"/>
      <c r="T10" s="341"/>
      <c r="U10" s="343"/>
      <c r="V10" s="341"/>
      <c r="W10" s="343"/>
      <c r="X10" s="341"/>
      <c r="Y10" s="343"/>
      <c r="Z10" s="341"/>
      <c r="AA10" s="343"/>
      <c r="AB10" s="341"/>
      <c r="AC10" s="343"/>
      <c r="AD10" s="341"/>
      <c r="AE10" s="343"/>
      <c r="AF10" s="341"/>
      <c r="AG10" s="343"/>
      <c r="AH10" s="371"/>
      <c r="AI10" s="371"/>
      <c r="AJ10" s="109"/>
      <c r="AK10" s="154"/>
      <c r="AL10" s="370"/>
      <c r="AM10" s="9"/>
      <c r="AN10" s="18"/>
      <c r="AO10" s="16" t="s">
        <v>27</v>
      </c>
      <c r="AP10" s="17">
        <f>SUM(AP7:AP9)</f>
        <v>0</v>
      </c>
    </row>
    <row r="11" spans="1:72" ht="22.5" customHeight="1">
      <c r="A11" s="353">
        <v>3</v>
      </c>
      <c r="B11" s="356" t="s">
        <v>144</v>
      </c>
      <c r="C11" s="180" t="s">
        <v>145</v>
      </c>
      <c r="D11" s="161" t="s">
        <v>14</v>
      </c>
      <c r="E11" s="162">
        <f>AN11/1000000</f>
        <v>175.5</v>
      </c>
      <c r="F11" s="163" t="s">
        <v>8</v>
      </c>
      <c r="G11" s="224">
        <f>E11-(G12+G13)</f>
        <v>175.5</v>
      </c>
      <c r="H11" s="358">
        <v>0.1</v>
      </c>
      <c r="I11" s="361">
        <f>H11+K11+M11+O11+Q11+S11+U11+W11+Y11+AA11+AC11+AE11+AG11</f>
        <v>0.1</v>
      </c>
      <c r="J11" s="165" t="s">
        <v>41</v>
      </c>
      <c r="K11" s="166"/>
      <c r="L11" s="165" t="s">
        <v>41</v>
      </c>
      <c r="M11" s="166"/>
      <c r="N11" s="165" t="s">
        <v>41</v>
      </c>
      <c r="O11" s="166"/>
      <c r="P11" s="165" t="s">
        <v>41</v>
      </c>
      <c r="Q11" s="166"/>
      <c r="R11" s="165" t="s">
        <v>41</v>
      </c>
      <c r="S11" s="166"/>
      <c r="T11" s="165" t="s">
        <v>41</v>
      </c>
      <c r="U11" s="166">
        <v>0</v>
      </c>
      <c r="V11" s="165" t="s">
        <v>41</v>
      </c>
      <c r="W11" s="166">
        <v>0</v>
      </c>
      <c r="X11" s="165" t="s">
        <v>41</v>
      </c>
      <c r="Y11" s="226">
        <v>0</v>
      </c>
      <c r="Z11" s="165" t="s">
        <v>41</v>
      </c>
      <c r="AA11" s="166"/>
      <c r="AB11" s="165" t="s">
        <v>41</v>
      </c>
      <c r="AC11" s="166"/>
      <c r="AD11" s="165" t="s">
        <v>41</v>
      </c>
      <c r="AE11" s="166"/>
      <c r="AF11" s="165" t="s">
        <v>41</v>
      </c>
      <c r="AG11" s="166"/>
      <c r="AH11" s="328" t="s">
        <v>306</v>
      </c>
      <c r="AI11" s="325" t="s">
        <v>304</v>
      </c>
      <c r="AJ11" s="215" t="s">
        <v>283</v>
      </c>
      <c r="AK11" s="216" t="s">
        <v>284</v>
      </c>
      <c r="AL11" s="368"/>
      <c r="AM11" s="9" t="s">
        <v>14</v>
      </c>
      <c r="AN11" s="10">
        <v>175500000</v>
      </c>
      <c r="AO11" s="11"/>
      <c r="AP11" s="12">
        <f>SUM(AQ11:BM11)</f>
        <v>0</v>
      </c>
      <c r="AQ11" s="13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spans="1:72" ht="22.5" customHeight="1" thickBot="1">
      <c r="A12" s="354"/>
      <c r="B12" s="357"/>
      <c r="C12" s="155" t="s">
        <v>146</v>
      </c>
      <c r="D12" s="167"/>
      <c r="E12" s="168"/>
      <c r="F12" s="169" t="s">
        <v>55</v>
      </c>
      <c r="G12" s="170">
        <f t="shared" ref="G12" si="3">AP12/1100000</f>
        <v>0</v>
      </c>
      <c r="H12" s="359"/>
      <c r="I12" s="362"/>
      <c r="J12" s="171" t="s">
        <v>29</v>
      </c>
      <c r="K12" s="172">
        <f>$G11*K11</f>
        <v>0</v>
      </c>
      <c r="L12" s="171" t="s">
        <v>29</v>
      </c>
      <c r="M12" s="172">
        <f>$G11*M11</f>
        <v>0</v>
      </c>
      <c r="N12" s="171" t="s">
        <v>29</v>
      </c>
      <c r="O12" s="172">
        <f>$G11*O11</f>
        <v>0</v>
      </c>
      <c r="P12" s="171" t="s">
        <v>29</v>
      </c>
      <c r="Q12" s="172">
        <f>$G11*Q11</f>
        <v>0</v>
      </c>
      <c r="R12" s="171" t="s">
        <v>29</v>
      </c>
      <c r="S12" s="172">
        <f>$G11*S11</f>
        <v>0</v>
      </c>
      <c r="T12" s="171" t="s">
        <v>29</v>
      </c>
      <c r="U12" s="172">
        <f>$G11*U11</f>
        <v>0</v>
      </c>
      <c r="V12" s="171" t="s">
        <v>29</v>
      </c>
      <c r="W12" s="172">
        <f>$G11*W11</f>
        <v>0</v>
      </c>
      <c r="X12" s="171" t="s">
        <v>29</v>
      </c>
      <c r="Y12" s="172">
        <f>$G11*Y11</f>
        <v>0</v>
      </c>
      <c r="Z12" s="171" t="s">
        <v>29</v>
      </c>
      <c r="AA12" s="172">
        <f>$G11*AA11</f>
        <v>0</v>
      </c>
      <c r="AB12" s="171" t="s">
        <v>29</v>
      </c>
      <c r="AC12" s="172">
        <f>$G11*AC11</f>
        <v>0</v>
      </c>
      <c r="AD12" s="171" t="s">
        <v>29</v>
      </c>
      <c r="AE12" s="172">
        <f>$G11*AE11</f>
        <v>0</v>
      </c>
      <c r="AF12" s="171" t="s">
        <v>29</v>
      </c>
      <c r="AG12" s="172">
        <f>$G11*AG11</f>
        <v>0</v>
      </c>
      <c r="AH12" s="329"/>
      <c r="AI12" s="329"/>
      <c r="AJ12" s="217">
        <f>(I11-H11)*G11</f>
        <v>0</v>
      </c>
      <c r="AK12" s="218">
        <f>(1-I11)*G11</f>
        <v>157.95000000000002</v>
      </c>
      <c r="AL12" s="369"/>
      <c r="AM12" s="9"/>
      <c r="AN12" s="10"/>
      <c r="AO12" s="11" t="s">
        <v>15</v>
      </c>
      <c r="AP12" s="12">
        <f>SUM(AQ12:BM12)</f>
        <v>0</v>
      </c>
      <c r="AQ12" s="13" t="s">
        <v>16</v>
      </c>
      <c r="AR12" s="14"/>
      <c r="AS12" s="14" t="s">
        <v>17</v>
      </c>
      <c r="AT12" s="14"/>
      <c r="AU12" s="14" t="s">
        <v>18</v>
      </c>
      <c r="AV12" s="14"/>
      <c r="AW12" s="14" t="s">
        <v>19</v>
      </c>
      <c r="AX12" s="14"/>
      <c r="AY12" s="14" t="s">
        <v>12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5"/>
      <c r="BP12" s="15"/>
      <c r="BQ12" s="15"/>
      <c r="BR12" s="15"/>
      <c r="BS12" s="15"/>
      <c r="BT12" s="15"/>
    </row>
    <row r="13" spans="1:72" ht="22.5" customHeight="1">
      <c r="A13" s="354"/>
      <c r="B13" s="357"/>
      <c r="C13" s="155" t="s">
        <v>37</v>
      </c>
      <c r="D13" s="382" t="s">
        <v>54</v>
      </c>
      <c r="E13" s="383"/>
      <c r="F13" s="173" t="s">
        <v>12</v>
      </c>
      <c r="G13" s="170">
        <f t="shared" ref="G13" si="4">AP13/1000000</f>
        <v>0</v>
      </c>
      <c r="H13" s="359"/>
      <c r="I13" s="362"/>
      <c r="J13" s="340" t="s">
        <v>22</v>
      </c>
      <c r="K13" s="342"/>
      <c r="L13" s="340" t="s">
        <v>22</v>
      </c>
      <c r="M13" s="342"/>
      <c r="N13" s="340" t="s">
        <v>22</v>
      </c>
      <c r="O13" s="342"/>
      <c r="P13" s="340" t="s">
        <v>22</v>
      </c>
      <c r="Q13" s="342"/>
      <c r="R13" s="340" t="s">
        <v>22</v>
      </c>
      <c r="S13" s="342"/>
      <c r="T13" s="340" t="s">
        <v>22</v>
      </c>
      <c r="U13" s="342"/>
      <c r="V13" s="340" t="s">
        <v>22</v>
      </c>
      <c r="W13" s="342"/>
      <c r="X13" s="340" t="s">
        <v>22</v>
      </c>
      <c r="Y13" s="342"/>
      <c r="Z13" s="340" t="s">
        <v>22</v>
      </c>
      <c r="AA13" s="342"/>
      <c r="AB13" s="340" t="s">
        <v>22</v>
      </c>
      <c r="AC13" s="342"/>
      <c r="AD13" s="340" t="s">
        <v>22</v>
      </c>
      <c r="AE13" s="342"/>
      <c r="AF13" s="340" t="s">
        <v>22</v>
      </c>
      <c r="AG13" s="342"/>
      <c r="AH13" s="329"/>
      <c r="AI13" s="329"/>
      <c r="AJ13" s="109"/>
      <c r="AK13" s="154"/>
      <c r="AL13" s="369"/>
      <c r="AM13" s="9"/>
      <c r="AN13" s="10"/>
      <c r="AO13" s="11" t="s">
        <v>24</v>
      </c>
      <c r="AP13" s="12"/>
      <c r="BN13" s="15"/>
      <c r="BO13" s="15"/>
      <c r="BP13" s="15"/>
      <c r="BQ13" s="15"/>
      <c r="BR13" s="15"/>
      <c r="BS13" s="15"/>
      <c r="BT13" s="15"/>
    </row>
    <row r="14" spans="1:72" ht="22.5" customHeight="1" thickBot="1">
      <c r="A14" s="355"/>
      <c r="B14" s="174" t="s">
        <v>123</v>
      </c>
      <c r="C14" s="175" t="s">
        <v>38</v>
      </c>
      <c r="D14" s="176" t="s">
        <v>25</v>
      </c>
      <c r="E14" s="177">
        <v>0.20899999999999999</v>
      </c>
      <c r="F14" s="176" t="s">
        <v>26</v>
      </c>
      <c r="G14" s="177">
        <f t="shared" ref="G14" si="5">(E11-(G12+G13)*1.1)/E11</f>
        <v>1</v>
      </c>
      <c r="H14" s="360"/>
      <c r="I14" s="363"/>
      <c r="J14" s="341"/>
      <c r="K14" s="343"/>
      <c r="L14" s="341"/>
      <c r="M14" s="343"/>
      <c r="N14" s="341"/>
      <c r="O14" s="343"/>
      <c r="P14" s="341"/>
      <c r="Q14" s="343"/>
      <c r="R14" s="341"/>
      <c r="S14" s="343"/>
      <c r="T14" s="341"/>
      <c r="U14" s="343"/>
      <c r="V14" s="341"/>
      <c r="W14" s="343"/>
      <c r="X14" s="341"/>
      <c r="Y14" s="343"/>
      <c r="Z14" s="341"/>
      <c r="AA14" s="343"/>
      <c r="AB14" s="341"/>
      <c r="AC14" s="343"/>
      <c r="AD14" s="341"/>
      <c r="AE14" s="343"/>
      <c r="AF14" s="341"/>
      <c r="AG14" s="343"/>
      <c r="AH14" s="371"/>
      <c r="AI14" s="371"/>
      <c r="AJ14" s="109"/>
      <c r="AK14" s="154"/>
      <c r="AL14" s="370"/>
      <c r="AM14" s="9"/>
      <c r="AN14" s="18"/>
      <c r="AO14" s="16" t="s">
        <v>27</v>
      </c>
      <c r="AP14" s="17">
        <f>SUM(AP11:AP13)</f>
        <v>0</v>
      </c>
    </row>
    <row r="15" spans="1:72" ht="22.5" customHeight="1">
      <c r="A15" s="344" t="s">
        <v>285</v>
      </c>
      <c r="B15" s="345"/>
      <c r="C15" s="346"/>
      <c r="D15" s="376" t="s">
        <v>290</v>
      </c>
      <c r="E15" s="379">
        <f>E3+E7+E11</f>
        <v>284.04766699999999</v>
      </c>
      <c r="F15" s="163" t="s">
        <v>287</v>
      </c>
      <c r="G15" s="164">
        <f>G3+G7+G11</f>
        <v>234.04766699999999</v>
      </c>
      <c r="H15" s="358"/>
      <c r="I15" s="361"/>
      <c r="J15" s="319" t="s">
        <v>288</v>
      </c>
      <c r="K15" s="322">
        <f>K4+K8+K12</f>
        <v>0.39143000999999988</v>
      </c>
      <c r="L15" s="319" t="s">
        <v>288</v>
      </c>
      <c r="M15" s="322">
        <f>M4+M8+M12</f>
        <v>0.39143000999999988</v>
      </c>
      <c r="N15" s="319" t="s">
        <v>288</v>
      </c>
      <c r="O15" s="322">
        <f>O4+O8+O12</f>
        <v>0.39143000999999988</v>
      </c>
      <c r="P15" s="319" t="s">
        <v>288</v>
      </c>
      <c r="Q15" s="322">
        <f>Q4+Q8+Q12</f>
        <v>0.52190667999999985</v>
      </c>
      <c r="R15" s="319" t="s">
        <v>288</v>
      </c>
      <c r="S15" s="322">
        <f>S4+S8+S12</f>
        <v>0.39143000999999988</v>
      </c>
      <c r="T15" s="319" t="s">
        <v>288</v>
      </c>
      <c r="U15" s="322">
        <f>U4+U8+U12</f>
        <v>0.26095333999999992</v>
      </c>
      <c r="V15" s="319" t="s">
        <v>288</v>
      </c>
      <c r="W15" s="322">
        <f>W4+W8+W12</f>
        <v>0.26095333999999992</v>
      </c>
      <c r="X15" s="319" t="s">
        <v>288</v>
      </c>
      <c r="Y15" s="322">
        <f>Y4+Y8+Y12</f>
        <v>0.26095333999999992</v>
      </c>
      <c r="Z15" s="319" t="s">
        <v>288</v>
      </c>
      <c r="AA15" s="322">
        <f>AA4+AA8+AA12</f>
        <v>0</v>
      </c>
      <c r="AB15" s="319" t="s">
        <v>288</v>
      </c>
      <c r="AC15" s="322">
        <f>AC4+AC8+AC12</f>
        <v>0</v>
      </c>
      <c r="AD15" s="319" t="s">
        <v>288</v>
      </c>
      <c r="AE15" s="322">
        <f>AE4+AE8+AE12</f>
        <v>0</v>
      </c>
      <c r="AF15" s="319" t="s">
        <v>288</v>
      </c>
      <c r="AG15" s="322">
        <f>AG4+AG8+AG12</f>
        <v>0</v>
      </c>
      <c r="AH15" s="310"/>
      <c r="AI15" s="373"/>
      <c r="AJ15" s="178" t="s">
        <v>285</v>
      </c>
      <c r="AK15" s="153" t="s">
        <v>285</v>
      </c>
    </row>
    <row r="16" spans="1:72" ht="22.5" customHeight="1" thickBot="1">
      <c r="A16" s="347"/>
      <c r="B16" s="348"/>
      <c r="C16" s="349"/>
      <c r="D16" s="377"/>
      <c r="E16" s="380">
        <v>0</v>
      </c>
      <c r="F16" s="229" t="s">
        <v>318</v>
      </c>
      <c r="G16" s="170">
        <f>G4+G8+G12</f>
        <v>50</v>
      </c>
      <c r="H16" s="359"/>
      <c r="I16" s="362"/>
      <c r="J16" s="320"/>
      <c r="K16" s="323"/>
      <c r="L16" s="320"/>
      <c r="M16" s="323"/>
      <c r="N16" s="320"/>
      <c r="O16" s="323"/>
      <c r="P16" s="320"/>
      <c r="Q16" s="323"/>
      <c r="R16" s="320"/>
      <c r="S16" s="323"/>
      <c r="T16" s="320"/>
      <c r="U16" s="323"/>
      <c r="V16" s="320"/>
      <c r="W16" s="323"/>
      <c r="X16" s="320"/>
      <c r="Y16" s="323"/>
      <c r="Z16" s="320"/>
      <c r="AA16" s="323"/>
      <c r="AB16" s="320"/>
      <c r="AC16" s="323"/>
      <c r="AD16" s="320"/>
      <c r="AE16" s="323"/>
      <c r="AF16" s="320"/>
      <c r="AG16" s="323"/>
      <c r="AH16" s="311"/>
      <c r="AI16" s="374"/>
      <c r="AJ16" s="152">
        <f>SUM(AJ3:AJ14)</f>
        <v>2.8704867400000018</v>
      </c>
      <c r="AK16" s="152">
        <f>SUM(AK3:AK14)</f>
        <v>204.49381336000002</v>
      </c>
    </row>
    <row r="17" spans="1:37" ht="22.5" customHeight="1">
      <c r="A17" s="347"/>
      <c r="B17" s="348"/>
      <c r="C17" s="349"/>
      <c r="D17" s="377"/>
      <c r="E17" s="380">
        <v>0</v>
      </c>
      <c r="F17" s="231" t="s">
        <v>319</v>
      </c>
      <c r="G17" s="170">
        <f>G5+G9+G13</f>
        <v>0</v>
      </c>
      <c r="H17" s="359"/>
      <c r="I17" s="362"/>
      <c r="J17" s="320"/>
      <c r="K17" s="323"/>
      <c r="L17" s="320"/>
      <c r="M17" s="323"/>
      <c r="N17" s="320"/>
      <c r="O17" s="323"/>
      <c r="P17" s="320"/>
      <c r="Q17" s="323"/>
      <c r="R17" s="320"/>
      <c r="S17" s="323"/>
      <c r="T17" s="320"/>
      <c r="U17" s="323"/>
      <c r="V17" s="320"/>
      <c r="W17" s="323"/>
      <c r="X17" s="320"/>
      <c r="Y17" s="323"/>
      <c r="Z17" s="320"/>
      <c r="AA17" s="323"/>
      <c r="AB17" s="320"/>
      <c r="AC17" s="323"/>
      <c r="AD17" s="320"/>
      <c r="AE17" s="323"/>
      <c r="AF17" s="320"/>
      <c r="AG17" s="323"/>
      <c r="AH17" s="311"/>
      <c r="AI17" s="374"/>
      <c r="AJ17" s="151"/>
      <c r="AK17" s="150"/>
    </row>
    <row r="18" spans="1:37" ht="22.5" customHeight="1" thickBot="1">
      <c r="A18" s="350"/>
      <c r="B18" s="351"/>
      <c r="C18" s="352"/>
      <c r="D18" s="378"/>
      <c r="E18" s="381">
        <v>0</v>
      </c>
      <c r="F18" s="176" t="s">
        <v>294</v>
      </c>
      <c r="G18" s="177">
        <f>(E15-(G16+G17)/0.7)/E15</f>
        <v>0.74853315225936556</v>
      </c>
      <c r="H18" s="360"/>
      <c r="I18" s="363"/>
      <c r="J18" s="321"/>
      <c r="K18" s="324"/>
      <c r="L18" s="321"/>
      <c r="M18" s="324"/>
      <c r="N18" s="321"/>
      <c r="O18" s="324"/>
      <c r="P18" s="321"/>
      <c r="Q18" s="324"/>
      <c r="R18" s="321"/>
      <c r="S18" s="324"/>
      <c r="T18" s="321"/>
      <c r="U18" s="324"/>
      <c r="V18" s="321"/>
      <c r="W18" s="324"/>
      <c r="X18" s="321"/>
      <c r="Y18" s="324"/>
      <c r="Z18" s="321"/>
      <c r="AA18" s="324"/>
      <c r="AB18" s="321"/>
      <c r="AC18" s="324"/>
      <c r="AD18" s="321"/>
      <c r="AE18" s="324"/>
      <c r="AF18" s="321"/>
      <c r="AG18" s="324"/>
      <c r="AH18" s="312"/>
      <c r="AI18" s="375"/>
      <c r="AJ18" s="111"/>
      <c r="AK18" s="110"/>
    </row>
  </sheetData>
  <mergeCells count="141">
    <mergeCell ref="X2:Y2"/>
    <mergeCell ref="Z2:AA2"/>
    <mergeCell ref="AB2:AC2"/>
    <mergeCell ref="AD2:AE2"/>
    <mergeCell ref="AF2:AG2"/>
    <mergeCell ref="A3:A6"/>
    <mergeCell ref="B3:B5"/>
    <mergeCell ref="H3:H6"/>
    <mergeCell ref="I3:I6"/>
    <mergeCell ref="Q5:Q6"/>
    <mergeCell ref="D2:E2"/>
    <mergeCell ref="F2:G2"/>
    <mergeCell ref="J2:K2"/>
    <mergeCell ref="L2:M2"/>
    <mergeCell ref="N2:O2"/>
    <mergeCell ref="P2:Q2"/>
    <mergeCell ref="R2:S2"/>
    <mergeCell ref="T2:U2"/>
    <mergeCell ref="V2:W2"/>
    <mergeCell ref="AH3:AH6"/>
    <mergeCell ref="AI3:AI6"/>
    <mergeCell ref="AL3:AL6"/>
    <mergeCell ref="J5:J6"/>
    <mergeCell ref="K5:K6"/>
    <mergeCell ref="L5:L6"/>
    <mergeCell ref="M5:M6"/>
    <mergeCell ref="N5:N6"/>
    <mergeCell ref="O5:O6"/>
    <mergeCell ref="P5:P6"/>
    <mergeCell ref="AD5:AD6"/>
    <mergeCell ref="AE5:AE6"/>
    <mergeCell ref="AF5:AF6"/>
    <mergeCell ref="AG5:AG6"/>
    <mergeCell ref="AA5:AA6"/>
    <mergeCell ref="AB5:AB6"/>
    <mergeCell ref="AC5:AC6"/>
    <mergeCell ref="A7:A10"/>
    <mergeCell ref="B7:B9"/>
    <mergeCell ref="H7:H10"/>
    <mergeCell ref="I7:I10"/>
    <mergeCell ref="Q9:Q10"/>
    <mergeCell ref="R9:R10"/>
    <mergeCell ref="X5:X6"/>
    <mergeCell ref="Y5:Y6"/>
    <mergeCell ref="Z5:Z6"/>
    <mergeCell ref="R5:R6"/>
    <mergeCell ref="S5:S6"/>
    <mergeCell ref="T5:T6"/>
    <mergeCell ref="U5:U6"/>
    <mergeCell ref="V5:V6"/>
    <mergeCell ref="W5:W6"/>
    <mergeCell ref="D5:E5"/>
    <mergeCell ref="X9:X10"/>
    <mergeCell ref="D9:E9"/>
    <mergeCell ref="AH7:AH10"/>
    <mergeCell ref="AI7:AI10"/>
    <mergeCell ref="AL7:AL10"/>
    <mergeCell ref="J9:J10"/>
    <mergeCell ref="K9:K10"/>
    <mergeCell ref="L9:L10"/>
    <mergeCell ref="M9:M10"/>
    <mergeCell ref="N9:N10"/>
    <mergeCell ref="O9:O10"/>
    <mergeCell ref="P9:P10"/>
    <mergeCell ref="AE9:AE10"/>
    <mergeCell ref="AF9:AF10"/>
    <mergeCell ref="AG9:AG10"/>
    <mergeCell ref="AA9:AA10"/>
    <mergeCell ref="AB9:AB10"/>
    <mergeCell ref="AC9:AC10"/>
    <mergeCell ref="AD9:AD10"/>
    <mergeCell ref="Y9:Y10"/>
    <mergeCell ref="Z9:Z10"/>
    <mergeCell ref="S9:S10"/>
    <mergeCell ref="T9:T10"/>
    <mergeCell ref="U9:U10"/>
    <mergeCell ref="V9:V10"/>
    <mergeCell ref="W9:W10"/>
    <mergeCell ref="D13:E13"/>
    <mergeCell ref="A11:A14"/>
    <mergeCell ref="B11:B13"/>
    <mergeCell ref="H11:H14"/>
    <mergeCell ref="I11:I14"/>
    <mergeCell ref="AH11:AH14"/>
    <mergeCell ref="AI11:AI14"/>
    <mergeCell ref="AL11:AL14"/>
    <mergeCell ref="J13:J14"/>
    <mergeCell ref="K13:K14"/>
    <mergeCell ref="L13:L14"/>
    <mergeCell ref="M13:M14"/>
    <mergeCell ref="N13:N14"/>
    <mergeCell ref="O13:O14"/>
    <mergeCell ref="P13:P14"/>
    <mergeCell ref="AF13:AF14"/>
    <mergeCell ref="AG13:AG14"/>
    <mergeCell ref="AA13:AA14"/>
    <mergeCell ref="AB13:AB14"/>
    <mergeCell ref="AC13:AC14"/>
    <mergeCell ref="AD13:AD14"/>
    <mergeCell ref="AE13:AE14"/>
    <mergeCell ref="Q13:Q14"/>
    <mergeCell ref="R13:R14"/>
    <mergeCell ref="P15:P18"/>
    <mergeCell ref="Q15:Q18"/>
    <mergeCell ref="R15:R18"/>
    <mergeCell ref="S15:S18"/>
    <mergeCell ref="X15:X18"/>
    <mergeCell ref="Y15:Y18"/>
    <mergeCell ref="Z15:Z18"/>
    <mergeCell ref="Z13:Z14"/>
    <mergeCell ref="T13:T14"/>
    <mergeCell ref="U13:U14"/>
    <mergeCell ref="V13:V14"/>
    <mergeCell ref="W13:W14"/>
    <mergeCell ref="X13:X14"/>
    <mergeCell ref="Y13:Y14"/>
    <mergeCell ref="S13:S14"/>
    <mergeCell ref="AH15:AH18"/>
    <mergeCell ref="AI15:AI18"/>
    <mergeCell ref="T15:T18"/>
    <mergeCell ref="J15:J18"/>
    <mergeCell ref="K15:K18"/>
    <mergeCell ref="L15:L18"/>
    <mergeCell ref="A15:C18"/>
    <mergeCell ref="U15:U18"/>
    <mergeCell ref="V15:V18"/>
    <mergeCell ref="W15:W18"/>
    <mergeCell ref="D15:D18"/>
    <mergeCell ref="E15:E18"/>
    <mergeCell ref="H15:H18"/>
    <mergeCell ref="I15:I18"/>
    <mergeCell ref="AA15:AA18"/>
    <mergeCell ref="AB15:AB18"/>
    <mergeCell ref="AC15:AC18"/>
    <mergeCell ref="AD15:AD18"/>
    <mergeCell ref="AE15:AE18"/>
    <mergeCell ref="AF15:AF18"/>
    <mergeCell ref="AG15:AG18"/>
    <mergeCell ref="M15:M18"/>
    <mergeCell ref="N15:N18"/>
    <mergeCell ref="O15:O18"/>
  </mergeCells>
  <phoneticPr fontId="2" type="noConversion"/>
  <printOptions horizontalCentered="1"/>
  <pageMargins left="0.17" right="0.17" top="0.47" bottom="0.3937007874015748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2"/>
  <sheetViews>
    <sheetView view="pageBreakPreview" zoomScale="85" zoomScaleNormal="115" zoomScaleSheet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4" sqref="U4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6.625" style="6" customWidth="1"/>
    <col min="9" max="9" width="5.87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customWidth="1"/>
    <col min="21" max="21" width="8.875" style="1" customWidth="1"/>
    <col min="22" max="22" width="5.125" style="6" customWidth="1"/>
    <col min="23" max="23" width="8.875" style="1" customWidth="1"/>
    <col min="24" max="24" width="5.125" style="6" hidden="1" customWidth="1"/>
    <col min="25" max="25" width="8.875" style="1" hidden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.25" style="1" customWidth="1"/>
    <col min="36" max="36" width="10.25" style="1"/>
    <col min="37" max="37" width="4.5" style="1" customWidth="1"/>
    <col min="38" max="38" width="6.125" style="1" customWidth="1"/>
    <col min="39" max="16384" width="9" style="4"/>
  </cols>
  <sheetData>
    <row r="1" spans="1:44" ht="25.5" customHeight="1">
      <c r="A1" s="5" t="s">
        <v>56</v>
      </c>
      <c r="AI1" s="7" t="s">
        <v>31</v>
      </c>
    </row>
    <row r="2" spans="1:44" ht="22.5" customHeight="1">
      <c r="A2" s="195" t="s">
        <v>0</v>
      </c>
      <c r="B2" s="195" t="s">
        <v>51</v>
      </c>
      <c r="C2" s="195" t="s">
        <v>3</v>
      </c>
      <c r="D2" s="366" t="s">
        <v>57</v>
      </c>
      <c r="E2" s="366"/>
      <c r="F2" s="367" t="s">
        <v>58</v>
      </c>
      <c r="G2" s="365"/>
      <c r="H2" s="196" t="s">
        <v>39</v>
      </c>
      <c r="I2" s="197" t="s">
        <v>40</v>
      </c>
      <c r="J2" s="364" t="s">
        <v>42</v>
      </c>
      <c r="K2" s="365"/>
      <c r="L2" s="364" t="s">
        <v>43</v>
      </c>
      <c r="M2" s="365"/>
      <c r="N2" s="364" t="s">
        <v>44</v>
      </c>
      <c r="O2" s="365"/>
      <c r="P2" s="364" t="s">
        <v>45</v>
      </c>
      <c r="Q2" s="365"/>
      <c r="R2" s="364" t="s">
        <v>46</v>
      </c>
      <c r="S2" s="365"/>
      <c r="T2" s="364" t="s">
        <v>47</v>
      </c>
      <c r="U2" s="365"/>
      <c r="V2" s="364" t="s">
        <v>48</v>
      </c>
      <c r="W2" s="365"/>
      <c r="X2" s="364" t="s">
        <v>49</v>
      </c>
      <c r="Y2" s="365"/>
      <c r="Z2" s="364" t="s">
        <v>33</v>
      </c>
      <c r="AA2" s="365"/>
      <c r="AB2" s="364" t="s">
        <v>34</v>
      </c>
      <c r="AC2" s="365"/>
      <c r="AD2" s="364" t="s">
        <v>35</v>
      </c>
      <c r="AE2" s="365"/>
      <c r="AF2" s="364" t="s">
        <v>36</v>
      </c>
      <c r="AG2" s="365"/>
      <c r="AH2" s="195" t="s">
        <v>61</v>
      </c>
      <c r="AI2" s="198" t="s">
        <v>5</v>
      </c>
      <c r="AJ2" s="154"/>
      <c r="AK2" s="198" t="s">
        <v>1</v>
      </c>
      <c r="AL2" s="154"/>
      <c r="AM2" s="190"/>
      <c r="AN2" s="190"/>
    </row>
    <row r="3" spans="1:44" ht="22.5" customHeight="1">
      <c r="A3" s="353">
        <v>0</v>
      </c>
      <c r="B3" s="356"/>
      <c r="C3" s="219"/>
      <c r="D3" s="199"/>
      <c r="E3" s="200"/>
      <c r="F3" s="201"/>
      <c r="G3" s="202"/>
      <c r="H3" s="358"/>
      <c r="I3" s="361"/>
      <c r="J3" s="203"/>
      <c r="K3" s="204"/>
      <c r="L3" s="203"/>
      <c r="M3" s="204"/>
      <c r="N3" s="203"/>
      <c r="O3" s="204"/>
      <c r="P3" s="203"/>
      <c r="Q3" s="204"/>
      <c r="R3" s="203"/>
      <c r="S3" s="204"/>
      <c r="T3" s="225" t="s">
        <v>41</v>
      </c>
      <c r="U3" s="226">
        <v>0.02</v>
      </c>
      <c r="V3" s="203"/>
      <c r="W3" s="204"/>
      <c r="X3" s="203"/>
      <c r="Y3" s="204"/>
      <c r="Z3" s="203"/>
      <c r="AA3" s="204"/>
      <c r="AB3" s="203"/>
      <c r="AC3" s="204"/>
      <c r="AD3" s="203"/>
      <c r="AE3" s="204"/>
      <c r="AF3" s="203"/>
      <c r="AG3" s="204"/>
      <c r="AH3" s="325"/>
      <c r="AI3" s="325"/>
      <c r="AJ3" s="154"/>
      <c r="AK3" s="386"/>
      <c r="AL3" s="189" t="s">
        <v>7</v>
      </c>
      <c r="AM3" s="190"/>
      <c r="AN3" s="190"/>
    </row>
    <row r="4" spans="1:44" ht="22.5" customHeight="1">
      <c r="A4" s="354"/>
      <c r="B4" s="357"/>
      <c r="C4" s="194"/>
      <c r="D4" s="205"/>
      <c r="E4" s="206"/>
      <c r="F4" s="207"/>
      <c r="G4" s="208"/>
      <c r="H4" s="359"/>
      <c r="I4" s="362"/>
      <c r="J4" s="209"/>
      <c r="K4" s="210"/>
      <c r="L4" s="209"/>
      <c r="M4" s="210"/>
      <c r="N4" s="209"/>
      <c r="O4" s="210"/>
      <c r="P4" s="209"/>
      <c r="Q4" s="210"/>
      <c r="R4" s="209"/>
      <c r="S4" s="210"/>
      <c r="T4" s="248" t="s">
        <v>358</v>
      </c>
      <c r="U4" s="249" t="s">
        <v>358</v>
      </c>
      <c r="V4" s="209"/>
      <c r="W4" s="249"/>
      <c r="X4" s="209"/>
      <c r="Y4" s="210"/>
      <c r="Z4" s="209"/>
      <c r="AA4" s="210"/>
      <c r="AB4" s="209"/>
      <c r="AC4" s="210"/>
      <c r="AD4" s="209"/>
      <c r="AE4" s="210"/>
      <c r="AF4" s="209"/>
      <c r="AG4" s="210"/>
      <c r="AH4" s="329"/>
      <c r="AI4" s="329"/>
      <c r="AJ4" s="154"/>
      <c r="AK4" s="387"/>
      <c r="AL4" s="189" t="s">
        <v>13</v>
      </c>
      <c r="AM4" s="184"/>
      <c r="AN4" s="184"/>
      <c r="AO4" s="15"/>
      <c r="AP4" s="15"/>
      <c r="AQ4" s="15"/>
      <c r="AR4" s="15"/>
    </row>
    <row r="5" spans="1:44" ht="22.5" customHeight="1">
      <c r="A5" s="354"/>
      <c r="B5" s="357"/>
      <c r="C5" s="194"/>
      <c r="D5" s="205"/>
      <c r="E5" s="206"/>
      <c r="F5" s="211"/>
      <c r="G5" s="208"/>
      <c r="H5" s="359"/>
      <c r="I5" s="362"/>
      <c r="J5" s="340"/>
      <c r="K5" s="342"/>
      <c r="L5" s="340"/>
      <c r="M5" s="342"/>
      <c r="N5" s="340"/>
      <c r="O5" s="342"/>
      <c r="P5" s="340"/>
      <c r="Q5" s="342"/>
      <c r="R5" s="340"/>
      <c r="S5" s="342"/>
      <c r="T5" s="340" t="s">
        <v>22</v>
      </c>
      <c r="U5" s="342" t="s">
        <v>189</v>
      </c>
      <c r="V5" s="340"/>
      <c r="W5" s="342"/>
      <c r="X5" s="340"/>
      <c r="Y5" s="342"/>
      <c r="Z5" s="340"/>
      <c r="AA5" s="342"/>
      <c r="AB5" s="340"/>
      <c r="AC5" s="342"/>
      <c r="AD5" s="340"/>
      <c r="AE5" s="342"/>
      <c r="AF5" s="340"/>
      <c r="AG5" s="342"/>
      <c r="AH5" s="329"/>
      <c r="AI5" s="329"/>
      <c r="AJ5" s="154"/>
      <c r="AK5" s="387"/>
      <c r="AL5" s="189" t="s">
        <v>20</v>
      </c>
      <c r="AM5" s="184"/>
      <c r="AN5" s="184"/>
      <c r="AO5" s="15"/>
      <c r="AP5" s="15"/>
      <c r="AQ5" s="15"/>
      <c r="AR5" s="15"/>
    </row>
    <row r="6" spans="1:44" ht="22.5" customHeight="1">
      <c r="A6" s="355"/>
      <c r="B6" s="104"/>
      <c r="C6" s="212"/>
      <c r="D6" s="213"/>
      <c r="E6" s="214"/>
      <c r="F6" s="213"/>
      <c r="G6" s="214"/>
      <c r="H6" s="360"/>
      <c r="I6" s="363"/>
      <c r="J6" s="341"/>
      <c r="K6" s="343"/>
      <c r="L6" s="341"/>
      <c r="M6" s="343"/>
      <c r="N6" s="341"/>
      <c r="O6" s="343"/>
      <c r="P6" s="341"/>
      <c r="Q6" s="343"/>
      <c r="R6" s="341"/>
      <c r="S6" s="343"/>
      <c r="T6" s="341"/>
      <c r="U6" s="343"/>
      <c r="V6" s="341"/>
      <c r="W6" s="343"/>
      <c r="X6" s="341"/>
      <c r="Y6" s="343"/>
      <c r="Z6" s="341"/>
      <c r="AA6" s="343"/>
      <c r="AB6" s="341"/>
      <c r="AC6" s="343"/>
      <c r="AD6" s="341"/>
      <c r="AE6" s="343"/>
      <c r="AF6" s="341"/>
      <c r="AG6" s="343"/>
      <c r="AH6" s="138"/>
      <c r="AI6" s="371"/>
      <c r="AJ6" s="154"/>
      <c r="AK6" s="388"/>
      <c r="AL6" s="189"/>
      <c r="AM6" s="190"/>
      <c r="AN6" s="190"/>
    </row>
    <row r="7" spans="1:44" ht="22.5" customHeight="1">
      <c r="A7" s="353">
        <v>0</v>
      </c>
      <c r="B7" s="356"/>
      <c r="C7" s="219"/>
      <c r="D7" s="199"/>
      <c r="E7" s="222"/>
      <c r="F7" s="201"/>
      <c r="G7" s="224"/>
      <c r="H7" s="358"/>
      <c r="I7" s="389"/>
      <c r="J7" s="203"/>
      <c r="K7" s="204"/>
      <c r="L7" s="203"/>
      <c r="M7" s="204"/>
      <c r="N7" s="203"/>
      <c r="O7" s="204"/>
      <c r="P7" s="203"/>
      <c r="Q7" s="204"/>
      <c r="R7" s="203"/>
      <c r="S7" s="204"/>
      <c r="T7" s="203"/>
      <c r="U7" s="204"/>
      <c r="V7" s="203"/>
      <c r="W7" s="204"/>
      <c r="X7" s="203"/>
      <c r="Y7" s="204"/>
      <c r="Z7" s="203"/>
      <c r="AA7" s="204"/>
      <c r="AB7" s="203"/>
      <c r="AC7" s="204"/>
      <c r="AD7" s="203"/>
      <c r="AE7" s="204"/>
      <c r="AF7" s="203"/>
      <c r="AG7" s="204"/>
      <c r="AH7" s="325"/>
      <c r="AI7" s="325"/>
      <c r="AJ7" s="154"/>
      <c r="AK7" s="386"/>
      <c r="AL7" s="189" t="s">
        <v>7</v>
      </c>
      <c r="AM7" s="190"/>
      <c r="AN7" s="190"/>
    </row>
    <row r="8" spans="1:44" ht="22.5" customHeight="1">
      <c r="A8" s="354"/>
      <c r="B8" s="357"/>
      <c r="C8" s="194"/>
      <c r="D8" s="205"/>
      <c r="E8" s="228"/>
      <c r="F8" s="207"/>
      <c r="G8" s="230"/>
      <c r="H8" s="359"/>
      <c r="I8" s="390"/>
      <c r="J8" s="209"/>
      <c r="K8" s="210"/>
      <c r="L8" s="209"/>
      <c r="M8" s="210"/>
      <c r="N8" s="209"/>
      <c r="O8" s="210"/>
      <c r="P8" s="209"/>
      <c r="Q8" s="210"/>
      <c r="R8" s="209"/>
      <c r="S8" s="210"/>
      <c r="T8" s="248"/>
      <c r="U8" s="249"/>
      <c r="V8" s="248"/>
      <c r="W8" s="249"/>
      <c r="X8" s="209"/>
      <c r="Y8" s="210"/>
      <c r="Z8" s="209"/>
      <c r="AA8" s="210"/>
      <c r="AB8" s="209"/>
      <c r="AC8" s="210"/>
      <c r="AD8" s="209"/>
      <c r="AE8" s="210"/>
      <c r="AF8" s="209"/>
      <c r="AG8" s="210"/>
      <c r="AH8" s="329"/>
      <c r="AI8" s="329"/>
      <c r="AJ8" s="154"/>
      <c r="AK8" s="387"/>
      <c r="AL8" s="189" t="s">
        <v>13</v>
      </c>
      <c r="AM8" s="184"/>
      <c r="AN8" s="184"/>
      <c r="AO8" s="15"/>
      <c r="AP8" s="15"/>
      <c r="AQ8" s="15"/>
      <c r="AR8" s="15"/>
    </row>
    <row r="9" spans="1:44" ht="22.5" customHeight="1">
      <c r="A9" s="354"/>
      <c r="B9" s="357"/>
      <c r="C9" s="194"/>
      <c r="D9" s="205"/>
      <c r="E9" s="228"/>
      <c r="F9" s="211"/>
      <c r="G9" s="230"/>
      <c r="H9" s="359"/>
      <c r="I9" s="390"/>
      <c r="J9" s="340"/>
      <c r="K9" s="342"/>
      <c r="L9" s="340"/>
      <c r="M9" s="342"/>
      <c r="N9" s="340"/>
      <c r="O9" s="342"/>
      <c r="P9" s="340"/>
      <c r="Q9" s="342"/>
      <c r="R9" s="340"/>
      <c r="S9" s="342"/>
      <c r="T9" s="340"/>
      <c r="U9" s="342"/>
      <c r="V9" s="340"/>
      <c r="W9" s="342"/>
      <c r="X9" s="340"/>
      <c r="Y9" s="342"/>
      <c r="Z9" s="340"/>
      <c r="AA9" s="342"/>
      <c r="AB9" s="340"/>
      <c r="AC9" s="342"/>
      <c r="AD9" s="340"/>
      <c r="AE9" s="342"/>
      <c r="AF9" s="340"/>
      <c r="AG9" s="342"/>
      <c r="AH9" s="329"/>
      <c r="AI9" s="329"/>
      <c r="AJ9" s="154"/>
      <c r="AK9" s="387"/>
      <c r="AL9" s="189" t="s">
        <v>20</v>
      </c>
      <c r="AM9" s="184"/>
      <c r="AN9" s="184"/>
      <c r="AO9" s="15"/>
      <c r="AP9" s="15"/>
      <c r="AQ9" s="15"/>
      <c r="AR9" s="15"/>
    </row>
    <row r="10" spans="1:44" ht="22.5" customHeight="1">
      <c r="A10" s="355"/>
      <c r="B10" s="104"/>
      <c r="C10" s="212"/>
      <c r="D10" s="213"/>
      <c r="E10" s="233"/>
      <c r="F10" s="213"/>
      <c r="G10" s="233"/>
      <c r="H10" s="360"/>
      <c r="I10" s="391"/>
      <c r="J10" s="341"/>
      <c r="K10" s="343"/>
      <c r="L10" s="341"/>
      <c r="M10" s="343"/>
      <c r="N10" s="341"/>
      <c r="O10" s="343"/>
      <c r="P10" s="341"/>
      <c r="Q10" s="343"/>
      <c r="R10" s="341"/>
      <c r="S10" s="343"/>
      <c r="T10" s="341"/>
      <c r="U10" s="343"/>
      <c r="V10" s="341"/>
      <c r="W10" s="343"/>
      <c r="X10" s="341"/>
      <c r="Y10" s="343"/>
      <c r="Z10" s="341"/>
      <c r="AA10" s="343"/>
      <c r="AB10" s="341"/>
      <c r="AC10" s="343"/>
      <c r="AD10" s="341"/>
      <c r="AE10" s="343"/>
      <c r="AF10" s="341"/>
      <c r="AG10" s="343"/>
      <c r="AH10" s="138"/>
      <c r="AI10" s="371"/>
      <c r="AJ10" s="154"/>
      <c r="AK10" s="388"/>
      <c r="AL10" s="189"/>
      <c r="AM10" s="190"/>
      <c r="AN10" s="190"/>
    </row>
    <row r="11" spans="1:44" ht="22.5" customHeight="1">
      <c r="A11" s="353">
        <v>0</v>
      </c>
      <c r="B11" s="356"/>
      <c r="C11" s="219"/>
      <c r="D11" s="199"/>
      <c r="E11" s="222"/>
      <c r="F11" s="201"/>
      <c r="G11" s="224"/>
      <c r="H11" s="358"/>
      <c r="I11" s="361"/>
      <c r="J11" s="203"/>
      <c r="K11" s="204"/>
      <c r="L11" s="203"/>
      <c r="M11" s="204"/>
      <c r="N11" s="203"/>
      <c r="O11" s="204"/>
      <c r="P11" s="203"/>
      <c r="Q11" s="204"/>
      <c r="R11" s="203"/>
      <c r="S11" s="204"/>
      <c r="T11" s="203"/>
      <c r="U11" s="204"/>
      <c r="V11" s="203"/>
      <c r="W11" s="204"/>
      <c r="X11" s="203"/>
      <c r="Y11" s="204"/>
      <c r="Z11" s="203"/>
      <c r="AA11" s="204"/>
      <c r="AB11" s="203"/>
      <c r="AC11" s="204"/>
      <c r="AD11" s="203"/>
      <c r="AE11" s="204"/>
      <c r="AF11" s="203"/>
      <c r="AG11" s="204"/>
      <c r="AH11" s="325"/>
      <c r="AI11" s="325"/>
      <c r="AJ11" s="154"/>
      <c r="AK11" s="386"/>
      <c r="AL11" s="189" t="s">
        <v>7</v>
      </c>
      <c r="AM11" s="190"/>
      <c r="AN11" s="190"/>
    </row>
    <row r="12" spans="1:44" ht="22.5" customHeight="1">
      <c r="A12" s="354"/>
      <c r="B12" s="357"/>
      <c r="C12" s="194"/>
      <c r="D12" s="205"/>
      <c r="E12" s="228"/>
      <c r="F12" s="207"/>
      <c r="G12" s="230"/>
      <c r="H12" s="359"/>
      <c r="I12" s="362"/>
      <c r="J12" s="209"/>
      <c r="K12" s="210"/>
      <c r="L12" s="209"/>
      <c r="M12" s="210"/>
      <c r="N12" s="209"/>
      <c r="O12" s="210"/>
      <c r="P12" s="209"/>
      <c r="Q12" s="210"/>
      <c r="R12" s="209"/>
      <c r="S12" s="210"/>
      <c r="T12" s="248"/>
      <c r="U12" s="249"/>
      <c r="V12" s="248"/>
      <c r="W12" s="249"/>
      <c r="X12" s="209"/>
      <c r="Y12" s="210"/>
      <c r="Z12" s="209"/>
      <c r="AA12" s="210"/>
      <c r="AB12" s="209"/>
      <c r="AC12" s="210"/>
      <c r="AD12" s="209"/>
      <c r="AE12" s="210"/>
      <c r="AF12" s="209"/>
      <c r="AG12" s="210"/>
      <c r="AH12" s="329"/>
      <c r="AI12" s="329"/>
      <c r="AJ12" s="154"/>
      <c r="AK12" s="387"/>
      <c r="AL12" s="189" t="s">
        <v>13</v>
      </c>
      <c r="AM12" s="184"/>
      <c r="AN12" s="184"/>
      <c r="AO12" s="15"/>
      <c r="AP12" s="15"/>
      <c r="AQ12" s="15"/>
      <c r="AR12" s="15"/>
    </row>
    <row r="13" spans="1:44" ht="22.5" customHeight="1">
      <c r="A13" s="354"/>
      <c r="B13" s="357"/>
      <c r="C13" s="194"/>
      <c r="D13" s="205"/>
      <c r="E13" s="228"/>
      <c r="F13" s="211"/>
      <c r="G13" s="230"/>
      <c r="H13" s="359"/>
      <c r="I13" s="362"/>
      <c r="J13" s="340"/>
      <c r="K13" s="342"/>
      <c r="L13" s="340"/>
      <c r="M13" s="342"/>
      <c r="N13" s="340"/>
      <c r="O13" s="342"/>
      <c r="P13" s="340"/>
      <c r="Q13" s="342"/>
      <c r="R13" s="340"/>
      <c r="S13" s="342"/>
      <c r="T13" s="340"/>
      <c r="U13" s="342"/>
      <c r="V13" s="340"/>
      <c r="W13" s="342"/>
      <c r="X13" s="340"/>
      <c r="Y13" s="342"/>
      <c r="Z13" s="340"/>
      <c r="AA13" s="342"/>
      <c r="AB13" s="340"/>
      <c r="AC13" s="342"/>
      <c r="AD13" s="340"/>
      <c r="AE13" s="342"/>
      <c r="AF13" s="340"/>
      <c r="AG13" s="342"/>
      <c r="AH13" s="371"/>
      <c r="AI13" s="329"/>
      <c r="AJ13" s="154"/>
      <c r="AK13" s="387"/>
      <c r="AL13" s="189" t="s">
        <v>20</v>
      </c>
      <c r="AM13" s="184"/>
      <c r="AN13" s="184"/>
      <c r="AO13" s="15"/>
      <c r="AP13" s="15"/>
      <c r="AQ13" s="15"/>
      <c r="AR13" s="15"/>
    </row>
    <row r="14" spans="1:44" ht="22.5" customHeight="1">
      <c r="A14" s="355"/>
      <c r="B14" s="104"/>
      <c r="C14" s="212"/>
      <c r="D14" s="213"/>
      <c r="E14" s="233"/>
      <c r="F14" s="213"/>
      <c r="G14" s="233"/>
      <c r="H14" s="360"/>
      <c r="I14" s="363"/>
      <c r="J14" s="341"/>
      <c r="K14" s="343"/>
      <c r="L14" s="341"/>
      <c r="M14" s="343"/>
      <c r="N14" s="341"/>
      <c r="O14" s="343"/>
      <c r="P14" s="341"/>
      <c r="Q14" s="343"/>
      <c r="R14" s="341"/>
      <c r="S14" s="343"/>
      <c r="T14" s="341"/>
      <c r="U14" s="343"/>
      <c r="V14" s="341"/>
      <c r="W14" s="343"/>
      <c r="X14" s="341"/>
      <c r="Y14" s="343"/>
      <c r="Z14" s="341"/>
      <c r="AA14" s="343"/>
      <c r="AB14" s="341"/>
      <c r="AC14" s="343"/>
      <c r="AD14" s="341"/>
      <c r="AE14" s="343"/>
      <c r="AF14" s="341"/>
      <c r="AG14" s="343"/>
      <c r="AH14" s="138"/>
      <c r="AI14" s="371"/>
      <c r="AJ14" s="154"/>
      <c r="AK14" s="388"/>
      <c r="AL14" s="189"/>
      <c r="AM14" s="190"/>
      <c r="AN14" s="190"/>
    </row>
    <row r="15" spans="1:44" ht="22.5" customHeight="1">
      <c r="A15" s="353">
        <v>0</v>
      </c>
      <c r="B15" s="356"/>
      <c r="C15" s="258"/>
      <c r="D15" s="221"/>
      <c r="E15" s="222"/>
      <c r="F15" s="223"/>
      <c r="G15" s="224"/>
      <c r="H15" s="358"/>
      <c r="I15" s="361"/>
      <c r="J15" s="225"/>
      <c r="K15" s="226"/>
      <c r="L15" s="225"/>
      <c r="M15" s="226"/>
      <c r="N15" s="225"/>
      <c r="O15" s="226"/>
      <c r="P15" s="225"/>
      <c r="Q15" s="226"/>
      <c r="R15" s="225"/>
      <c r="S15" s="226"/>
      <c r="T15" s="225"/>
      <c r="U15" s="226"/>
      <c r="V15" s="225"/>
      <c r="W15" s="226"/>
      <c r="X15" s="225"/>
      <c r="Y15" s="226"/>
      <c r="Z15" s="225"/>
      <c r="AA15" s="226"/>
      <c r="AB15" s="225"/>
      <c r="AC15" s="226"/>
      <c r="AD15" s="225"/>
      <c r="AE15" s="226"/>
      <c r="AF15" s="225"/>
      <c r="AG15" s="226"/>
      <c r="AH15" s="325"/>
      <c r="AI15" s="325"/>
      <c r="AJ15" s="154"/>
      <c r="AK15" s="264"/>
      <c r="AL15" s="265"/>
      <c r="AM15" s="190"/>
      <c r="AN15" s="190"/>
    </row>
    <row r="16" spans="1:44" ht="22.5" customHeight="1">
      <c r="A16" s="354"/>
      <c r="B16" s="357"/>
      <c r="C16" s="259"/>
      <c r="D16" s="227"/>
      <c r="E16" s="228"/>
      <c r="F16" s="229"/>
      <c r="G16" s="230"/>
      <c r="H16" s="359"/>
      <c r="I16" s="362"/>
      <c r="J16" s="248"/>
      <c r="K16" s="249"/>
      <c r="L16" s="248"/>
      <c r="M16" s="249"/>
      <c r="N16" s="248"/>
      <c r="O16" s="249"/>
      <c r="P16" s="248"/>
      <c r="Q16" s="249"/>
      <c r="R16" s="248"/>
      <c r="S16" s="249"/>
      <c r="T16" s="248"/>
      <c r="U16" s="249"/>
      <c r="V16" s="248"/>
      <c r="W16" s="249"/>
      <c r="X16" s="248"/>
      <c r="Y16" s="249"/>
      <c r="Z16" s="248"/>
      <c r="AA16" s="249"/>
      <c r="AB16" s="248"/>
      <c r="AC16" s="249"/>
      <c r="AD16" s="248"/>
      <c r="AE16" s="249"/>
      <c r="AF16" s="248"/>
      <c r="AG16" s="249"/>
      <c r="AH16" s="329"/>
      <c r="AI16" s="329"/>
      <c r="AJ16" s="154"/>
      <c r="AK16" s="264"/>
      <c r="AL16" s="265"/>
      <c r="AM16" s="190"/>
      <c r="AN16" s="190"/>
    </row>
    <row r="17" spans="1:40" ht="22.5" customHeight="1">
      <c r="A17" s="354"/>
      <c r="B17" s="357"/>
      <c r="C17" s="259"/>
      <c r="D17" s="227"/>
      <c r="E17" s="228"/>
      <c r="F17" s="231"/>
      <c r="G17" s="230"/>
      <c r="H17" s="359"/>
      <c r="I17" s="362"/>
      <c r="J17" s="340"/>
      <c r="K17" s="342"/>
      <c r="L17" s="340"/>
      <c r="M17" s="342"/>
      <c r="N17" s="340"/>
      <c r="O17" s="342"/>
      <c r="P17" s="340"/>
      <c r="Q17" s="342"/>
      <c r="R17" s="340"/>
      <c r="S17" s="342"/>
      <c r="T17" s="340"/>
      <c r="U17" s="342"/>
      <c r="V17" s="340"/>
      <c r="W17" s="342"/>
      <c r="X17" s="340"/>
      <c r="Y17" s="342"/>
      <c r="Z17" s="340"/>
      <c r="AA17" s="342"/>
      <c r="AB17" s="340"/>
      <c r="AC17" s="342"/>
      <c r="AD17" s="340"/>
      <c r="AE17" s="342"/>
      <c r="AF17" s="340"/>
      <c r="AG17" s="342"/>
      <c r="AH17" s="371"/>
      <c r="AI17" s="329"/>
      <c r="AJ17" s="154"/>
      <c r="AK17" s="264"/>
      <c r="AL17" s="265"/>
      <c r="AM17" s="190"/>
      <c r="AN17" s="190"/>
    </row>
    <row r="18" spans="1:40" ht="22.5" customHeight="1">
      <c r="A18" s="355"/>
      <c r="B18" s="104"/>
      <c r="C18" s="260"/>
      <c r="D18" s="232"/>
      <c r="E18" s="233"/>
      <c r="F18" s="232"/>
      <c r="G18" s="233"/>
      <c r="H18" s="360"/>
      <c r="I18" s="363"/>
      <c r="J18" s="341"/>
      <c r="K18" s="343"/>
      <c r="L18" s="341"/>
      <c r="M18" s="343"/>
      <c r="N18" s="341"/>
      <c r="O18" s="343"/>
      <c r="P18" s="341"/>
      <c r="Q18" s="343"/>
      <c r="R18" s="341"/>
      <c r="S18" s="343"/>
      <c r="T18" s="341"/>
      <c r="U18" s="343"/>
      <c r="V18" s="341"/>
      <c r="W18" s="343"/>
      <c r="X18" s="341"/>
      <c r="Y18" s="343"/>
      <c r="Z18" s="341"/>
      <c r="AA18" s="343"/>
      <c r="AB18" s="341"/>
      <c r="AC18" s="343"/>
      <c r="AD18" s="341"/>
      <c r="AE18" s="343"/>
      <c r="AF18" s="341"/>
      <c r="AG18" s="343"/>
      <c r="AH18" s="138"/>
      <c r="AI18" s="371"/>
      <c r="AJ18" s="154"/>
      <c r="AK18" s="264"/>
      <c r="AL18" s="265"/>
      <c r="AM18" s="190"/>
      <c r="AN18" s="190"/>
    </row>
    <row r="19" spans="1:40" ht="22.5" customHeight="1">
      <c r="A19" s="344" t="s">
        <v>285</v>
      </c>
      <c r="B19" s="345"/>
      <c r="C19" s="346"/>
      <c r="D19" s="221" t="s">
        <v>286</v>
      </c>
      <c r="E19" s="234">
        <f>E3+E7+E11</f>
        <v>0</v>
      </c>
      <c r="F19" s="223" t="s">
        <v>307</v>
      </c>
      <c r="G19" s="234">
        <f>G3+G7+G11</f>
        <v>0</v>
      </c>
      <c r="H19" s="358"/>
      <c r="I19" s="313"/>
      <c r="J19" s="225" t="s">
        <v>308</v>
      </c>
      <c r="K19" s="226"/>
      <c r="L19" s="225" t="s">
        <v>308</v>
      </c>
      <c r="M19" s="226"/>
      <c r="N19" s="225" t="s">
        <v>308</v>
      </c>
      <c r="O19" s="226"/>
      <c r="P19" s="225" t="s">
        <v>308</v>
      </c>
      <c r="Q19" s="226"/>
      <c r="R19" s="225" t="s">
        <v>308</v>
      </c>
      <c r="S19" s="226"/>
      <c r="T19" s="319"/>
      <c r="U19" s="322"/>
      <c r="V19" s="319"/>
      <c r="W19" s="322"/>
      <c r="X19" s="225" t="s">
        <v>308</v>
      </c>
      <c r="Y19" s="226"/>
      <c r="Z19" s="225" t="s">
        <v>308</v>
      </c>
      <c r="AA19" s="226"/>
      <c r="AB19" s="225" t="s">
        <v>308</v>
      </c>
      <c r="AC19" s="226"/>
      <c r="AD19" s="225" t="s">
        <v>308</v>
      </c>
      <c r="AE19" s="226"/>
      <c r="AF19" s="225" t="s">
        <v>308</v>
      </c>
      <c r="AG19" s="226"/>
      <c r="AH19" s="310"/>
      <c r="AI19" s="316"/>
      <c r="AJ19" s="154"/>
      <c r="AK19" s="154"/>
      <c r="AL19" s="154"/>
      <c r="AM19" s="190"/>
      <c r="AN19" s="190"/>
    </row>
    <row r="20" spans="1:40" ht="22.5" customHeight="1">
      <c r="A20" s="347"/>
      <c r="B20" s="348"/>
      <c r="C20" s="349"/>
      <c r="D20" s="227" t="s">
        <v>289</v>
      </c>
      <c r="E20" s="235">
        <f>E4+E8+E12</f>
        <v>0</v>
      </c>
      <c r="F20" s="229" t="s">
        <v>309</v>
      </c>
      <c r="G20" s="235">
        <f>G4+G8+G12</f>
        <v>0</v>
      </c>
      <c r="H20" s="359"/>
      <c r="I20" s="314"/>
      <c r="J20" s="236" t="s">
        <v>288</v>
      </c>
      <c r="K20" s="237">
        <v>0</v>
      </c>
      <c r="L20" s="236" t="s">
        <v>288</v>
      </c>
      <c r="M20" s="237">
        <v>0</v>
      </c>
      <c r="N20" s="236" t="s">
        <v>288</v>
      </c>
      <c r="O20" s="237">
        <v>0</v>
      </c>
      <c r="P20" s="236" t="s">
        <v>288</v>
      </c>
      <c r="Q20" s="237">
        <v>0</v>
      </c>
      <c r="R20" s="236" t="s">
        <v>288</v>
      </c>
      <c r="S20" s="237">
        <v>0</v>
      </c>
      <c r="T20" s="320"/>
      <c r="U20" s="323"/>
      <c r="V20" s="320"/>
      <c r="W20" s="323"/>
      <c r="X20" s="236" t="s">
        <v>288</v>
      </c>
      <c r="Y20" s="237">
        <v>0</v>
      </c>
      <c r="Z20" s="236" t="s">
        <v>288</v>
      </c>
      <c r="AA20" s="237">
        <v>0</v>
      </c>
      <c r="AB20" s="236" t="s">
        <v>288</v>
      </c>
      <c r="AC20" s="237">
        <v>0</v>
      </c>
      <c r="AD20" s="236" t="s">
        <v>288</v>
      </c>
      <c r="AE20" s="237">
        <v>0</v>
      </c>
      <c r="AF20" s="236" t="s">
        <v>288</v>
      </c>
      <c r="AG20" s="237">
        <v>0</v>
      </c>
      <c r="AH20" s="311"/>
      <c r="AI20" s="317"/>
    </row>
    <row r="21" spans="1:40" ht="22.5" customHeight="1">
      <c r="A21" s="347"/>
      <c r="B21" s="348"/>
      <c r="C21" s="349"/>
      <c r="D21" s="227" t="s">
        <v>291</v>
      </c>
      <c r="E21" s="220">
        <f>E5+E9+E13</f>
        <v>0</v>
      </c>
      <c r="F21" s="231" t="s">
        <v>291</v>
      </c>
      <c r="G21" s="220">
        <f>G5+G9+G13</f>
        <v>0</v>
      </c>
      <c r="H21" s="359"/>
      <c r="I21" s="314"/>
      <c r="J21" s="320" t="s">
        <v>310</v>
      </c>
      <c r="K21" s="349"/>
      <c r="L21" s="320" t="s">
        <v>310</v>
      </c>
      <c r="M21" s="349"/>
      <c r="N21" s="320" t="s">
        <v>310</v>
      </c>
      <c r="O21" s="349"/>
      <c r="P21" s="320" t="s">
        <v>310</v>
      </c>
      <c r="Q21" s="349"/>
      <c r="R21" s="320" t="s">
        <v>310</v>
      </c>
      <c r="S21" s="349"/>
      <c r="T21" s="320"/>
      <c r="U21" s="323"/>
      <c r="V21" s="320"/>
      <c r="W21" s="323"/>
      <c r="X21" s="320" t="s">
        <v>310</v>
      </c>
      <c r="Y21" s="349"/>
      <c r="Z21" s="320" t="s">
        <v>310</v>
      </c>
      <c r="AA21" s="349"/>
      <c r="AB21" s="320" t="s">
        <v>310</v>
      </c>
      <c r="AC21" s="349"/>
      <c r="AD21" s="320" t="s">
        <v>310</v>
      </c>
      <c r="AE21" s="349"/>
      <c r="AF21" s="320" t="s">
        <v>310</v>
      </c>
      <c r="AG21" s="349"/>
      <c r="AH21" s="311"/>
      <c r="AI21" s="317"/>
    </row>
    <row r="22" spans="1:40" ht="22.5" customHeight="1">
      <c r="A22" s="350"/>
      <c r="B22" s="351"/>
      <c r="C22" s="352"/>
      <c r="D22" s="232" t="s">
        <v>293</v>
      </c>
      <c r="E22" s="233"/>
      <c r="F22" s="232" t="s">
        <v>311</v>
      </c>
      <c r="G22" s="233"/>
      <c r="H22" s="360"/>
      <c r="I22" s="315"/>
      <c r="J22" s="384"/>
      <c r="K22" s="385"/>
      <c r="L22" s="384"/>
      <c r="M22" s="385"/>
      <c r="N22" s="384"/>
      <c r="O22" s="385"/>
      <c r="P22" s="384"/>
      <c r="Q22" s="385"/>
      <c r="R22" s="384"/>
      <c r="S22" s="385"/>
      <c r="T22" s="321"/>
      <c r="U22" s="324"/>
      <c r="V22" s="321"/>
      <c r="W22" s="324"/>
      <c r="X22" s="384"/>
      <c r="Y22" s="385"/>
      <c r="Z22" s="384"/>
      <c r="AA22" s="385"/>
      <c r="AB22" s="384"/>
      <c r="AC22" s="385"/>
      <c r="AD22" s="384"/>
      <c r="AE22" s="385"/>
      <c r="AF22" s="384"/>
      <c r="AG22" s="385"/>
      <c r="AH22" s="312"/>
      <c r="AI22" s="318"/>
    </row>
  </sheetData>
  <mergeCells count="166">
    <mergeCell ref="B15:B17"/>
    <mergeCell ref="H15:H18"/>
    <mergeCell ref="I15:I18"/>
    <mergeCell ref="AE17:AE18"/>
    <mergeCell ref="AF17:AF18"/>
    <mergeCell ref="AG17:AG18"/>
    <mergeCell ref="AD2:AE2"/>
    <mergeCell ref="AF2:AG2"/>
    <mergeCell ref="R2:S2"/>
    <mergeCell ref="T2:U2"/>
    <mergeCell ref="V2:W2"/>
    <mergeCell ref="X2:Y2"/>
    <mergeCell ref="Z2:AA2"/>
    <mergeCell ref="AB2:AC2"/>
    <mergeCell ref="D2:E2"/>
    <mergeCell ref="F2:G2"/>
    <mergeCell ref="J2:K2"/>
    <mergeCell ref="L2:M2"/>
    <mergeCell ref="N2:O2"/>
    <mergeCell ref="P2:Q2"/>
    <mergeCell ref="B3:B5"/>
    <mergeCell ref="AF5:AF6"/>
    <mergeCell ref="AI3:AI6"/>
    <mergeCell ref="AK3:AK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7:A10"/>
    <mergeCell ref="B7:B9"/>
    <mergeCell ref="H7:H10"/>
    <mergeCell ref="I7:I10"/>
    <mergeCell ref="AE9:AE10"/>
    <mergeCell ref="AF9:AF10"/>
    <mergeCell ref="AG9:AG10"/>
    <mergeCell ref="H3:H6"/>
    <mergeCell ref="I3:I6"/>
    <mergeCell ref="A3:A6"/>
    <mergeCell ref="AI7:AI10"/>
    <mergeCell ref="AK7:AK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K11:AK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11:A14"/>
    <mergeCell ref="B11:B13"/>
    <mergeCell ref="H11:H14"/>
    <mergeCell ref="I11:I14"/>
    <mergeCell ref="AI15:A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I11:AI14"/>
    <mergeCell ref="A15:A18"/>
    <mergeCell ref="A19:C22"/>
    <mergeCell ref="U19:U22"/>
    <mergeCell ref="V19:V22"/>
    <mergeCell ref="AA17:AA18"/>
    <mergeCell ref="AB17:AB18"/>
    <mergeCell ref="AC17:AC18"/>
    <mergeCell ref="AD17:AD18"/>
    <mergeCell ref="AH19:AH22"/>
    <mergeCell ref="AI19:AI22"/>
    <mergeCell ref="J21:J22"/>
    <mergeCell ref="K21:K22"/>
    <mergeCell ref="L21:L22"/>
    <mergeCell ref="M21:M22"/>
    <mergeCell ref="N21:N22"/>
    <mergeCell ref="O21:O22"/>
    <mergeCell ref="AF21:AF22"/>
    <mergeCell ref="AG21:AG22"/>
    <mergeCell ref="Z21:Z22"/>
    <mergeCell ref="AA21:AA22"/>
    <mergeCell ref="AB21:AB22"/>
    <mergeCell ref="AC21:AC22"/>
    <mergeCell ref="AD21:AD22"/>
    <mergeCell ref="AE21:AE22"/>
    <mergeCell ref="X21:X22"/>
    <mergeCell ref="AH3:AH5"/>
    <mergeCell ref="AH7:AH9"/>
    <mergeCell ref="AH11:AH13"/>
    <mergeCell ref="AH15:AH17"/>
    <mergeCell ref="H19:H22"/>
    <mergeCell ref="I19:I22"/>
    <mergeCell ref="P21:P22"/>
    <mergeCell ref="Q21:Q22"/>
    <mergeCell ref="R21:R22"/>
    <mergeCell ref="S21:S22"/>
    <mergeCell ref="Y21:Y22"/>
    <mergeCell ref="T19:T22"/>
    <mergeCell ref="W19:W22"/>
    <mergeCell ref="AF13:AF14"/>
    <mergeCell ref="AG13:AG14"/>
    <mergeCell ref="AG5:AG6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scale="9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2"/>
  <sheetViews>
    <sheetView view="pageBreakPreview" zoomScale="85" zoomScaleNormal="115" zoomScaleSheetLayoutView="85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A35" sqref="A35:A38"/>
    </sheetView>
  </sheetViews>
  <sheetFormatPr defaultRowHeight="30.75" customHeight="1"/>
  <cols>
    <col min="1" max="1" width="4.5" style="139" customWidth="1"/>
    <col min="2" max="2" width="19.375" style="4" customWidth="1"/>
    <col min="3" max="3" width="9.875" style="139" customWidth="1"/>
    <col min="4" max="4" width="5.125" style="139" customWidth="1"/>
    <col min="5" max="5" width="8.75" style="139" customWidth="1"/>
    <col min="6" max="6" width="5.125" style="139" customWidth="1"/>
    <col min="7" max="7" width="8.625" style="139" customWidth="1"/>
    <col min="8" max="8" width="6.625" style="6" customWidth="1"/>
    <col min="9" max="9" width="5.875" style="6" customWidth="1"/>
    <col min="10" max="10" width="5.125" style="6" hidden="1" customWidth="1"/>
    <col min="11" max="11" width="8.875" style="139" hidden="1" customWidth="1"/>
    <col min="12" max="12" width="5.125" style="6" hidden="1" customWidth="1"/>
    <col min="13" max="13" width="8.875" style="139" hidden="1" customWidth="1"/>
    <col min="14" max="14" width="5.125" style="6" hidden="1" customWidth="1"/>
    <col min="15" max="15" width="8.875" style="139" hidden="1" customWidth="1"/>
    <col min="16" max="16" width="5.125" style="6" hidden="1" customWidth="1"/>
    <col min="17" max="17" width="8.875" style="139" hidden="1" customWidth="1"/>
    <col min="18" max="18" width="5.125" style="6" hidden="1" customWidth="1"/>
    <col min="19" max="19" width="8.875" style="139" hidden="1" customWidth="1"/>
    <col min="20" max="20" width="5.125" style="6" customWidth="1"/>
    <col min="21" max="21" width="8.875" style="139" customWidth="1"/>
    <col min="22" max="22" width="5.125" style="6" customWidth="1"/>
    <col min="23" max="23" width="8.875" style="139" customWidth="1"/>
    <col min="24" max="24" width="5.125" style="6" hidden="1" customWidth="1"/>
    <col min="25" max="25" width="8.875" style="139" hidden="1" customWidth="1"/>
    <col min="26" max="26" width="5.125" style="6" hidden="1" customWidth="1"/>
    <col min="27" max="27" width="8.875" style="139" hidden="1" customWidth="1"/>
    <col min="28" max="28" width="5.125" style="6" hidden="1" customWidth="1"/>
    <col min="29" max="29" width="8.875" style="139" hidden="1" customWidth="1"/>
    <col min="30" max="30" width="5.125" style="6" hidden="1" customWidth="1"/>
    <col min="31" max="31" width="8.875" style="139" hidden="1" customWidth="1"/>
    <col min="32" max="32" width="5.125" style="6" hidden="1" customWidth="1"/>
    <col min="33" max="33" width="8.875" style="139" hidden="1" customWidth="1"/>
    <col min="34" max="34" width="18.875" style="139" customWidth="1"/>
    <col min="35" max="35" width="11.25" style="139" customWidth="1"/>
    <col min="36" max="36" width="9" style="139"/>
    <col min="37" max="37" width="4.5" style="139" customWidth="1"/>
    <col min="38" max="38" width="6.125" style="139" customWidth="1"/>
    <col min="39" max="39" width="16" style="139" customWidth="1"/>
    <col min="40" max="40" width="14.625" style="2" customWidth="1"/>
    <col min="41" max="64" width="16" style="3" customWidth="1"/>
    <col min="65" max="16384" width="9" style="4"/>
  </cols>
  <sheetData>
    <row r="1" spans="1:71" ht="25.5" customHeight="1">
      <c r="A1" s="5" t="s">
        <v>56</v>
      </c>
      <c r="AI1" s="140" t="s">
        <v>31</v>
      </c>
    </row>
    <row r="2" spans="1:71" ht="22.5" customHeight="1">
      <c r="A2" s="255" t="s">
        <v>0</v>
      </c>
      <c r="B2" s="255" t="s">
        <v>51</v>
      </c>
      <c r="C2" s="255" t="s">
        <v>3</v>
      </c>
      <c r="D2" s="366" t="s">
        <v>57</v>
      </c>
      <c r="E2" s="366"/>
      <c r="F2" s="367" t="s">
        <v>58</v>
      </c>
      <c r="G2" s="365"/>
      <c r="H2" s="196" t="s">
        <v>39</v>
      </c>
      <c r="I2" s="197" t="s">
        <v>40</v>
      </c>
      <c r="J2" s="364" t="s">
        <v>42</v>
      </c>
      <c r="K2" s="365"/>
      <c r="L2" s="364" t="s">
        <v>43</v>
      </c>
      <c r="M2" s="365"/>
      <c r="N2" s="364" t="s">
        <v>44</v>
      </c>
      <c r="O2" s="365"/>
      <c r="P2" s="364" t="s">
        <v>45</v>
      </c>
      <c r="Q2" s="365"/>
      <c r="R2" s="364" t="s">
        <v>46</v>
      </c>
      <c r="S2" s="365"/>
      <c r="T2" s="364" t="s">
        <v>47</v>
      </c>
      <c r="U2" s="365"/>
      <c r="V2" s="364" t="s">
        <v>48</v>
      </c>
      <c r="W2" s="365"/>
      <c r="X2" s="364" t="s">
        <v>49</v>
      </c>
      <c r="Y2" s="365"/>
      <c r="Z2" s="364" t="s">
        <v>33</v>
      </c>
      <c r="AA2" s="365"/>
      <c r="AB2" s="364" t="s">
        <v>34</v>
      </c>
      <c r="AC2" s="365"/>
      <c r="AD2" s="364" t="s">
        <v>35</v>
      </c>
      <c r="AE2" s="365"/>
      <c r="AF2" s="364" t="s">
        <v>36</v>
      </c>
      <c r="AG2" s="365"/>
      <c r="AH2" s="255" t="s">
        <v>61</v>
      </c>
      <c r="AI2" s="198" t="s">
        <v>5</v>
      </c>
      <c r="AJ2" s="154"/>
      <c r="AK2" s="198" t="s">
        <v>1</v>
      </c>
      <c r="AL2" s="154"/>
      <c r="AM2" s="271" t="s">
        <v>343</v>
      </c>
      <c r="AN2" s="192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0"/>
      <c r="BN2" s="190"/>
      <c r="BO2" s="190"/>
    </row>
    <row r="3" spans="1:71" ht="22.5" customHeight="1">
      <c r="A3" s="353">
        <v>1</v>
      </c>
      <c r="B3" s="356" t="s">
        <v>211</v>
      </c>
      <c r="C3" s="258" t="s">
        <v>206</v>
      </c>
      <c r="D3" s="221" t="s">
        <v>7</v>
      </c>
      <c r="E3" s="222">
        <f>AM3/1100000</f>
        <v>100</v>
      </c>
      <c r="F3" s="223" t="s">
        <v>55</v>
      </c>
      <c r="G3" s="224">
        <f>AO4/1100000</f>
        <v>20</v>
      </c>
      <c r="H3" s="358">
        <v>1</v>
      </c>
      <c r="I3" s="361">
        <f>H3+K3+M3+O3+Q3+S3+U3+W3+Y3+AA3+AC3+AE3+AG3</f>
        <v>1</v>
      </c>
      <c r="J3" s="225" t="s">
        <v>41</v>
      </c>
      <c r="K3" s="226"/>
      <c r="L3" s="225" t="s">
        <v>41</v>
      </c>
      <c r="M3" s="226"/>
      <c r="N3" s="225" t="s">
        <v>41</v>
      </c>
      <c r="O3" s="226"/>
      <c r="P3" s="225" t="s">
        <v>41</v>
      </c>
      <c r="Q3" s="226"/>
      <c r="R3" s="225" t="s">
        <v>41</v>
      </c>
      <c r="S3" s="226"/>
      <c r="T3" s="225" t="s">
        <v>41</v>
      </c>
      <c r="U3" s="226"/>
      <c r="V3" s="225" t="s">
        <v>41</v>
      </c>
      <c r="W3" s="226"/>
      <c r="X3" s="225" t="s">
        <v>41</v>
      </c>
      <c r="Y3" s="226"/>
      <c r="Z3" s="225" t="s">
        <v>41</v>
      </c>
      <c r="AA3" s="226"/>
      <c r="AB3" s="225" t="s">
        <v>41</v>
      </c>
      <c r="AC3" s="226"/>
      <c r="AD3" s="225" t="s">
        <v>41</v>
      </c>
      <c r="AE3" s="226"/>
      <c r="AF3" s="225" t="s">
        <v>41</v>
      </c>
      <c r="AG3" s="226"/>
      <c r="AH3" s="325" t="s">
        <v>215</v>
      </c>
      <c r="AI3" s="325"/>
      <c r="AJ3" s="154"/>
      <c r="AK3" s="386"/>
      <c r="AL3" s="189" t="s">
        <v>7</v>
      </c>
      <c r="AM3" s="188">
        <v>110000000</v>
      </c>
      <c r="AN3" s="187"/>
      <c r="AO3" s="186">
        <f>SUM(AP3:BL3)</f>
        <v>0</v>
      </c>
      <c r="AP3" s="193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90"/>
      <c r="BN3" s="190"/>
      <c r="BO3" s="190"/>
    </row>
    <row r="4" spans="1:71" ht="22.5" customHeight="1">
      <c r="A4" s="354"/>
      <c r="B4" s="357"/>
      <c r="C4" s="259" t="s">
        <v>207</v>
      </c>
      <c r="D4" s="227" t="s">
        <v>13</v>
      </c>
      <c r="E4" s="228">
        <f>AM4/1100000</f>
        <v>50</v>
      </c>
      <c r="F4" s="229" t="s">
        <v>59</v>
      </c>
      <c r="G4" s="230">
        <f>AO5/1100000</f>
        <v>7.5</v>
      </c>
      <c r="H4" s="359"/>
      <c r="I4" s="362"/>
      <c r="J4" s="248" t="s">
        <v>29</v>
      </c>
      <c r="K4" s="249">
        <f>$G3*K3</f>
        <v>0</v>
      </c>
      <c r="L4" s="248" t="s">
        <v>29</v>
      </c>
      <c r="M4" s="249">
        <f>$G3*M3</f>
        <v>0</v>
      </c>
      <c r="N4" s="248" t="s">
        <v>29</v>
      </c>
      <c r="O4" s="249">
        <f>$G3*O3</f>
        <v>0</v>
      </c>
      <c r="P4" s="248" t="s">
        <v>29</v>
      </c>
      <c r="Q4" s="249">
        <f>$G3*Q3</f>
        <v>0</v>
      </c>
      <c r="R4" s="248" t="s">
        <v>29</v>
      </c>
      <c r="S4" s="249">
        <f>$G3*S3</f>
        <v>0</v>
      </c>
      <c r="T4" s="248" t="s">
        <v>29</v>
      </c>
      <c r="U4" s="249">
        <f>$G3*U3</f>
        <v>0</v>
      </c>
      <c r="V4" s="248"/>
      <c r="W4" s="249">
        <f>$G3*W3</f>
        <v>0</v>
      </c>
      <c r="X4" s="248"/>
      <c r="Y4" s="249"/>
      <c r="Z4" s="248" t="s">
        <v>29</v>
      </c>
      <c r="AA4" s="249">
        <f>$G3*AA3</f>
        <v>0</v>
      </c>
      <c r="AB4" s="248" t="s">
        <v>29</v>
      </c>
      <c r="AC4" s="249">
        <f>$G3*AC3</f>
        <v>0</v>
      </c>
      <c r="AD4" s="248" t="s">
        <v>29</v>
      </c>
      <c r="AE4" s="249">
        <f>$G3*AE3</f>
        <v>0</v>
      </c>
      <c r="AF4" s="248" t="s">
        <v>29</v>
      </c>
      <c r="AG4" s="249">
        <f>$G3*AG3</f>
        <v>0</v>
      </c>
      <c r="AH4" s="329"/>
      <c r="AI4" s="329"/>
      <c r="AJ4" s="154"/>
      <c r="AK4" s="387"/>
      <c r="AL4" s="189" t="s">
        <v>13</v>
      </c>
      <c r="AM4" s="188">
        <v>55000000</v>
      </c>
      <c r="AN4" s="187" t="s">
        <v>15</v>
      </c>
      <c r="AO4" s="186">
        <f>SUM(AP4:BL4)</f>
        <v>22000000</v>
      </c>
      <c r="AP4" s="193" t="s">
        <v>153</v>
      </c>
      <c r="AQ4" s="185">
        <v>5500000</v>
      </c>
      <c r="AR4" s="185" t="s">
        <v>154</v>
      </c>
      <c r="AS4" s="185">
        <v>16500000</v>
      </c>
      <c r="AT4" s="185" t="s">
        <v>68</v>
      </c>
      <c r="AU4" s="185"/>
      <c r="AV4" s="185" t="s">
        <v>69</v>
      </c>
      <c r="AW4" s="185"/>
      <c r="AX4" s="185" t="s">
        <v>69</v>
      </c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4"/>
      <c r="BN4" s="184"/>
      <c r="BO4" s="184"/>
      <c r="BP4" s="15"/>
      <c r="BQ4" s="15"/>
      <c r="BR4" s="15"/>
      <c r="BS4" s="15"/>
    </row>
    <row r="5" spans="1:71" ht="22.5" customHeight="1">
      <c r="A5" s="354"/>
      <c r="B5" s="357"/>
      <c r="C5" s="259" t="s">
        <v>37</v>
      </c>
      <c r="D5" s="227" t="s">
        <v>20</v>
      </c>
      <c r="E5" s="228">
        <f>E3-E4</f>
        <v>50</v>
      </c>
      <c r="F5" s="231" t="s">
        <v>20</v>
      </c>
      <c r="G5" s="230">
        <f>G3-G4</f>
        <v>12.5</v>
      </c>
      <c r="H5" s="359"/>
      <c r="I5" s="362"/>
      <c r="J5" s="340" t="s">
        <v>22</v>
      </c>
      <c r="K5" s="342" t="s">
        <v>23</v>
      </c>
      <c r="L5" s="340" t="s">
        <v>22</v>
      </c>
      <c r="M5" s="342" t="s">
        <v>23</v>
      </c>
      <c r="N5" s="340" t="s">
        <v>22</v>
      </c>
      <c r="O5" s="342" t="s">
        <v>23</v>
      </c>
      <c r="P5" s="340" t="s">
        <v>22</v>
      </c>
      <c r="Q5" s="342" t="s">
        <v>23</v>
      </c>
      <c r="R5" s="340" t="s">
        <v>22</v>
      </c>
      <c r="S5" s="342" t="s">
        <v>23</v>
      </c>
      <c r="T5" s="340" t="s">
        <v>22</v>
      </c>
      <c r="U5" s="342" t="s">
        <v>312</v>
      </c>
      <c r="V5" s="340" t="s">
        <v>22</v>
      </c>
      <c r="W5" s="342" t="s">
        <v>312</v>
      </c>
      <c r="X5" s="340" t="s">
        <v>22</v>
      </c>
      <c r="Y5" s="342"/>
      <c r="Z5" s="340" t="s">
        <v>22</v>
      </c>
      <c r="AA5" s="342" t="s">
        <v>23</v>
      </c>
      <c r="AB5" s="340" t="s">
        <v>22</v>
      </c>
      <c r="AC5" s="342" t="s">
        <v>23</v>
      </c>
      <c r="AD5" s="340" t="s">
        <v>22</v>
      </c>
      <c r="AE5" s="342" t="s">
        <v>23</v>
      </c>
      <c r="AF5" s="340" t="s">
        <v>22</v>
      </c>
      <c r="AG5" s="342" t="s">
        <v>23</v>
      </c>
      <c r="AH5" s="329"/>
      <c r="AI5" s="329"/>
      <c r="AJ5" s="154"/>
      <c r="AK5" s="387"/>
      <c r="AL5" s="189" t="s">
        <v>20</v>
      </c>
      <c r="AM5" s="188">
        <f>AM3-AM4</f>
        <v>55000000</v>
      </c>
      <c r="AN5" s="187" t="s">
        <v>59</v>
      </c>
      <c r="AO5" s="186">
        <f>SUM(AP5:BL5)</f>
        <v>8250000</v>
      </c>
      <c r="AP5" s="191"/>
      <c r="AQ5" s="191"/>
      <c r="AR5" s="191"/>
      <c r="AS5" s="191">
        <v>8250000</v>
      </c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84"/>
      <c r="BN5" s="184"/>
      <c r="BO5" s="184"/>
      <c r="BP5" s="15"/>
      <c r="BQ5" s="15"/>
      <c r="BR5" s="15"/>
      <c r="BS5" s="15"/>
    </row>
    <row r="6" spans="1:71" ht="22.5" customHeight="1">
      <c r="A6" s="355"/>
      <c r="B6" s="104" t="s">
        <v>205</v>
      </c>
      <c r="C6" s="260" t="s">
        <v>38</v>
      </c>
      <c r="D6" s="232" t="s">
        <v>25</v>
      </c>
      <c r="E6" s="233">
        <f>E4/E3</f>
        <v>0.5</v>
      </c>
      <c r="F6" s="232" t="s">
        <v>60</v>
      </c>
      <c r="G6" s="233">
        <f>G3/E3</f>
        <v>0.2</v>
      </c>
      <c r="H6" s="360"/>
      <c r="I6" s="363"/>
      <c r="J6" s="341"/>
      <c r="K6" s="343"/>
      <c r="L6" s="341"/>
      <c r="M6" s="343"/>
      <c r="N6" s="341"/>
      <c r="O6" s="343"/>
      <c r="P6" s="341"/>
      <c r="Q6" s="343"/>
      <c r="R6" s="341"/>
      <c r="S6" s="343"/>
      <c r="T6" s="341"/>
      <c r="U6" s="343"/>
      <c r="V6" s="341"/>
      <c r="W6" s="343"/>
      <c r="X6" s="341"/>
      <c r="Y6" s="343"/>
      <c r="Z6" s="341"/>
      <c r="AA6" s="343"/>
      <c r="AB6" s="341"/>
      <c r="AC6" s="343"/>
      <c r="AD6" s="341"/>
      <c r="AE6" s="343"/>
      <c r="AF6" s="341"/>
      <c r="AG6" s="343"/>
      <c r="AH6" s="138">
        <f>(I3-E6)*E3</f>
        <v>50</v>
      </c>
      <c r="AI6" s="371"/>
      <c r="AJ6" s="154"/>
      <c r="AK6" s="388"/>
      <c r="AL6" s="189"/>
      <c r="AM6" s="183">
        <f>AM4/AM3</f>
        <v>0.5</v>
      </c>
      <c r="AN6" s="182" t="s">
        <v>20</v>
      </c>
      <c r="AO6" s="181">
        <f>AO4-AO5</f>
        <v>13750000</v>
      </c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191"/>
      <c r="BL6" s="191"/>
      <c r="BM6" s="190"/>
      <c r="BN6" s="190"/>
      <c r="BO6" s="190"/>
    </row>
    <row r="7" spans="1:71" ht="22.5" customHeight="1">
      <c r="A7" s="353">
        <v>2</v>
      </c>
      <c r="B7" s="356" t="s">
        <v>155</v>
      </c>
      <c r="C7" s="258" t="s">
        <v>192</v>
      </c>
      <c r="D7" s="221" t="s">
        <v>7</v>
      </c>
      <c r="E7" s="222">
        <f t="shared" ref="E7:E8" si="0">AM7/1100000</f>
        <v>267.63181818181818</v>
      </c>
      <c r="F7" s="223" t="s">
        <v>55</v>
      </c>
      <c r="G7" s="224">
        <f t="shared" ref="G7:G8" si="1">AO8/1100000</f>
        <v>99.606136363636367</v>
      </c>
      <c r="H7" s="358">
        <v>0.9</v>
      </c>
      <c r="I7" s="389">
        <f>H7+K7+M7+O7+Q7+S7+U7+W7+Y7+AA7+AC7+AE7+AG7</f>
        <v>1</v>
      </c>
      <c r="J7" s="225" t="s">
        <v>41</v>
      </c>
      <c r="K7" s="226">
        <v>0.1</v>
      </c>
      <c r="L7" s="225" t="s">
        <v>41</v>
      </c>
      <c r="M7" s="226"/>
      <c r="N7" s="225" t="s">
        <v>41</v>
      </c>
      <c r="O7" s="226"/>
      <c r="P7" s="225" t="s">
        <v>41</v>
      </c>
      <c r="Q7" s="226"/>
      <c r="R7" s="225" t="s">
        <v>41</v>
      </c>
      <c r="S7" s="226"/>
      <c r="T7" s="225" t="s">
        <v>41</v>
      </c>
      <c r="U7" s="226"/>
      <c r="V7" s="225" t="s">
        <v>41</v>
      </c>
      <c r="W7" s="226"/>
      <c r="X7" s="225" t="s">
        <v>41</v>
      </c>
      <c r="Y7" s="226"/>
      <c r="Z7" s="225" t="s">
        <v>41</v>
      </c>
      <c r="AA7" s="226"/>
      <c r="AB7" s="225" t="s">
        <v>41</v>
      </c>
      <c r="AC7" s="226"/>
      <c r="AD7" s="225" t="s">
        <v>41</v>
      </c>
      <c r="AE7" s="226"/>
      <c r="AF7" s="225" t="s">
        <v>41</v>
      </c>
      <c r="AG7" s="226"/>
      <c r="AH7" s="325" t="s">
        <v>166</v>
      </c>
      <c r="AI7" s="325"/>
      <c r="AJ7" s="154"/>
      <c r="AK7" s="386"/>
      <c r="AL7" s="189" t="s">
        <v>7</v>
      </c>
      <c r="AM7" s="188">
        <v>294395000</v>
      </c>
      <c r="AN7" s="187"/>
      <c r="AO7" s="186">
        <f>SUM(AP7:BL7)</f>
        <v>0</v>
      </c>
      <c r="AP7" s="193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90"/>
      <c r="BN7" s="190"/>
      <c r="BO7" s="190"/>
    </row>
    <row r="8" spans="1:71" ht="22.5" customHeight="1">
      <c r="A8" s="354"/>
      <c r="B8" s="357"/>
      <c r="C8" s="259" t="s">
        <v>191</v>
      </c>
      <c r="D8" s="227" t="s">
        <v>13</v>
      </c>
      <c r="E8" s="228">
        <f t="shared" si="0"/>
        <v>267.63181818181818</v>
      </c>
      <c r="F8" s="229" t="s">
        <v>59</v>
      </c>
      <c r="G8" s="230">
        <f t="shared" si="1"/>
        <v>30.462045454545454</v>
      </c>
      <c r="H8" s="359"/>
      <c r="I8" s="390"/>
      <c r="J8" s="248" t="s">
        <v>29</v>
      </c>
      <c r="K8" s="249">
        <f>$G7*K7</f>
        <v>9.9606136363636377</v>
      </c>
      <c r="L8" s="248" t="s">
        <v>29</v>
      </c>
      <c r="M8" s="249">
        <f>$G7*M7</f>
        <v>0</v>
      </c>
      <c r="N8" s="248" t="s">
        <v>29</v>
      </c>
      <c r="O8" s="249">
        <f>$G7*O7</f>
        <v>0</v>
      </c>
      <c r="P8" s="248" t="s">
        <v>29</v>
      </c>
      <c r="Q8" s="249">
        <f>$G7*Q7</f>
        <v>0</v>
      </c>
      <c r="R8" s="248" t="s">
        <v>29</v>
      </c>
      <c r="S8" s="249">
        <f>$G7*S7</f>
        <v>0</v>
      </c>
      <c r="T8" s="248" t="s">
        <v>29</v>
      </c>
      <c r="U8" s="249">
        <f>$G7*U7</f>
        <v>0</v>
      </c>
      <c r="V8" s="248"/>
      <c r="W8" s="249">
        <f>$G7*W7</f>
        <v>0</v>
      </c>
      <c r="X8" s="248"/>
      <c r="Y8" s="249"/>
      <c r="Z8" s="248" t="s">
        <v>29</v>
      </c>
      <c r="AA8" s="249">
        <f>$G7*AA7</f>
        <v>0</v>
      </c>
      <c r="AB8" s="248" t="s">
        <v>29</v>
      </c>
      <c r="AC8" s="249">
        <f>$G7*AC7</f>
        <v>0</v>
      </c>
      <c r="AD8" s="248" t="s">
        <v>29</v>
      </c>
      <c r="AE8" s="249">
        <f>$G7*AE7</f>
        <v>0</v>
      </c>
      <c r="AF8" s="248" t="s">
        <v>29</v>
      </c>
      <c r="AG8" s="249">
        <f>$G7*AG7</f>
        <v>0</v>
      </c>
      <c r="AH8" s="329"/>
      <c r="AI8" s="329"/>
      <c r="AJ8" s="154"/>
      <c r="AK8" s="387"/>
      <c r="AL8" s="189" t="s">
        <v>13</v>
      </c>
      <c r="AM8" s="188">
        <f>AM7</f>
        <v>294395000</v>
      </c>
      <c r="AN8" s="187" t="s">
        <v>15</v>
      </c>
      <c r="AO8" s="186">
        <f>SUM(AP8:BL8)</f>
        <v>109566750</v>
      </c>
      <c r="AP8" s="193" t="s">
        <v>66</v>
      </c>
      <c r="AQ8" s="185">
        <v>11930000</v>
      </c>
      <c r="AR8" s="185" t="s">
        <v>156</v>
      </c>
      <c r="AS8" s="185">
        <v>10481000</v>
      </c>
      <c r="AT8" s="185" t="s">
        <v>157</v>
      </c>
      <c r="AU8" s="185">
        <v>3547500</v>
      </c>
      <c r="AV8" s="185" t="s">
        <v>158</v>
      </c>
      <c r="AW8" s="185">
        <v>8100000</v>
      </c>
      <c r="AX8" s="185" t="s">
        <v>159</v>
      </c>
      <c r="AY8" s="185">
        <v>3025000</v>
      </c>
      <c r="AZ8" s="185" t="s">
        <v>160</v>
      </c>
      <c r="BA8" s="185">
        <v>1500000</v>
      </c>
      <c r="BB8" s="185" t="s">
        <v>68</v>
      </c>
      <c r="BC8" s="185">
        <v>8500000</v>
      </c>
      <c r="BD8" s="185" t="s">
        <v>161</v>
      </c>
      <c r="BE8" s="185">
        <v>33000000</v>
      </c>
      <c r="BF8" s="185" t="s">
        <v>162</v>
      </c>
      <c r="BG8" s="185">
        <f>2257500+225750</f>
        <v>2483250</v>
      </c>
      <c r="BH8" s="185" t="s">
        <v>163</v>
      </c>
      <c r="BI8" s="185">
        <f>4545455+454545</f>
        <v>5000000</v>
      </c>
      <c r="BJ8" s="185" t="s">
        <v>164</v>
      </c>
      <c r="BK8" s="185">
        <v>22000000</v>
      </c>
      <c r="BL8" s="185"/>
      <c r="BM8" s="184"/>
      <c r="BN8" s="184"/>
      <c r="BO8" s="184"/>
      <c r="BP8" s="15"/>
      <c r="BQ8" s="15"/>
      <c r="BR8" s="15"/>
      <c r="BS8" s="15"/>
    </row>
    <row r="9" spans="1:71" ht="22.5" customHeight="1">
      <c r="A9" s="354"/>
      <c r="B9" s="357"/>
      <c r="C9" s="259" t="s">
        <v>37</v>
      </c>
      <c r="D9" s="227" t="s">
        <v>20</v>
      </c>
      <c r="E9" s="228">
        <f t="shared" ref="E9" si="2">E7-E8</f>
        <v>0</v>
      </c>
      <c r="F9" s="231" t="s">
        <v>20</v>
      </c>
      <c r="G9" s="230">
        <f t="shared" ref="G9" si="3">G7-G8</f>
        <v>69.14409090909092</v>
      </c>
      <c r="H9" s="359"/>
      <c r="I9" s="390"/>
      <c r="J9" s="340" t="s">
        <v>22</v>
      </c>
      <c r="K9" s="342" t="s">
        <v>23</v>
      </c>
      <c r="L9" s="340" t="s">
        <v>22</v>
      </c>
      <c r="M9" s="342" t="s">
        <v>23</v>
      </c>
      <c r="N9" s="340" t="s">
        <v>22</v>
      </c>
      <c r="O9" s="342" t="s">
        <v>23</v>
      </c>
      <c r="P9" s="340" t="s">
        <v>22</v>
      </c>
      <c r="Q9" s="342" t="s">
        <v>23</v>
      </c>
      <c r="R9" s="340" t="s">
        <v>22</v>
      </c>
      <c r="S9" s="342" t="s">
        <v>23</v>
      </c>
      <c r="T9" s="340" t="s">
        <v>22</v>
      </c>
      <c r="U9" s="342" t="s">
        <v>312</v>
      </c>
      <c r="V9" s="340" t="s">
        <v>22</v>
      </c>
      <c r="W9" s="342" t="s">
        <v>312</v>
      </c>
      <c r="X9" s="340" t="s">
        <v>22</v>
      </c>
      <c r="Y9" s="342"/>
      <c r="Z9" s="340" t="s">
        <v>22</v>
      </c>
      <c r="AA9" s="342" t="s">
        <v>23</v>
      </c>
      <c r="AB9" s="340" t="s">
        <v>22</v>
      </c>
      <c r="AC9" s="342" t="s">
        <v>23</v>
      </c>
      <c r="AD9" s="340" t="s">
        <v>22</v>
      </c>
      <c r="AE9" s="342" t="s">
        <v>23</v>
      </c>
      <c r="AF9" s="340" t="s">
        <v>22</v>
      </c>
      <c r="AG9" s="342" t="s">
        <v>23</v>
      </c>
      <c r="AH9" s="329"/>
      <c r="AI9" s="329"/>
      <c r="AJ9" s="154"/>
      <c r="AK9" s="387"/>
      <c r="AL9" s="189" t="s">
        <v>20</v>
      </c>
      <c r="AM9" s="188">
        <f>AM7-AM8</f>
        <v>0</v>
      </c>
      <c r="AN9" s="187" t="s">
        <v>59</v>
      </c>
      <c r="AO9" s="186">
        <f>SUM(AP9:BL9)</f>
        <v>33508250</v>
      </c>
      <c r="AP9" s="191"/>
      <c r="AQ9" s="191"/>
      <c r="AR9" s="191"/>
      <c r="AS9" s="191"/>
      <c r="AT9" s="191"/>
      <c r="AU9" s="191"/>
      <c r="AV9" s="191"/>
      <c r="AW9" s="191"/>
      <c r="AX9" s="191"/>
      <c r="AY9" s="191">
        <v>3025000</v>
      </c>
      <c r="AZ9" s="191"/>
      <c r="BA9" s="191"/>
      <c r="BB9" s="191"/>
      <c r="BC9" s="191"/>
      <c r="BD9" s="191"/>
      <c r="BE9" s="191">
        <v>23000000</v>
      </c>
      <c r="BF9" s="191"/>
      <c r="BG9" s="191">
        <v>2483250</v>
      </c>
      <c r="BH9" s="191"/>
      <c r="BI9" s="191">
        <v>5000000</v>
      </c>
      <c r="BJ9" s="191"/>
      <c r="BK9" s="191"/>
      <c r="BL9" s="191"/>
      <c r="BM9" s="184"/>
      <c r="BN9" s="184"/>
      <c r="BO9" s="184"/>
      <c r="BP9" s="15"/>
      <c r="BQ9" s="15"/>
      <c r="BR9" s="15"/>
      <c r="BS9" s="15"/>
    </row>
    <row r="10" spans="1:71" ht="22.5" customHeight="1">
      <c r="A10" s="355"/>
      <c r="B10" s="104" t="s">
        <v>113</v>
      </c>
      <c r="C10" s="260" t="s">
        <v>38</v>
      </c>
      <c r="D10" s="232" t="s">
        <v>25</v>
      </c>
      <c r="E10" s="233">
        <f t="shared" ref="E10" si="4">E8/E7</f>
        <v>1</v>
      </c>
      <c r="F10" s="232" t="s">
        <v>60</v>
      </c>
      <c r="G10" s="233">
        <f t="shared" ref="G10" si="5">G7/E7</f>
        <v>0.37217598804327523</v>
      </c>
      <c r="H10" s="360"/>
      <c r="I10" s="391"/>
      <c r="J10" s="341"/>
      <c r="K10" s="343"/>
      <c r="L10" s="341"/>
      <c r="M10" s="343"/>
      <c r="N10" s="341"/>
      <c r="O10" s="343"/>
      <c r="P10" s="341"/>
      <c r="Q10" s="343"/>
      <c r="R10" s="341"/>
      <c r="S10" s="343"/>
      <c r="T10" s="341"/>
      <c r="U10" s="343"/>
      <c r="V10" s="341"/>
      <c r="W10" s="343"/>
      <c r="X10" s="341"/>
      <c r="Y10" s="343"/>
      <c r="Z10" s="341"/>
      <c r="AA10" s="343"/>
      <c r="AB10" s="341"/>
      <c r="AC10" s="343"/>
      <c r="AD10" s="341"/>
      <c r="AE10" s="343"/>
      <c r="AF10" s="341"/>
      <c r="AG10" s="343"/>
      <c r="AH10" s="138">
        <f>(I7-E10)*E7</f>
        <v>0</v>
      </c>
      <c r="AI10" s="371"/>
      <c r="AJ10" s="154"/>
      <c r="AK10" s="388"/>
      <c r="AL10" s="189"/>
      <c r="AM10" s="183">
        <f>AM8/AM7</f>
        <v>1</v>
      </c>
      <c r="AN10" s="182" t="s">
        <v>20</v>
      </c>
      <c r="AO10" s="181">
        <f>AO8-AO9</f>
        <v>76058500</v>
      </c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0"/>
      <c r="BN10" s="190"/>
      <c r="BO10" s="190"/>
    </row>
    <row r="11" spans="1:71" ht="22.5" customHeight="1">
      <c r="A11" s="353">
        <v>3</v>
      </c>
      <c r="B11" s="356" t="s">
        <v>165</v>
      </c>
      <c r="C11" s="258" t="s">
        <v>193</v>
      </c>
      <c r="D11" s="221" t="s">
        <v>7</v>
      </c>
      <c r="E11" s="222">
        <f t="shared" ref="E11:E12" si="6">AM11/1100000</f>
        <v>8.1999999999999993</v>
      </c>
      <c r="F11" s="223" t="s">
        <v>55</v>
      </c>
      <c r="G11" s="224">
        <f t="shared" ref="G11:G12" si="7">AO12/1100000</f>
        <v>0.90909090909090906</v>
      </c>
      <c r="H11" s="358">
        <v>1</v>
      </c>
      <c r="I11" s="361">
        <f>H11+K11+M11+O11+Q11+S11+U11+W11+Y11+AA11+AC11+AE11+AG11</f>
        <v>1</v>
      </c>
      <c r="J11" s="225" t="s">
        <v>41</v>
      </c>
      <c r="K11" s="226"/>
      <c r="L11" s="225" t="s">
        <v>41</v>
      </c>
      <c r="M11" s="226"/>
      <c r="N11" s="225" t="s">
        <v>41</v>
      </c>
      <c r="O11" s="226"/>
      <c r="P11" s="225" t="s">
        <v>41</v>
      </c>
      <c r="Q11" s="226"/>
      <c r="R11" s="225" t="s">
        <v>41</v>
      </c>
      <c r="S11" s="226"/>
      <c r="T11" s="225" t="s">
        <v>41</v>
      </c>
      <c r="U11" s="226"/>
      <c r="V11" s="225" t="s">
        <v>41</v>
      </c>
      <c r="W11" s="226"/>
      <c r="X11" s="225" t="s">
        <v>41</v>
      </c>
      <c r="Y11" s="226"/>
      <c r="Z11" s="225" t="s">
        <v>41</v>
      </c>
      <c r="AA11" s="226"/>
      <c r="AB11" s="225" t="s">
        <v>41</v>
      </c>
      <c r="AC11" s="226"/>
      <c r="AD11" s="225" t="s">
        <v>41</v>
      </c>
      <c r="AE11" s="226"/>
      <c r="AF11" s="225" t="s">
        <v>41</v>
      </c>
      <c r="AG11" s="226"/>
      <c r="AH11" s="325" t="s">
        <v>216</v>
      </c>
      <c r="AI11" s="325"/>
      <c r="AJ11" s="154"/>
      <c r="AK11" s="386"/>
      <c r="AL11" s="189" t="s">
        <v>7</v>
      </c>
      <c r="AM11" s="188">
        <v>9020000</v>
      </c>
      <c r="AN11" s="187"/>
      <c r="AO11" s="186">
        <f>SUM(AP11:BL11)</f>
        <v>0</v>
      </c>
      <c r="AP11" s="193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90"/>
      <c r="BN11" s="190"/>
      <c r="BO11" s="190"/>
    </row>
    <row r="12" spans="1:71" ht="22.5" customHeight="1">
      <c r="A12" s="354"/>
      <c r="B12" s="357"/>
      <c r="C12" s="259" t="s">
        <v>194</v>
      </c>
      <c r="D12" s="227" t="s">
        <v>13</v>
      </c>
      <c r="E12" s="228">
        <f t="shared" si="6"/>
        <v>8.1999999999999993</v>
      </c>
      <c r="F12" s="229" t="s">
        <v>59</v>
      </c>
      <c r="G12" s="230">
        <f t="shared" si="7"/>
        <v>0</v>
      </c>
      <c r="H12" s="359"/>
      <c r="I12" s="362"/>
      <c r="J12" s="248" t="s">
        <v>29</v>
      </c>
      <c r="K12" s="249">
        <f>$G11*K11</f>
        <v>0</v>
      </c>
      <c r="L12" s="248" t="s">
        <v>29</v>
      </c>
      <c r="M12" s="249">
        <f>$G11*M11</f>
        <v>0</v>
      </c>
      <c r="N12" s="248" t="s">
        <v>29</v>
      </c>
      <c r="O12" s="249">
        <f>$G11*O11</f>
        <v>0</v>
      </c>
      <c r="P12" s="248" t="s">
        <v>29</v>
      </c>
      <c r="Q12" s="249">
        <f>$G11*Q11</f>
        <v>0</v>
      </c>
      <c r="R12" s="248" t="s">
        <v>29</v>
      </c>
      <c r="S12" s="249">
        <f>$G11*S11</f>
        <v>0</v>
      </c>
      <c r="T12" s="248" t="s">
        <v>29</v>
      </c>
      <c r="U12" s="249">
        <f>$G11*U11</f>
        <v>0</v>
      </c>
      <c r="V12" s="248"/>
      <c r="W12" s="249">
        <f>$G11*W11</f>
        <v>0</v>
      </c>
      <c r="X12" s="248"/>
      <c r="Y12" s="249"/>
      <c r="Z12" s="248" t="s">
        <v>29</v>
      </c>
      <c r="AA12" s="249">
        <f>$G11*AA11</f>
        <v>0</v>
      </c>
      <c r="AB12" s="248" t="s">
        <v>29</v>
      </c>
      <c r="AC12" s="249">
        <f>$G11*AC11</f>
        <v>0</v>
      </c>
      <c r="AD12" s="248" t="s">
        <v>29</v>
      </c>
      <c r="AE12" s="249">
        <f>$G11*AE11</f>
        <v>0</v>
      </c>
      <c r="AF12" s="248" t="s">
        <v>29</v>
      </c>
      <c r="AG12" s="249">
        <f>$G11*AG11</f>
        <v>0</v>
      </c>
      <c r="AH12" s="329"/>
      <c r="AI12" s="329"/>
      <c r="AJ12" s="154"/>
      <c r="AK12" s="387"/>
      <c r="AL12" s="189" t="s">
        <v>13</v>
      </c>
      <c r="AM12" s="188">
        <f>AM11</f>
        <v>9020000</v>
      </c>
      <c r="AN12" s="187" t="s">
        <v>15</v>
      </c>
      <c r="AO12" s="186">
        <f>SUM(AP12:BL12)</f>
        <v>1000000</v>
      </c>
      <c r="AP12" s="193" t="s">
        <v>157</v>
      </c>
      <c r="AQ12" s="185">
        <v>1000000</v>
      </c>
      <c r="AR12" s="185" t="s">
        <v>154</v>
      </c>
      <c r="AS12" s="185"/>
      <c r="AT12" s="185" t="s">
        <v>68</v>
      </c>
      <c r="AU12" s="185"/>
      <c r="AV12" s="185" t="s">
        <v>69</v>
      </c>
      <c r="AW12" s="185"/>
      <c r="AX12" s="185" t="s">
        <v>69</v>
      </c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4"/>
      <c r="BN12" s="184"/>
      <c r="BO12" s="184"/>
      <c r="BP12" s="15"/>
      <c r="BQ12" s="15"/>
      <c r="BR12" s="15"/>
      <c r="BS12" s="15"/>
    </row>
    <row r="13" spans="1:71" ht="22.5" customHeight="1">
      <c r="A13" s="354"/>
      <c r="B13" s="357"/>
      <c r="C13" s="259" t="s">
        <v>37</v>
      </c>
      <c r="D13" s="227" t="s">
        <v>20</v>
      </c>
      <c r="E13" s="228">
        <f t="shared" ref="E13" si="8">E11-E12</f>
        <v>0</v>
      </c>
      <c r="F13" s="231" t="s">
        <v>20</v>
      </c>
      <c r="G13" s="230">
        <f t="shared" ref="G13" si="9">G11-G12</f>
        <v>0.90909090909090906</v>
      </c>
      <c r="H13" s="359"/>
      <c r="I13" s="362"/>
      <c r="J13" s="340" t="s">
        <v>22</v>
      </c>
      <c r="K13" s="342" t="s">
        <v>23</v>
      </c>
      <c r="L13" s="340" t="s">
        <v>22</v>
      </c>
      <c r="M13" s="342" t="s">
        <v>23</v>
      </c>
      <c r="N13" s="340" t="s">
        <v>22</v>
      </c>
      <c r="O13" s="342" t="s">
        <v>23</v>
      </c>
      <c r="P13" s="340" t="s">
        <v>22</v>
      </c>
      <c r="Q13" s="342" t="s">
        <v>23</v>
      </c>
      <c r="R13" s="340" t="s">
        <v>22</v>
      </c>
      <c r="S13" s="342" t="s">
        <v>23</v>
      </c>
      <c r="T13" s="340" t="s">
        <v>22</v>
      </c>
      <c r="U13" s="342" t="s">
        <v>312</v>
      </c>
      <c r="V13" s="340" t="s">
        <v>22</v>
      </c>
      <c r="W13" s="342" t="s">
        <v>312</v>
      </c>
      <c r="X13" s="340" t="s">
        <v>22</v>
      </c>
      <c r="Y13" s="342"/>
      <c r="Z13" s="340" t="s">
        <v>22</v>
      </c>
      <c r="AA13" s="342" t="s">
        <v>23</v>
      </c>
      <c r="AB13" s="340" t="s">
        <v>22</v>
      </c>
      <c r="AC13" s="342" t="s">
        <v>23</v>
      </c>
      <c r="AD13" s="340" t="s">
        <v>22</v>
      </c>
      <c r="AE13" s="342" t="s">
        <v>23</v>
      </c>
      <c r="AF13" s="340" t="s">
        <v>22</v>
      </c>
      <c r="AG13" s="342" t="s">
        <v>23</v>
      </c>
      <c r="AH13" s="371"/>
      <c r="AI13" s="329"/>
      <c r="AJ13" s="154"/>
      <c r="AK13" s="387"/>
      <c r="AL13" s="189" t="s">
        <v>20</v>
      </c>
      <c r="AM13" s="188">
        <f>AM11-AM12</f>
        <v>0</v>
      </c>
      <c r="AN13" s="187" t="s">
        <v>59</v>
      </c>
      <c r="AO13" s="186">
        <f>SUM(AP13:BL13)</f>
        <v>0</v>
      </c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84"/>
      <c r="BN13" s="184"/>
      <c r="BO13" s="184"/>
      <c r="BP13" s="15"/>
      <c r="BQ13" s="15"/>
      <c r="BR13" s="15"/>
      <c r="BS13" s="15"/>
    </row>
    <row r="14" spans="1:71" ht="22.5" customHeight="1">
      <c r="A14" s="355"/>
      <c r="B14" s="104" t="s">
        <v>210</v>
      </c>
      <c r="C14" s="260" t="s">
        <v>38</v>
      </c>
      <c r="D14" s="232" t="s">
        <v>25</v>
      </c>
      <c r="E14" s="233">
        <f t="shared" ref="E14" si="10">E12/E11</f>
        <v>1</v>
      </c>
      <c r="F14" s="232" t="s">
        <v>60</v>
      </c>
      <c r="G14" s="233">
        <f t="shared" ref="G14" si="11">G11/E11</f>
        <v>0.11086474501108648</v>
      </c>
      <c r="H14" s="360"/>
      <c r="I14" s="363"/>
      <c r="J14" s="341"/>
      <c r="K14" s="343"/>
      <c r="L14" s="341"/>
      <c r="M14" s="343"/>
      <c r="N14" s="341"/>
      <c r="O14" s="343"/>
      <c r="P14" s="341"/>
      <c r="Q14" s="343"/>
      <c r="R14" s="341"/>
      <c r="S14" s="343"/>
      <c r="T14" s="341"/>
      <c r="U14" s="343"/>
      <c r="V14" s="341"/>
      <c r="W14" s="343"/>
      <c r="X14" s="341"/>
      <c r="Y14" s="343"/>
      <c r="Z14" s="341"/>
      <c r="AA14" s="343"/>
      <c r="AB14" s="341"/>
      <c r="AC14" s="343"/>
      <c r="AD14" s="341"/>
      <c r="AE14" s="343"/>
      <c r="AF14" s="341"/>
      <c r="AG14" s="343"/>
      <c r="AH14" s="138">
        <f>(I11-E14)*E11</f>
        <v>0</v>
      </c>
      <c r="AI14" s="371"/>
      <c r="AJ14" s="154"/>
      <c r="AK14" s="388"/>
      <c r="AL14" s="189"/>
      <c r="AM14" s="183">
        <f>AM12/AM11</f>
        <v>1</v>
      </c>
      <c r="AN14" s="182" t="s">
        <v>20</v>
      </c>
      <c r="AO14" s="181">
        <f>AO12-AO13</f>
        <v>1000000</v>
      </c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0"/>
      <c r="BN14" s="190"/>
      <c r="BO14" s="190"/>
    </row>
    <row r="15" spans="1:71" ht="22.5" customHeight="1">
      <c r="A15" s="353">
        <v>4</v>
      </c>
      <c r="B15" s="356" t="s">
        <v>167</v>
      </c>
      <c r="C15" s="258" t="s">
        <v>196</v>
      </c>
      <c r="D15" s="221" t="s">
        <v>7</v>
      </c>
      <c r="E15" s="222">
        <f t="shared" ref="E15:E16" si="12">AM15/1100000</f>
        <v>5</v>
      </c>
      <c r="F15" s="223" t="s">
        <v>55</v>
      </c>
      <c r="G15" s="224">
        <f t="shared" ref="G15:G16" si="13">AO16/1100000</f>
        <v>0.8</v>
      </c>
      <c r="H15" s="358">
        <v>1</v>
      </c>
      <c r="I15" s="361">
        <f>H15+K15+M15+O15+Q15+S15+U15+W15+Y15+AA15+AC15+AE15+AG15</f>
        <v>1</v>
      </c>
      <c r="J15" s="225" t="s">
        <v>41</v>
      </c>
      <c r="K15" s="226"/>
      <c r="L15" s="225" t="s">
        <v>41</v>
      </c>
      <c r="M15" s="226"/>
      <c r="N15" s="225" t="s">
        <v>41</v>
      </c>
      <c r="O15" s="226"/>
      <c r="P15" s="225" t="s">
        <v>41</v>
      </c>
      <c r="Q15" s="226"/>
      <c r="R15" s="225" t="s">
        <v>41</v>
      </c>
      <c r="S15" s="226"/>
      <c r="T15" s="225" t="s">
        <v>41</v>
      </c>
      <c r="U15" s="226"/>
      <c r="V15" s="225" t="s">
        <v>41</v>
      </c>
      <c r="W15" s="226"/>
      <c r="X15" s="225" t="s">
        <v>41</v>
      </c>
      <c r="Y15" s="226"/>
      <c r="Z15" s="225" t="s">
        <v>41</v>
      </c>
      <c r="AA15" s="226"/>
      <c r="AB15" s="225" t="s">
        <v>41</v>
      </c>
      <c r="AC15" s="226"/>
      <c r="AD15" s="225" t="s">
        <v>41</v>
      </c>
      <c r="AE15" s="226"/>
      <c r="AF15" s="225" t="s">
        <v>41</v>
      </c>
      <c r="AG15" s="226"/>
      <c r="AH15" s="325" t="s">
        <v>216</v>
      </c>
      <c r="AI15" s="392"/>
      <c r="AJ15" s="154"/>
      <c r="AK15" s="386"/>
      <c r="AL15" s="189" t="s">
        <v>7</v>
      </c>
      <c r="AM15" s="188">
        <v>5500000</v>
      </c>
      <c r="AN15" s="187" t="s">
        <v>195</v>
      </c>
      <c r="AO15" s="186">
        <f>SUM(AP15:BL15)</f>
        <v>0</v>
      </c>
      <c r="AP15" s="193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90"/>
      <c r="BN15" s="190"/>
      <c r="BO15" s="190"/>
    </row>
    <row r="16" spans="1:71" ht="22.5" customHeight="1">
      <c r="A16" s="354"/>
      <c r="B16" s="357"/>
      <c r="C16" s="259" t="s">
        <v>197</v>
      </c>
      <c r="D16" s="227" t="s">
        <v>13</v>
      </c>
      <c r="E16" s="228">
        <f t="shared" si="12"/>
        <v>5</v>
      </c>
      <c r="F16" s="229" t="s">
        <v>59</v>
      </c>
      <c r="G16" s="230">
        <f t="shared" si="13"/>
        <v>0</v>
      </c>
      <c r="H16" s="359"/>
      <c r="I16" s="362"/>
      <c r="J16" s="248" t="s">
        <v>29</v>
      </c>
      <c r="K16" s="249">
        <f>$G15*K15</f>
        <v>0</v>
      </c>
      <c r="L16" s="248" t="s">
        <v>29</v>
      </c>
      <c r="M16" s="249">
        <f>$G15*M15</f>
        <v>0</v>
      </c>
      <c r="N16" s="248" t="s">
        <v>29</v>
      </c>
      <c r="O16" s="249">
        <f>$G15*O15</f>
        <v>0</v>
      </c>
      <c r="P16" s="248" t="s">
        <v>29</v>
      </c>
      <c r="Q16" s="249">
        <f>$G15*Q15</f>
        <v>0</v>
      </c>
      <c r="R16" s="248" t="s">
        <v>29</v>
      </c>
      <c r="S16" s="249">
        <f>$G15*S15</f>
        <v>0</v>
      </c>
      <c r="T16" s="248" t="s">
        <v>29</v>
      </c>
      <c r="U16" s="249">
        <f>$G15*U15</f>
        <v>0</v>
      </c>
      <c r="V16" s="248"/>
      <c r="W16" s="249">
        <f>$G15*W15</f>
        <v>0</v>
      </c>
      <c r="X16" s="248"/>
      <c r="Y16" s="249"/>
      <c r="Z16" s="248" t="s">
        <v>29</v>
      </c>
      <c r="AA16" s="249">
        <f>$G15*AA15</f>
        <v>0</v>
      </c>
      <c r="AB16" s="248" t="s">
        <v>29</v>
      </c>
      <c r="AC16" s="249">
        <f>$G15*AC15</f>
        <v>0</v>
      </c>
      <c r="AD16" s="248" t="s">
        <v>29</v>
      </c>
      <c r="AE16" s="249">
        <f>$G15*AE15</f>
        <v>0</v>
      </c>
      <c r="AF16" s="248" t="s">
        <v>29</v>
      </c>
      <c r="AG16" s="249">
        <f>$G15*AG15</f>
        <v>0</v>
      </c>
      <c r="AH16" s="329"/>
      <c r="AI16" s="329"/>
      <c r="AJ16" s="154"/>
      <c r="AK16" s="387"/>
      <c r="AL16" s="189" t="s">
        <v>13</v>
      </c>
      <c r="AM16" s="188">
        <v>5500000</v>
      </c>
      <c r="AN16" s="187" t="s">
        <v>15</v>
      </c>
      <c r="AO16" s="186">
        <f>SUM(AP16:BL16)</f>
        <v>880000</v>
      </c>
      <c r="AP16" s="193" t="s">
        <v>157</v>
      </c>
      <c r="AQ16" s="185">
        <v>880000</v>
      </c>
      <c r="AR16" s="185" t="s">
        <v>154</v>
      </c>
      <c r="AS16" s="185"/>
      <c r="AT16" s="185" t="s">
        <v>68</v>
      </c>
      <c r="AU16" s="185"/>
      <c r="AV16" s="185" t="s">
        <v>69</v>
      </c>
      <c r="AW16" s="185"/>
      <c r="AX16" s="185" t="s">
        <v>69</v>
      </c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4"/>
      <c r="BN16" s="184"/>
      <c r="BO16" s="184"/>
      <c r="BP16" s="15"/>
      <c r="BQ16" s="15"/>
      <c r="BR16" s="15"/>
      <c r="BS16" s="15"/>
    </row>
    <row r="17" spans="1:71" ht="22.5" customHeight="1">
      <c r="A17" s="354"/>
      <c r="B17" s="357"/>
      <c r="C17" s="259" t="s">
        <v>37</v>
      </c>
      <c r="D17" s="227" t="s">
        <v>20</v>
      </c>
      <c r="E17" s="228">
        <f t="shared" ref="E17" si="14">E15-E16</f>
        <v>0</v>
      </c>
      <c r="F17" s="231" t="s">
        <v>20</v>
      </c>
      <c r="G17" s="230">
        <f t="shared" ref="G17" si="15">G15-G16</f>
        <v>0.8</v>
      </c>
      <c r="H17" s="359"/>
      <c r="I17" s="362"/>
      <c r="J17" s="340" t="s">
        <v>22</v>
      </c>
      <c r="K17" s="342" t="s">
        <v>23</v>
      </c>
      <c r="L17" s="340" t="s">
        <v>22</v>
      </c>
      <c r="M17" s="342" t="s">
        <v>23</v>
      </c>
      <c r="N17" s="340" t="s">
        <v>22</v>
      </c>
      <c r="O17" s="342" t="s">
        <v>23</v>
      </c>
      <c r="P17" s="340" t="s">
        <v>22</v>
      </c>
      <c r="Q17" s="342" t="s">
        <v>23</v>
      </c>
      <c r="R17" s="340" t="s">
        <v>22</v>
      </c>
      <c r="S17" s="342" t="s">
        <v>23</v>
      </c>
      <c r="T17" s="340" t="s">
        <v>22</v>
      </c>
      <c r="U17" s="342" t="s">
        <v>312</v>
      </c>
      <c r="V17" s="340" t="s">
        <v>22</v>
      </c>
      <c r="W17" s="342" t="s">
        <v>312</v>
      </c>
      <c r="X17" s="340" t="s">
        <v>22</v>
      </c>
      <c r="Y17" s="342"/>
      <c r="Z17" s="340" t="s">
        <v>22</v>
      </c>
      <c r="AA17" s="342" t="s">
        <v>23</v>
      </c>
      <c r="AB17" s="340" t="s">
        <v>22</v>
      </c>
      <c r="AC17" s="342" t="s">
        <v>23</v>
      </c>
      <c r="AD17" s="340" t="s">
        <v>22</v>
      </c>
      <c r="AE17" s="342" t="s">
        <v>23</v>
      </c>
      <c r="AF17" s="340" t="s">
        <v>22</v>
      </c>
      <c r="AG17" s="342" t="s">
        <v>23</v>
      </c>
      <c r="AH17" s="329"/>
      <c r="AI17" s="329"/>
      <c r="AJ17" s="154"/>
      <c r="AK17" s="387"/>
      <c r="AL17" s="189" t="s">
        <v>20</v>
      </c>
      <c r="AM17" s="188">
        <f>AM15-AM16</f>
        <v>0</v>
      </c>
      <c r="AN17" s="187" t="s">
        <v>59</v>
      </c>
      <c r="AO17" s="186">
        <f>SUM(AP17:BL17)</f>
        <v>0</v>
      </c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84"/>
      <c r="BN17" s="184"/>
      <c r="BO17" s="184"/>
      <c r="BP17" s="15"/>
      <c r="BQ17" s="15"/>
      <c r="BR17" s="15"/>
      <c r="BS17" s="15"/>
    </row>
    <row r="18" spans="1:71" ht="22.5" customHeight="1">
      <c r="A18" s="355"/>
      <c r="B18" s="104" t="s">
        <v>195</v>
      </c>
      <c r="C18" s="260" t="s">
        <v>38</v>
      </c>
      <c r="D18" s="232" t="s">
        <v>25</v>
      </c>
      <c r="E18" s="233">
        <f t="shared" ref="E18" si="16">E16/E15</f>
        <v>1</v>
      </c>
      <c r="F18" s="232" t="s">
        <v>60</v>
      </c>
      <c r="G18" s="233">
        <f t="shared" ref="G18" si="17">G15/E15</f>
        <v>0.16</v>
      </c>
      <c r="H18" s="360"/>
      <c r="I18" s="363"/>
      <c r="J18" s="341"/>
      <c r="K18" s="343"/>
      <c r="L18" s="341"/>
      <c r="M18" s="343"/>
      <c r="N18" s="341"/>
      <c r="O18" s="343"/>
      <c r="P18" s="341"/>
      <c r="Q18" s="343"/>
      <c r="R18" s="341"/>
      <c r="S18" s="343"/>
      <c r="T18" s="341"/>
      <c r="U18" s="343"/>
      <c r="V18" s="341"/>
      <c r="W18" s="343"/>
      <c r="X18" s="341"/>
      <c r="Y18" s="343"/>
      <c r="Z18" s="341"/>
      <c r="AA18" s="343"/>
      <c r="AB18" s="341"/>
      <c r="AC18" s="343"/>
      <c r="AD18" s="341"/>
      <c r="AE18" s="343"/>
      <c r="AF18" s="341"/>
      <c r="AG18" s="343"/>
      <c r="AH18" s="138">
        <f>(I15-E18)*E15</f>
        <v>0</v>
      </c>
      <c r="AI18" s="371"/>
      <c r="AJ18" s="154"/>
      <c r="AK18" s="388"/>
      <c r="AL18" s="189"/>
      <c r="AM18" s="183">
        <f>AM16/AM15</f>
        <v>1</v>
      </c>
      <c r="AN18" s="182" t="s">
        <v>20</v>
      </c>
      <c r="AO18" s="181">
        <f>AO16-AO17</f>
        <v>880000</v>
      </c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0"/>
      <c r="BN18" s="190"/>
      <c r="BO18" s="190"/>
    </row>
    <row r="19" spans="1:71" ht="22.5" customHeight="1">
      <c r="A19" s="353">
        <v>5</v>
      </c>
      <c r="B19" s="356" t="s">
        <v>168</v>
      </c>
      <c r="C19" s="258" t="s">
        <v>198</v>
      </c>
      <c r="D19" s="221" t="s">
        <v>7</v>
      </c>
      <c r="E19" s="222">
        <f t="shared" ref="E19:E20" si="18">AM19/1100000</f>
        <v>9.2536363636363639</v>
      </c>
      <c r="F19" s="223" t="s">
        <v>55</v>
      </c>
      <c r="G19" s="224">
        <f t="shared" ref="G19:G20" si="19">AO20/1100000</f>
        <v>1.8181818181818181</v>
      </c>
      <c r="H19" s="358">
        <v>1</v>
      </c>
      <c r="I19" s="361">
        <f>H19+K19+M19+O19+Q19+S19+U19+W19+Y19+AA19+AC19+AE19+AG19</f>
        <v>1</v>
      </c>
      <c r="J19" s="225" t="s">
        <v>41</v>
      </c>
      <c r="K19" s="226"/>
      <c r="L19" s="225" t="s">
        <v>41</v>
      </c>
      <c r="M19" s="226"/>
      <c r="N19" s="225" t="s">
        <v>41</v>
      </c>
      <c r="O19" s="226"/>
      <c r="P19" s="225" t="s">
        <v>41</v>
      </c>
      <c r="Q19" s="226"/>
      <c r="R19" s="225" t="s">
        <v>41</v>
      </c>
      <c r="S19" s="226"/>
      <c r="T19" s="225" t="s">
        <v>41</v>
      </c>
      <c r="U19" s="226"/>
      <c r="V19" s="225" t="s">
        <v>41</v>
      </c>
      <c r="W19" s="226"/>
      <c r="X19" s="225" t="s">
        <v>41</v>
      </c>
      <c r="Y19" s="226"/>
      <c r="Z19" s="225" t="s">
        <v>41</v>
      </c>
      <c r="AA19" s="226"/>
      <c r="AB19" s="225" t="s">
        <v>41</v>
      </c>
      <c r="AC19" s="226"/>
      <c r="AD19" s="225" t="s">
        <v>41</v>
      </c>
      <c r="AE19" s="226"/>
      <c r="AF19" s="225" t="s">
        <v>41</v>
      </c>
      <c r="AG19" s="226"/>
      <c r="AH19" s="325" t="s">
        <v>217</v>
      </c>
      <c r="AI19" s="325"/>
      <c r="AJ19" s="154"/>
      <c r="AK19" s="386"/>
      <c r="AL19" s="189" t="s">
        <v>7</v>
      </c>
      <c r="AM19" s="188">
        <v>10179000</v>
      </c>
      <c r="AN19" s="187"/>
      <c r="AO19" s="186">
        <f>SUM(AP19:BL19)</f>
        <v>0</v>
      </c>
      <c r="AP19" s="193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90"/>
      <c r="BN19" s="190"/>
      <c r="BO19" s="190"/>
    </row>
    <row r="20" spans="1:71" ht="22.5" customHeight="1">
      <c r="A20" s="354"/>
      <c r="B20" s="357"/>
      <c r="C20" s="259" t="s">
        <v>197</v>
      </c>
      <c r="D20" s="227" t="s">
        <v>13</v>
      </c>
      <c r="E20" s="228">
        <f t="shared" si="18"/>
        <v>9.2536363636363639</v>
      </c>
      <c r="F20" s="229" t="s">
        <v>59</v>
      </c>
      <c r="G20" s="230">
        <f t="shared" si="19"/>
        <v>0</v>
      </c>
      <c r="H20" s="359"/>
      <c r="I20" s="362"/>
      <c r="J20" s="248" t="s">
        <v>29</v>
      </c>
      <c r="K20" s="249">
        <f>$G19*K19</f>
        <v>0</v>
      </c>
      <c r="L20" s="248" t="s">
        <v>29</v>
      </c>
      <c r="M20" s="249">
        <f>$G19*M19</f>
        <v>0</v>
      </c>
      <c r="N20" s="248" t="s">
        <v>29</v>
      </c>
      <c r="O20" s="249">
        <f>$G19*O19</f>
        <v>0</v>
      </c>
      <c r="P20" s="248" t="s">
        <v>29</v>
      </c>
      <c r="Q20" s="249">
        <f>$G19*Q19</f>
        <v>0</v>
      </c>
      <c r="R20" s="248" t="s">
        <v>29</v>
      </c>
      <c r="S20" s="249">
        <f>$G19*S19</f>
        <v>0</v>
      </c>
      <c r="T20" s="248" t="s">
        <v>29</v>
      </c>
      <c r="U20" s="249">
        <f>$G19*U19</f>
        <v>0</v>
      </c>
      <c r="V20" s="248"/>
      <c r="W20" s="249">
        <f>$G19*W19</f>
        <v>0</v>
      </c>
      <c r="X20" s="248"/>
      <c r="Y20" s="249"/>
      <c r="Z20" s="248" t="s">
        <v>29</v>
      </c>
      <c r="AA20" s="249">
        <f>$G19*AA19</f>
        <v>0</v>
      </c>
      <c r="AB20" s="248" t="s">
        <v>29</v>
      </c>
      <c r="AC20" s="249">
        <f>$G19*AC19</f>
        <v>0</v>
      </c>
      <c r="AD20" s="248" t="s">
        <v>29</v>
      </c>
      <c r="AE20" s="249">
        <f>$G19*AE19</f>
        <v>0</v>
      </c>
      <c r="AF20" s="248" t="s">
        <v>29</v>
      </c>
      <c r="AG20" s="249">
        <f>$G19*AG19</f>
        <v>0</v>
      </c>
      <c r="AH20" s="329"/>
      <c r="AI20" s="329"/>
      <c r="AJ20" s="154"/>
      <c r="AK20" s="387"/>
      <c r="AL20" s="189" t="s">
        <v>13</v>
      </c>
      <c r="AM20" s="188">
        <f>AM19</f>
        <v>10179000</v>
      </c>
      <c r="AN20" s="187" t="s">
        <v>15</v>
      </c>
      <c r="AO20" s="186">
        <f>SUM(AP20:BL20)</f>
        <v>2000000</v>
      </c>
      <c r="AP20" s="193" t="s">
        <v>169</v>
      </c>
      <c r="AQ20" s="185">
        <v>2000000</v>
      </c>
      <c r="AR20" s="185" t="s">
        <v>154</v>
      </c>
      <c r="AS20" s="185"/>
      <c r="AT20" s="185" t="s">
        <v>68</v>
      </c>
      <c r="AU20" s="185"/>
      <c r="AV20" s="185" t="s">
        <v>69</v>
      </c>
      <c r="AW20" s="185"/>
      <c r="AX20" s="185" t="s">
        <v>69</v>
      </c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4"/>
      <c r="BN20" s="184"/>
      <c r="BO20" s="184"/>
      <c r="BP20" s="15"/>
      <c r="BQ20" s="15"/>
      <c r="BR20" s="15"/>
      <c r="BS20" s="15"/>
    </row>
    <row r="21" spans="1:71" ht="22.5" customHeight="1">
      <c r="A21" s="354"/>
      <c r="B21" s="357"/>
      <c r="C21" s="259" t="s">
        <v>37</v>
      </c>
      <c r="D21" s="227" t="s">
        <v>20</v>
      </c>
      <c r="E21" s="228">
        <f t="shared" ref="E21" si="20">E19-E20</f>
        <v>0</v>
      </c>
      <c r="F21" s="231" t="s">
        <v>20</v>
      </c>
      <c r="G21" s="230">
        <f t="shared" ref="G21" si="21">G19-G20</f>
        <v>1.8181818181818181</v>
      </c>
      <c r="H21" s="359"/>
      <c r="I21" s="362"/>
      <c r="J21" s="340" t="s">
        <v>22</v>
      </c>
      <c r="K21" s="342" t="s">
        <v>23</v>
      </c>
      <c r="L21" s="340" t="s">
        <v>22</v>
      </c>
      <c r="M21" s="342" t="s">
        <v>23</v>
      </c>
      <c r="N21" s="340" t="s">
        <v>22</v>
      </c>
      <c r="O21" s="342" t="s">
        <v>23</v>
      </c>
      <c r="P21" s="340" t="s">
        <v>22</v>
      </c>
      <c r="Q21" s="342" t="s">
        <v>23</v>
      </c>
      <c r="R21" s="340" t="s">
        <v>22</v>
      </c>
      <c r="S21" s="342" t="s">
        <v>23</v>
      </c>
      <c r="T21" s="340" t="s">
        <v>22</v>
      </c>
      <c r="U21" s="342" t="s">
        <v>312</v>
      </c>
      <c r="V21" s="340" t="s">
        <v>22</v>
      </c>
      <c r="W21" s="342" t="s">
        <v>312</v>
      </c>
      <c r="X21" s="340" t="s">
        <v>22</v>
      </c>
      <c r="Y21" s="342"/>
      <c r="Z21" s="340" t="s">
        <v>22</v>
      </c>
      <c r="AA21" s="342" t="s">
        <v>23</v>
      </c>
      <c r="AB21" s="340" t="s">
        <v>22</v>
      </c>
      <c r="AC21" s="342" t="s">
        <v>23</v>
      </c>
      <c r="AD21" s="340" t="s">
        <v>22</v>
      </c>
      <c r="AE21" s="342" t="s">
        <v>23</v>
      </c>
      <c r="AF21" s="340" t="s">
        <v>22</v>
      </c>
      <c r="AG21" s="342" t="s">
        <v>23</v>
      </c>
      <c r="AH21" s="371"/>
      <c r="AI21" s="329"/>
      <c r="AJ21" s="154"/>
      <c r="AK21" s="387"/>
      <c r="AL21" s="189" t="s">
        <v>20</v>
      </c>
      <c r="AM21" s="188">
        <f>AM19-AM20</f>
        <v>0</v>
      </c>
      <c r="AN21" s="187" t="s">
        <v>59</v>
      </c>
      <c r="AO21" s="186">
        <f>SUM(AP21:BL21)</f>
        <v>0</v>
      </c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84"/>
      <c r="BN21" s="184"/>
      <c r="BO21" s="184"/>
      <c r="BP21" s="15"/>
      <c r="BQ21" s="15"/>
      <c r="BR21" s="15"/>
      <c r="BS21" s="15"/>
    </row>
    <row r="22" spans="1:71" ht="22.5" customHeight="1">
      <c r="A22" s="355"/>
      <c r="B22" s="104" t="s">
        <v>199</v>
      </c>
      <c r="C22" s="260" t="s">
        <v>38</v>
      </c>
      <c r="D22" s="232" t="s">
        <v>25</v>
      </c>
      <c r="E22" s="233">
        <f t="shared" ref="E22" si="22">E20/E19</f>
        <v>1</v>
      </c>
      <c r="F22" s="232" t="s">
        <v>60</v>
      </c>
      <c r="G22" s="233">
        <f t="shared" ref="G22" si="23">G19/E19</f>
        <v>0.19648295510364475</v>
      </c>
      <c r="H22" s="360"/>
      <c r="I22" s="363"/>
      <c r="J22" s="341"/>
      <c r="K22" s="343"/>
      <c r="L22" s="341"/>
      <c r="M22" s="343"/>
      <c r="N22" s="341"/>
      <c r="O22" s="343"/>
      <c r="P22" s="341"/>
      <c r="Q22" s="343"/>
      <c r="R22" s="341"/>
      <c r="S22" s="343"/>
      <c r="T22" s="341"/>
      <c r="U22" s="343"/>
      <c r="V22" s="341"/>
      <c r="W22" s="343"/>
      <c r="X22" s="341"/>
      <c r="Y22" s="343"/>
      <c r="Z22" s="341"/>
      <c r="AA22" s="343"/>
      <c r="AB22" s="341"/>
      <c r="AC22" s="343"/>
      <c r="AD22" s="341"/>
      <c r="AE22" s="343"/>
      <c r="AF22" s="341"/>
      <c r="AG22" s="343"/>
      <c r="AH22" s="138">
        <f>(I19-E22)*E19</f>
        <v>0</v>
      </c>
      <c r="AI22" s="371"/>
      <c r="AJ22" s="154"/>
      <c r="AK22" s="388"/>
      <c r="AL22" s="189"/>
      <c r="AM22" s="183">
        <f>AM20/AM19</f>
        <v>1</v>
      </c>
      <c r="AN22" s="182" t="s">
        <v>20</v>
      </c>
      <c r="AO22" s="181">
        <f>AO20-AO21</f>
        <v>2000000</v>
      </c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0"/>
      <c r="BN22" s="190"/>
      <c r="BO22" s="190"/>
    </row>
    <row r="23" spans="1:71" ht="22.5" customHeight="1">
      <c r="A23" s="353">
        <v>6</v>
      </c>
      <c r="B23" s="356" t="s">
        <v>112</v>
      </c>
      <c r="C23" s="258" t="s">
        <v>114</v>
      </c>
      <c r="D23" s="221" t="s">
        <v>7</v>
      </c>
      <c r="E23" s="222">
        <f t="shared" ref="E23:E24" si="24">AM23/1100000</f>
        <v>101</v>
      </c>
      <c r="F23" s="223" t="s">
        <v>55</v>
      </c>
      <c r="G23" s="224">
        <f t="shared" ref="G23:G24" si="25">AO24/1100000</f>
        <v>45.454545454545453</v>
      </c>
      <c r="H23" s="358">
        <v>0.95</v>
      </c>
      <c r="I23" s="361">
        <f>H23+K23+M23+O23+Q23+S23+U23+W23+Y23+AA23+AC23+AE23+AG23</f>
        <v>0.95</v>
      </c>
      <c r="J23" s="225" t="s">
        <v>41</v>
      </c>
      <c r="K23" s="226"/>
      <c r="L23" s="225" t="s">
        <v>41</v>
      </c>
      <c r="M23" s="226"/>
      <c r="N23" s="225" t="s">
        <v>41</v>
      </c>
      <c r="O23" s="226"/>
      <c r="P23" s="225" t="s">
        <v>41</v>
      </c>
      <c r="Q23" s="226"/>
      <c r="R23" s="225" t="s">
        <v>41</v>
      </c>
      <c r="S23" s="226"/>
      <c r="T23" s="225" t="s">
        <v>41</v>
      </c>
      <c r="U23" s="226"/>
      <c r="V23" s="225" t="s">
        <v>41</v>
      </c>
      <c r="W23" s="226"/>
      <c r="X23" s="225" t="s">
        <v>41</v>
      </c>
      <c r="Y23" s="226"/>
      <c r="Z23" s="225" t="s">
        <v>41</v>
      </c>
      <c r="AA23" s="226"/>
      <c r="AB23" s="225" t="s">
        <v>41</v>
      </c>
      <c r="AC23" s="226"/>
      <c r="AD23" s="225" t="s">
        <v>41</v>
      </c>
      <c r="AE23" s="226"/>
      <c r="AF23" s="225" t="s">
        <v>41</v>
      </c>
      <c r="AG23" s="226"/>
      <c r="AH23" s="325" t="s">
        <v>151</v>
      </c>
      <c r="AI23" s="325" t="s">
        <v>117</v>
      </c>
      <c r="AJ23" s="154"/>
      <c r="AK23" s="386" t="s">
        <v>118</v>
      </c>
      <c r="AL23" s="189" t="s">
        <v>7</v>
      </c>
      <c r="AM23" s="188">
        <v>111100000</v>
      </c>
      <c r="AN23" s="187" t="s">
        <v>9</v>
      </c>
      <c r="AO23" s="186">
        <f>SUM(AP23:BL23)</f>
        <v>0</v>
      </c>
      <c r="AP23" s="193" t="s">
        <v>10</v>
      </c>
      <c r="AQ23" s="185"/>
      <c r="AR23" s="185" t="s">
        <v>11</v>
      </c>
      <c r="AS23" s="185"/>
      <c r="AT23" s="185" t="s">
        <v>12</v>
      </c>
      <c r="AU23" s="185"/>
      <c r="AV23" s="185" t="s">
        <v>12</v>
      </c>
      <c r="AW23" s="185"/>
      <c r="AX23" s="185" t="s">
        <v>12</v>
      </c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90"/>
      <c r="BN23" s="190"/>
      <c r="BO23" s="190"/>
    </row>
    <row r="24" spans="1:71" ht="22.5" customHeight="1">
      <c r="A24" s="354"/>
      <c r="B24" s="357"/>
      <c r="C24" s="259" t="s">
        <v>115</v>
      </c>
      <c r="D24" s="227" t="s">
        <v>13</v>
      </c>
      <c r="E24" s="228">
        <f t="shared" si="24"/>
        <v>70.7</v>
      </c>
      <c r="F24" s="229" t="s">
        <v>59</v>
      </c>
      <c r="G24" s="230">
        <f t="shared" si="25"/>
        <v>18.181818181818183</v>
      </c>
      <c r="H24" s="359"/>
      <c r="I24" s="362"/>
      <c r="J24" s="248" t="s">
        <v>29</v>
      </c>
      <c r="K24" s="249">
        <f>$G23*K23</f>
        <v>0</v>
      </c>
      <c r="L24" s="248" t="s">
        <v>29</v>
      </c>
      <c r="M24" s="249">
        <f>$G23*M23</f>
        <v>0</v>
      </c>
      <c r="N24" s="248" t="s">
        <v>29</v>
      </c>
      <c r="O24" s="249">
        <f>$G23*O23</f>
        <v>0</v>
      </c>
      <c r="P24" s="248" t="s">
        <v>29</v>
      </c>
      <c r="Q24" s="249">
        <f>$G23*Q23</f>
        <v>0</v>
      </c>
      <c r="R24" s="248" t="s">
        <v>29</v>
      </c>
      <c r="S24" s="249">
        <f>$G23*S23</f>
        <v>0</v>
      </c>
      <c r="T24" s="248" t="s">
        <v>29</v>
      </c>
      <c r="U24" s="249">
        <f>$G23*U23</f>
        <v>0</v>
      </c>
      <c r="V24" s="248"/>
      <c r="W24" s="249">
        <f>$G23*W23</f>
        <v>0</v>
      </c>
      <c r="X24" s="248"/>
      <c r="Y24" s="249"/>
      <c r="Z24" s="248" t="s">
        <v>29</v>
      </c>
      <c r="AA24" s="249">
        <f>$G23*AA23</f>
        <v>0</v>
      </c>
      <c r="AB24" s="248" t="s">
        <v>29</v>
      </c>
      <c r="AC24" s="249">
        <f>$G23*AC23</f>
        <v>0</v>
      </c>
      <c r="AD24" s="248" t="s">
        <v>29</v>
      </c>
      <c r="AE24" s="249">
        <f>$G23*AE23</f>
        <v>0</v>
      </c>
      <c r="AF24" s="248" t="s">
        <v>29</v>
      </c>
      <c r="AG24" s="249">
        <f>$G23*AG23</f>
        <v>0</v>
      </c>
      <c r="AH24" s="329"/>
      <c r="AI24" s="329"/>
      <c r="AJ24" s="154"/>
      <c r="AK24" s="387"/>
      <c r="AL24" s="189" t="s">
        <v>13</v>
      </c>
      <c r="AM24" s="188">
        <v>77770000</v>
      </c>
      <c r="AN24" s="187" t="s">
        <v>15</v>
      </c>
      <c r="AO24" s="186">
        <f>SUM(AP24:BL24)</f>
        <v>50000000</v>
      </c>
      <c r="AP24" s="134" t="s">
        <v>66</v>
      </c>
      <c r="AQ24" s="185">
        <v>50000000</v>
      </c>
      <c r="AR24" s="185" t="s">
        <v>67</v>
      </c>
      <c r="AS24" s="185"/>
      <c r="AT24" s="185" t="s">
        <v>68</v>
      </c>
      <c r="AU24" s="185"/>
      <c r="AV24" s="185" t="s">
        <v>69</v>
      </c>
      <c r="AW24" s="185"/>
      <c r="AX24" s="185" t="s">
        <v>69</v>
      </c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4"/>
      <c r="BN24" s="184"/>
      <c r="BO24" s="184"/>
      <c r="BP24" s="15"/>
      <c r="BQ24" s="15"/>
      <c r="BR24" s="15"/>
      <c r="BS24" s="15"/>
    </row>
    <row r="25" spans="1:71" ht="22.5" customHeight="1">
      <c r="A25" s="354"/>
      <c r="B25" s="357"/>
      <c r="C25" s="259" t="s">
        <v>65</v>
      </c>
      <c r="D25" s="227" t="s">
        <v>20</v>
      </c>
      <c r="E25" s="228">
        <f t="shared" ref="E25" si="26">E23-E24</f>
        <v>30.299999999999997</v>
      </c>
      <c r="F25" s="231" t="s">
        <v>20</v>
      </c>
      <c r="G25" s="230">
        <f t="shared" ref="G25" si="27">G23-G24</f>
        <v>27.27272727272727</v>
      </c>
      <c r="H25" s="359"/>
      <c r="I25" s="362"/>
      <c r="J25" s="340" t="s">
        <v>22</v>
      </c>
      <c r="K25" s="342" t="s">
        <v>23</v>
      </c>
      <c r="L25" s="340" t="s">
        <v>22</v>
      </c>
      <c r="M25" s="342" t="s">
        <v>23</v>
      </c>
      <c r="N25" s="340" t="s">
        <v>22</v>
      </c>
      <c r="O25" s="342" t="s">
        <v>23</v>
      </c>
      <c r="P25" s="340" t="s">
        <v>22</v>
      </c>
      <c r="Q25" s="342" t="s">
        <v>23</v>
      </c>
      <c r="R25" s="340" t="s">
        <v>22</v>
      </c>
      <c r="S25" s="342" t="s">
        <v>23</v>
      </c>
      <c r="T25" s="340" t="s">
        <v>22</v>
      </c>
      <c r="U25" s="342" t="s">
        <v>313</v>
      </c>
      <c r="V25" s="340" t="s">
        <v>22</v>
      </c>
      <c r="W25" s="342" t="s">
        <v>313</v>
      </c>
      <c r="X25" s="340" t="s">
        <v>22</v>
      </c>
      <c r="Y25" s="342"/>
      <c r="Z25" s="340" t="s">
        <v>22</v>
      </c>
      <c r="AA25" s="342" t="s">
        <v>23</v>
      </c>
      <c r="AB25" s="340" t="s">
        <v>22</v>
      </c>
      <c r="AC25" s="342" t="s">
        <v>23</v>
      </c>
      <c r="AD25" s="340" t="s">
        <v>22</v>
      </c>
      <c r="AE25" s="342" t="s">
        <v>23</v>
      </c>
      <c r="AF25" s="340" t="s">
        <v>22</v>
      </c>
      <c r="AG25" s="342" t="s">
        <v>23</v>
      </c>
      <c r="AH25" s="371"/>
      <c r="AI25" s="329"/>
      <c r="AJ25" s="154"/>
      <c r="AK25" s="387"/>
      <c r="AL25" s="189" t="s">
        <v>20</v>
      </c>
      <c r="AM25" s="188">
        <f>AM23-AM24</f>
        <v>33330000</v>
      </c>
      <c r="AN25" s="187" t="s">
        <v>59</v>
      </c>
      <c r="AO25" s="186">
        <f>SUM(AP25:BL25)</f>
        <v>20000000</v>
      </c>
      <c r="AP25" s="191"/>
      <c r="AQ25" s="191">
        <v>20000000</v>
      </c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84"/>
      <c r="BN25" s="184"/>
      <c r="BO25" s="184"/>
      <c r="BP25" s="15"/>
      <c r="BQ25" s="15"/>
      <c r="BR25" s="15"/>
      <c r="BS25" s="15"/>
    </row>
    <row r="26" spans="1:71" ht="22.5" customHeight="1">
      <c r="A26" s="355"/>
      <c r="B26" s="104" t="s">
        <v>113</v>
      </c>
      <c r="C26" s="260" t="s">
        <v>116</v>
      </c>
      <c r="D26" s="232" t="s">
        <v>25</v>
      </c>
      <c r="E26" s="233">
        <f t="shared" ref="E26" si="28">E24/E23</f>
        <v>0.70000000000000007</v>
      </c>
      <c r="F26" s="232" t="s">
        <v>60</v>
      </c>
      <c r="G26" s="233">
        <f t="shared" ref="G26" si="29">G23/E23</f>
        <v>0.45004500450045004</v>
      </c>
      <c r="H26" s="360"/>
      <c r="I26" s="363"/>
      <c r="J26" s="341"/>
      <c r="K26" s="343"/>
      <c r="L26" s="341"/>
      <c r="M26" s="343"/>
      <c r="N26" s="341"/>
      <c r="O26" s="343"/>
      <c r="P26" s="341"/>
      <c r="Q26" s="343"/>
      <c r="R26" s="341"/>
      <c r="S26" s="343"/>
      <c r="T26" s="341"/>
      <c r="U26" s="343"/>
      <c r="V26" s="341"/>
      <c r="W26" s="343"/>
      <c r="X26" s="341"/>
      <c r="Y26" s="343"/>
      <c r="Z26" s="341"/>
      <c r="AA26" s="343"/>
      <c r="AB26" s="341"/>
      <c r="AC26" s="343"/>
      <c r="AD26" s="341"/>
      <c r="AE26" s="343"/>
      <c r="AF26" s="341"/>
      <c r="AG26" s="343"/>
      <c r="AH26" s="138">
        <f>(I23-E26)*E23</f>
        <v>25.249999999999989</v>
      </c>
      <c r="AI26" s="371"/>
      <c r="AJ26" s="154"/>
      <c r="AK26" s="388"/>
      <c r="AL26" s="189"/>
      <c r="AM26" s="183">
        <f>AM24/AM23</f>
        <v>0.7</v>
      </c>
      <c r="AN26" s="182" t="s">
        <v>20</v>
      </c>
      <c r="AO26" s="181">
        <f>AO24-AO25</f>
        <v>30000000</v>
      </c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0"/>
      <c r="BN26" s="190"/>
      <c r="BO26" s="190"/>
    </row>
    <row r="27" spans="1:71" ht="22.5" customHeight="1">
      <c r="A27" s="353">
        <v>7</v>
      </c>
      <c r="B27" s="356" t="s">
        <v>141</v>
      </c>
      <c r="C27" s="258" t="s">
        <v>202</v>
      </c>
      <c r="D27" s="221" t="s">
        <v>7</v>
      </c>
      <c r="E27" s="222">
        <f t="shared" ref="E27:E28" si="30">AM27/1100000</f>
        <v>235.73181818181817</v>
      </c>
      <c r="F27" s="223" t="s">
        <v>55</v>
      </c>
      <c r="G27" s="224">
        <f t="shared" ref="G27:G28" si="31">AO28/1100000</f>
        <v>50</v>
      </c>
      <c r="H27" s="358">
        <f>부서협조!H3</f>
        <v>0.7</v>
      </c>
      <c r="I27" s="361">
        <f>H27+K27+M27+O27+Q27+S27+U27+W27+Y27+AA27+AC27+AE27+AG27</f>
        <v>0.84</v>
      </c>
      <c r="J27" s="225" t="s">
        <v>41</v>
      </c>
      <c r="K27" s="226"/>
      <c r="L27" s="225" t="s">
        <v>41</v>
      </c>
      <c r="M27" s="226"/>
      <c r="N27" s="225" t="s">
        <v>41</v>
      </c>
      <c r="O27" s="226"/>
      <c r="P27" s="225" t="s">
        <v>41</v>
      </c>
      <c r="Q27" s="226"/>
      <c r="R27" s="225" t="s">
        <v>41</v>
      </c>
      <c r="S27" s="226"/>
      <c r="T27" s="225" t="s">
        <v>41</v>
      </c>
      <c r="U27" s="226">
        <v>0.1</v>
      </c>
      <c r="V27" s="225" t="s">
        <v>41</v>
      </c>
      <c r="W27" s="226">
        <f>부서협조!W3</f>
        <v>0.02</v>
      </c>
      <c r="X27" s="225" t="s">
        <v>41</v>
      </c>
      <c r="Y27" s="226">
        <f>부서협조!Y3</f>
        <v>0.02</v>
      </c>
      <c r="Z27" s="225" t="s">
        <v>41</v>
      </c>
      <c r="AA27" s="226"/>
      <c r="AB27" s="225" t="s">
        <v>41</v>
      </c>
      <c r="AC27" s="226"/>
      <c r="AD27" s="225" t="s">
        <v>41</v>
      </c>
      <c r="AE27" s="226"/>
      <c r="AF27" s="225" t="s">
        <v>41</v>
      </c>
      <c r="AG27" s="226"/>
      <c r="AH27" s="325" t="s">
        <v>170</v>
      </c>
      <c r="AI27" s="325" t="s">
        <v>204</v>
      </c>
      <c r="AJ27" s="154"/>
      <c r="AK27" s="386"/>
      <c r="AL27" s="189" t="s">
        <v>7</v>
      </c>
      <c r="AM27" s="188">
        <v>259305000</v>
      </c>
      <c r="AN27" s="187"/>
      <c r="AO27" s="186">
        <f>SUM(AP27:BL27)</f>
        <v>0</v>
      </c>
      <c r="AP27" s="193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5"/>
      <c r="BI27" s="185"/>
      <c r="BJ27" s="185"/>
      <c r="BK27" s="185"/>
      <c r="BL27" s="185"/>
      <c r="BM27" s="190"/>
      <c r="BN27" s="190"/>
      <c r="BO27" s="190"/>
    </row>
    <row r="28" spans="1:71" ht="22.5" customHeight="1">
      <c r="A28" s="354"/>
      <c r="B28" s="357"/>
      <c r="C28" s="259" t="s">
        <v>203</v>
      </c>
      <c r="D28" s="227" t="s">
        <v>13</v>
      </c>
      <c r="E28" s="228">
        <f t="shared" si="30"/>
        <v>214.21636363636364</v>
      </c>
      <c r="F28" s="229" t="s">
        <v>59</v>
      </c>
      <c r="G28" s="230">
        <f t="shared" si="31"/>
        <v>15.454545454545455</v>
      </c>
      <c r="H28" s="359"/>
      <c r="I28" s="362"/>
      <c r="J28" s="248" t="s">
        <v>29</v>
      </c>
      <c r="K28" s="249">
        <f>$G27*K27</f>
        <v>0</v>
      </c>
      <c r="L28" s="248" t="s">
        <v>29</v>
      </c>
      <c r="M28" s="249">
        <f>$G27*M27</f>
        <v>0</v>
      </c>
      <c r="N28" s="248" t="s">
        <v>29</v>
      </c>
      <c r="O28" s="249">
        <f>$G27*O27</f>
        <v>0</v>
      </c>
      <c r="P28" s="248" t="s">
        <v>29</v>
      </c>
      <c r="Q28" s="249">
        <f>$G27*Q27</f>
        <v>0</v>
      </c>
      <c r="R28" s="248" t="s">
        <v>29</v>
      </c>
      <c r="S28" s="249">
        <f>$G27*S27</f>
        <v>0</v>
      </c>
      <c r="T28" s="248" t="s">
        <v>29</v>
      </c>
      <c r="U28" s="249">
        <f>$G27*U27</f>
        <v>5</v>
      </c>
      <c r="V28" s="248"/>
      <c r="W28" s="249">
        <f>$G27*W27</f>
        <v>1</v>
      </c>
      <c r="X28" s="248"/>
      <c r="Y28" s="249"/>
      <c r="Z28" s="248" t="s">
        <v>29</v>
      </c>
      <c r="AA28" s="249">
        <f>$G27*AA27</f>
        <v>0</v>
      </c>
      <c r="AB28" s="248" t="s">
        <v>29</v>
      </c>
      <c r="AC28" s="249">
        <f>$G27*AC27</f>
        <v>0</v>
      </c>
      <c r="AD28" s="248" t="s">
        <v>29</v>
      </c>
      <c r="AE28" s="249">
        <f>$G27*AE27</f>
        <v>0</v>
      </c>
      <c r="AF28" s="248" t="s">
        <v>29</v>
      </c>
      <c r="AG28" s="249">
        <f>$G27*AG27</f>
        <v>0</v>
      </c>
      <c r="AH28" s="329"/>
      <c r="AI28" s="329"/>
      <c r="AJ28" s="154"/>
      <c r="AK28" s="387"/>
      <c r="AL28" s="189" t="s">
        <v>13</v>
      </c>
      <c r="AM28" s="188">
        <v>235638000</v>
      </c>
      <c r="AN28" s="187" t="s">
        <v>15</v>
      </c>
      <c r="AO28" s="186">
        <f>SUM(AP28:BL28)</f>
        <v>55000000</v>
      </c>
      <c r="AP28" s="193" t="s">
        <v>171</v>
      </c>
      <c r="AQ28" s="185">
        <v>55000000</v>
      </c>
      <c r="AR28" s="185" t="s">
        <v>154</v>
      </c>
      <c r="AS28" s="185"/>
      <c r="AT28" s="185" t="s">
        <v>68</v>
      </c>
      <c r="AU28" s="185"/>
      <c r="AV28" s="185" t="s">
        <v>69</v>
      </c>
      <c r="AW28" s="185"/>
      <c r="AX28" s="185" t="s">
        <v>69</v>
      </c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4"/>
      <c r="BN28" s="184"/>
      <c r="BO28" s="184"/>
      <c r="BP28" s="15"/>
      <c r="BQ28" s="15"/>
      <c r="BR28" s="15"/>
      <c r="BS28" s="15"/>
    </row>
    <row r="29" spans="1:71" ht="22.5" customHeight="1">
      <c r="A29" s="354"/>
      <c r="B29" s="357"/>
      <c r="C29" s="259" t="s">
        <v>37</v>
      </c>
      <c r="D29" s="227" t="s">
        <v>20</v>
      </c>
      <c r="E29" s="228">
        <f t="shared" ref="E29" si="32">E27-E28</f>
        <v>21.515454545454531</v>
      </c>
      <c r="F29" s="231" t="s">
        <v>20</v>
      </c>
      <c r="G29" s="230">
        <f t="shared" ref="G29" si="33">G27-G28</f>
        <v>34.545454545454547</v>
      </c>
      <c r="H29" s="359"/>
      <c r="I29" s="362"/>
      <c r="J29" s="340" t="s">
        <v>22</v>
      </c>
      <c r="K29" s="342" t="s">
        <v>23</v>
      </c>
      <c r="L29" s="340" t="s">
        <v>22</v>
      </c>
      <c r="M29" s="342" t="s">
        <v>23</v>
      </c>
      <c r="N29" s="340" t="s">
        <v>22</v>
      </c>
      <c r="O29" s="342" t="s">
        <v>23</v>
      </c>
      <c r="P29" s="340" t="s">
        <v>22</v>
      </c>
      <c r="Q29" s="342" t="s">
        <v>23</v>
      </c>
      <c r="R29" s="340" t="s">
        <v>22</v>
      </c>
      <c r="S29" s="342" t="s">
        <v>23</v>
      </c>
      <c r="T29" s="340" t="s">
        <v>22</v>
      </c>
      <c r="U29" s="342" t="str">
        <f>부서협조!U5</f>
        <v>재심의조치계획</v>
      </c>
      <c r="V29" s="340" t="s">
        <v>22</v>
      </c>
      <c r="W29" s="342" t="str">
        <f>부서협조!W5</f>
        <v>재심의조치계획</v>
      </c>
      <c r="X29" s="340" t="s">
        <v>22</v>
      </c>
      <c r="Y29" s="342" t="str">
        <f>부서협조!Y5</f>
        <v>재심의조치계획</v>
      </c>
      <c r="Z29" s="340" t="s">
        <v>22</v>
      </c>
      <c r="AA29" s="342" t="s">
        <v>23</v>
      </c>
      <c r="AB29" s="340" t="s">
        <v>22</v>
      </c>
      <c r="AC29" s="342" t="s">
        <v>23</v>
      </c>
      <c r="AD29" s="340" t="s">
        <v>22</v>
      </c>
      <c r="AE29" s="342" t="s">
        <v>23</v>
      </c>
      <c r="AF29" s="340" t="s">
        <v>22</v>
      </c>
      <c r="AG29" s="342" t="s">
        <v>23</v>
      </c>
      <c r="AH29" s="329"/>
      <c r="AI29" s="329"/>
      <c r="AJ29" s="154"/>
      <c r="AK29" s="387"/>
      <c r="AL29" s="189" t="s">
        <v>20</v>
      </c>
      <c r="AM29" s="188">
        <f>AM27-AM28</f>
        <v>23667000</v>
      </c>
      <c r="AN29" s="187" t="s">
        <v>59</v>
      </c>
      <c r="AO29" s="186">
        <f>SUM(AP29:BL29)</f>
        <v>17000000</v>
      </c>
      <c r="AP29" s="191"/>
      <c r="AQ29" s="191">
        <v>17000000</v>
      </c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84"/>
      <c r="BN29" s="184"/>
      <c r="BO29" s="184"/>
      <c r="BP29" s="15"/>
      <c r="BQ29" s="15"/>
      <c r="BR29" s="15"/>
      <c r="BS29" s="15"/>
    </row>
    <row r="30" spans="1:71" ht="22.5" customHeight="1">
      <c r="A30" s="355"/>
      <c r="B30" s="104" t="s">
        <v>201</v>
      </c>
      <c r="C30" s="260" t="s">
        <v>38</v>
      </c>
      <c r="D30" s="232" t="s">
        <v>25</v>
      </c>
      <c r="E30" s="233">
        <f t="shared" ref="E30" si="34">E28/E27</f>
        <v>0.90872910279400709</v>
      </c>
      <c r="F30" s="232" t="s">
        <v>60</v>
      </c>
      <c r="G30" s="233">
        <f t="shared" ref="G30" si="35">G27/E27</f>
        <v>0.21210543568384721</v>
      </c>
      <c r="H30" s="360"/>
      <c r="I30" s="363"/>
      <c r="J30" s="341"/>
      <c r="K30" s="343"/>
      <c r="L30" s="341"/>
      <c r="M30" s="343"/>
      <c r="N30" s="341"/>
      <c r="O30" s="343"/>
      <c r="P30" s="341"/>
      <c r="Q30" s="343"/>
      <c r="R30" s="341"/>
      <c r="S30" s="343"/>
      <c r="T30" s="341"/>
      <c r="U30" s="343"/>
      <c r="V30" s="341"/>
      <c r="W30" s="343"/>
      <c r="X30" s="341"/>
      <c r="Y30" s="343"/>
      <c r="Z30" s="341"/>
      <c r="AA30" s="343"/>
      <c r="AB30" s="341"/>
      <c r="AC30" s="343"/>
      <c r="AD30" s="341"/>
      <c r="AE30" s="343"/>
      <c r="AF30" s="341"/>
      <c r="AG30" s="343"/>
      <c r="AH30" s="138">
        <f>(I27-E30)*E27</f>
        <v>-16.201636363636378</v>
      </c>
      <c r="AI30" s="371"/>
      <c r="AJ30" s="154"/>
      <c r="AK30" s="388"/>
      <c r="AL30" s="189"/>
      <c r="AM30" s="183">
        <f>AM28/AM27</f>
        <v>0.90872910279400709</v>
      </c>
      <c r="AN30" s="182" t="s">
        <v>20</v>
      </c>
      <c r="AO30" s="181">
        <f>AO28-AO29</f>
        <v>38000000</v>
      </c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0"/>
      <c r="BN30" s="190"/>
      <c r="BO30" s="190"/>
    </row>
    <row r="31" spans="1:71" ht="22.5" customHeight="1">
      <c r="A31" s="353">
        <v>8</v>
      </c>
      <c r="B31" s="356" t="s">
        <v>62</v>
      </c>
      <c r="C31" s="256" t="s">
        <v>64</v>
      </c>
      <c r="D31" s="221" t="s">
        <v>7</v>
      </c>
      <c r="E31" s="222">
        <f t="shared" ref="E31:E32" si="36">AM31/1100000</f>
        <v>2348</v>
      </c>
      <c r="F31" s="223" t="s">
        <v>55</v>
      </c>
      <c r="G31" s="224">
        <f t="shared" ref="G31:G32" si="37">AO32/1100000</f>
        <v>224.69090909090909</v>
      </c>
      <c r="H31" s="358">
        <v>0.9</v>
      </c>
      <c r="I31" s="361">
        <f>H31+K31+M31+O31+Q31+S31+U31+W31+Y31+AA31+AC31+AE31+AG31</f>
        <v>0.9</v>
      </c>
      <c r="J31" s="225" t="s">
        <v>41</v>
      </c>
      <c r="K31" s="226"/>
      <c r="L31" s="225" t="s">
        <v>41</v>
      </c>
      <c r="M31" s="226"/>
      <c r="N31" s="225" t="s">
        <v>41</v>
      </c>
      <c r="O31" s="226"/>
      <c r="P31" s="225" t="s">
        <v>41</v>
      </c>
      <c r="Q31" s="226"/>
      <c r="R31" s="225" t="s">
        <v>41</v>
      </c>
      <c r="S31" s="226"/>
      <c r="T31" s="225" t="s">
        <v>41</v>
      </c>
      <c r="U31" s="226"/>
      <c r="V31" s="225" t="s">
        <v>41</v>
      </c>
      <c r="W31" s="226"/>
      <c r="X31" s="225" t="s">
        <v>41</v>
      </c>
      <c r="Y31" s="226"/>
      <c r="Z31" s="225" t="s">
        <v>41</v>
      </c>
      <c r="AA31" s="226"/>
      <c r="AB31" s="225" t="s">
        <v>41</v>
      </c>
      <c r="AC31" s="226"/>
      <c r="AD31" s="225" t="s">
        <v>41</v>
      </c>
      <c r="AE31" s="226"/>
      <c r="AF31" s="225" t="s">
        <v>41</v>
      </c>
      <c r="AG31" s="226"/>
      <c r="AH31" s="325" t="s">
        <v>147</v>
      </c>
      <c r="AI31" s="325" t="s">
        <v>72</v>
      </c>
      <c r="AJ31" s="154"/>
      <c r="AK31" s="386"/>
      <c r="AL31" s="189" t="s">
        <v>7</v>
      </c>
      <c r="AM31" s="188">
        <v>2582800000</v>
      </c>
      <c r="AN31" s="187"/>
      <c r="AO31" s="186">
        <f>SUM(AP31:BL31)</f>
        <v>0</v>
      </c>
      <c r="AP31" s="193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  <c r="BJ31" s="185"/>
      <c r="BK31" s="185"/>
      <c r="BL31" s="185"/>
      <c r="BM31" s="190"/>
      <c r="BN31" s="190"/>
      <c r="BO31" s="190"/>
    </row>
    <row r="32" spans="1:71" ht="22.5" customHeight="1">
      <c r="A32" s="354"/>
      <c r="B32" s="357"/>
      <c r="C32" s="257" t="s">
        <v>212</v>
      </c>
      <c r="D32" s="227" t="s">
        <v>13</v>
      </c>
      <c r="E32" s="228">
        <f t="shared" si="36"/>
        <v>436.36363636363637</v>
      </c>
      <c r="F32" s="229" t="s">
        <v>59</v>
      </c>
      <c r="G32" s="230">
        <f t="shared" si="37"/>
        <v>68.214176363636369</v>
      </c>
      <c r="H32" s="359"/>
      <c r="I32" s="362"/>
      <c r="J32" s="248" t="s">
        <v>29</v>
      </c>
      <c r="K32" s="249">
        <f>$G31*K31</f>
        <v>0</v>
      </c>
      <c r="L32" s="248" t="s">
        <v>29</v>
      </c>
      <c r="M32" s="249">
        <f>$G31*M31</f>
        <v>0</v>
      </c>
      <c r="N32" s="248" t="s">
        <v>29</v>
      </c>
      <c r="O32" s="249">
        <f>$G31*O31</f>
        <v>0</v>
      </c>
      <c r="P32" s="248" t="s">
        <v>29</v>
      </c>
      <c r="Q32" s="249">
        <f>$G31*Q31</f>
        <v>0</v>
      </c>
      <c r="R32" s="248" t="s">
        <v>29</v>
      </c>
      <c r="S32" s="249">
        <f>$G31*S31</f>
        <v>0</v>
      </c>
      <c r="T32" s="248" t="s">
        <v>29</v>
      </c>
      <c r="U32" s="249">
        <f>$G31*U31</f>
        <v>0</v>
      </c>
      <c r="V32" s="248"/>
      <c r="W32" s="249">
        <f>$G31*W31</f>
        <v>0</v>
      </c>
      <c r="X32" s="248"/>
      <c r="Y32" s="249"/>
      <c r="Z32" s="248" t="s">
        <v>29</v>
      </c>
      <c r="AA32" s="249">
        <f>$G31*AA31</f>
        <v>0</v>
      </c>
      <c r="AB32" s="248" t="s">
        <v>29</v>
      </c>
      <c r="AC32" s="249">
        <f>$G31*AC31</f>
        <v>0</v>
      </c>
      <c r="AD32" s="248" t="s">
        <v>29</v>
      </c>
      <c r="AE32" s="249">
        <f>$G31*AE31</f>
        <v>0</v>
      </c>
      <c r="AF32" s="248" t="s">
        <v>29</v>
      </c>
      <c r="AG32" s="249">
        <f>$G31*AG31</f>
        <v>0</v>
      </c>
      <c r="AH32" s="329"/>
      <c r="AI32" s="329"/>
      <c r="AJ32" s="154"/>
      <c r="AK32" s="387"/>
      <c r="AL32" s="189" t="s">
        <v>13</v>
      </c>
      <c r="AM32" s="188">
        <v>480000000</v>
      </c>
      <c r="AN32" s="187" t="s">
        <v>15</v>
      </c>
      <c r="AO32" s="186">
        <f>SUM(AP32:BL32)</f>
        <v>247160000</v>
      </c>
      <c r="AP32" s="193" t="s">
        <v>66</v>
      </c>
      <c r="AQ32" s="185">
        <v>55000000</v>
      </c>
      <c r="AR32" s="185" t="s">
        <v>67</v>
      </c>
      <c r="AS32" s="185">
        <v>66000000</v>
      </c>
      <c r="AT32" s="185" t="s">
        <v>68</v>
      </c>
      <c r="AU32" s="185">
        <v>93500000</v>
      </c>
      <c r="AV32" s="185" t="s">
        <v>69</v>
      </c>
      <c r="AW32" s="185">
        <v>21000000</v>
      </c>
      <c r="AX32" s="185" t="s">
        <v>69</v>
      </c>
      <c r="AY32" s="185">
        <v>11660000</v>
      </c>
      <c r="AZ32" s="185"/>
      <c r="BA32" s="185"/>
      <c r="BB32" s="185"/>
      <c r="BC32" s="185"/>
      <c r="BD32" s="185"/>
      <c r="BE32" s="185"/>
      <c r="BF32" s="185"/>
      <c r="BG32" s="185"/>
      <c r="BH32" s="185"/>
      <c r="BI32" s="185"/>
      <c r="BJ32" s="185"/>
      <c r="BK32" s="185"/>
      <c r="BL32" s="185"/>
      <c r="BM32" s="184"/>
      <c r="BN32" s="184"/>
      <c r="BO32" s="184"/>
      <c r="BP32" s="15"/>
      <c r="BQ32" s="15"/>
      <c r="BR32" s="15"/>
      <c r="BS32" s="15"/>
    </row>
    <row r="33" spans="1:71" ht="22.5" customHeight="1">
      <c r="A33" s="354"/>
      <c r="B33" s="357"/>
      <c r="C33" s="259" t="s">
        <v>65</v>
      </c>
      <c r="D33" s="227" t="s">
        <v>20</v>
      </c>
      <c r="E33" s="228">
        <f t="shared" ref="E33" si="38">E31-E32</f>
        <v>1911.6363636363635</v>
      </c>
      <c r="F33" s="231" t="s">
        <v>20</v>
      </c>
      <c r="G33" s="230">
        <f t="shared" ref="G33" si="39">G31-G32</f>
        <v>156.47673272727272</v>
      </c>
      <c r="H33" s="359"/>
      <c r="I33" s="362"/>
      <c r="J33" s="340" t="s">
        <v>22</v>
      </c>
      <c r="K33" s="342" t="s">
        <v>23</v>
      </c>
      <c r="L33" s="340" t="s">
        <v>22</v>
      </c>
      <c r="M33" s="342" t="s">
        <v>23</v>
      </c>
      <c r="N33" s="340" t="s">
        <v>22</v>
      </c>
      <c r="O33" s="342" t="s">
        <v>23</v>
      </c>
      <c r="P33" s="340" t="s">
        <v>22</v>
      </c>
      <c r="Q33" s="342" t="s">
        <v>23</v>
      </c>
      <c r="R33" s="340" t="s">
        <v>22</v>
      </c>
      <c r="S33" s="342" t="s">
        <v>23</v>
      </c>
      <c r="T33" s="340" t="s">
        <v>22</v>
      </c>
      <c r="U33" s="342" t="s">
        <v>313</v>
      </c>
      <c r="V33" s="340" t="s">
        <v>22</v>
      </c>
      <c r="W33" s="342" t="s">
        <v>313</v>
      </c>
      <c r="X33" s="340" t="s">
        <v>22</v>
      </c>
      <c r="Y33" s="342"/>
      <c r="Z33" s="340" t="s">
        <v>22</v>
      </c>
      <c r="AA33" s="342" t="s">
        <v>23</v>
      </c>
      <c r="AB33" s="340" t="s">
        <v>22</v>
      </c>
      <c r="AC33" s="342" t="s">
        <v>23</v>
      </c>
      <c r="AD33" s="340" t="s">
        <v>22</v>
      </c>
      <c r="AE33" s="342" t="s">
        <v>23</v>
      </c>
      <c r="AF33" s="340" t="s">
        <v>22</v>
      </c>
      <c r="AG33" s="342" t="s">
        <v>23</v>
      </c>
      <c r="AH33" s="371"/>
      <c r="AI33" s="329"/>
      <c r="AJ33" s="154"/>
      <c r="AK33" s="387"/>
      <c r="AL33" s="189" t="s">
        <v>20</v>
      </c>
      <c r="AM33" s="188">
        <f>AM31-AM32</f>
        <v>2102800000</v>
      </c>
      <c r="AN33" s="187" t="s">
        <v>59</v>
      </c>
      <c r="AO33" s="186">
        <f>SUM(AP33:BL33)</f>
        <v>75035594</v>
      </c>
      <c r="AP33" s="191"/>
      <c r="AQ33" s="191">
        <v>14375594</v>
      </c>
      <c r="AR33" s="191"/>
      <c r="AS33" s="191"/>
      <c r="AT33" s="191"/>
      <c r="AU33" s="191">
        <v>28000000</v>
      </c>
      <c r="AV33" s="191"/>
      <c r="AW33" s="191">
        <v>21000000</v>
      </c>
      <c r="AX33" s="191"/>
      <c r="AY33" s="191">
        <v>11660000</v>
      </c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84"/>
      <c r="BN33" s="184"/>
      <c r="BO33" s="184"/>
      <c r="BP33" s="15"/>
      <c r="BQ33" s="15"/>
      <c r="BR33" s="15"/>
      <c r="BS33" s="15"/>
    </row>
    <row r="34" spans="1:71" ht="22.5" customHeight="1">
      <c r="A34" s="355"/>
      <c r="B34" s="104" t="s">
        <v>63</v>
      </c>
      <c r="C34" s="260" t="s">
        <v>38</v>
      </c>
      <c r="D34" s="232" t="s">
        <v>25</v>
      </c>
      <c r="E34" s="233">
        <f t="shared" ref="E34" si="40">E32/E31</f>
        <v>0.18584481957565432</v>
      </c>
      <c r="F34" s="232" t="s">
        <v>60</v>
      </c>
      <c r="G34" s="233">
        <f t="shared" ref="G34" si="41">G31/E31</f>
        <v>9.5694595013164005E-2</v>
      </c>
      <c r="H34" s="360"/>
      <c r="I34" s="363"/>
      <c r="J34" s="341"/>
      <c r="K34" s="343"/>
      <c r="L34" s="341"/>
      <c r="M34" s="343"/>
      <c r="N34" s="341"/>
      <c r="O34" s="343"/>
      <c r="P34" s="341"/>
      <c r="Q34" s="343"/>
      <c r="R34" s="341"/>
      <c r="S34" s="343"/>
      <c r="T34" s="341"/>
      <c r="U34" s="343"/>
      <c r="V34" s="341"/>
      <c r="W34" s="343"/>
      <c r="X34" s="341"/>
      <c r="Y34" s="343"/>
      <c r="Z34" s="341"/>
      <c r="AA34" s="343"/>
      <c r="AB34" s="341"/>
      <c r="AC34" s="343"/>
      <c r="AD34" s="341"/>
      <c r="AE34" s="343"/>
      <c r="AF34" s="341"/>
      <c r="AG34" s="343"/>
      <c r="AH34" s="138">
        <f>(I31-E34)*E31</f>
        <v>1676.8363636363636</v>
      </c>
      <c r="AI34" s="371"/>
      <c r="AJ34" s="154"/>
      <c r="AK34" s="388"/>
      <c r="AL34" s="189"/>
      <c r="AM34" s="183">
        <f>AM32/AM31</f>
        <v>0.18584481957565432</v>
      </c>
      <c r="AN34" s="182" t="s">
        <v>20</v>
      </c>
      <c r="AO34" s="181">
        <f>AO32-AO33</f>
        <v>172124406</v>
      </c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0"/>
      <c r="BN34" s="190"/>
      <c r="BO34" s="190"/>
    </row>
    <row r="35" spans="1:71" ht="22.5" customHeight="1">
      <c r="A35" s="353">
        <v>9</v>
      </c>
      <c r="B35" s="356" t="s">
        <v>77</v>
      </c>
      <c r="C35" s="258" t="s">
        <v>64</v>
      </c>
      <c r="D35" s="221" t="s">
        <v>7</v>
      </c>
      <c r="E35" s="222">
        <f t="shared" ref="E35:E36" si="42">AM35/1100000</f>
        <v>416.09090909090907</v>
      </c>
      <c r="F35" s="223" t="s">
        <v>55</v>
      </c>
      <c r="G35" s="224">
        <f t="shared" ref="G35:G36" si="43">AO36/1100000</f>
        <v>200</v>
      </c>
      <c r="H35" s="358">
        <v>0.3</v>
      </c>
      <c r="I35" s="361">
        <f>H35+K35+M35+O35+Q35+S35+U35+W35+Y35+AA35+AC35+AE35+AG35</f>
        <v>0.3</v>
      </c>
      <c r="J35" s="225" t="s">
        <v>41</v>
      </c>
      <c r="K35" s="226"/>
      <c r="L35" s="225" t="s">
        <v>41</v>
      </c>
      <c r="M35" s="226"/>
      <c r="N35" s="225" t="s">
        <v>41</v>
      </c>
      <c r="O35" s="226"/>
      <c r="P35" s="225" t="s">
        <v>41</v>
      </c>
      <c r="Q35" s="226"/>
      <c r="R35" s="225" t="s">
        <v>41</v>
      </c>
      <c r="S35" s="226"/>
      <c r="T35" s="225" t="s">
        <v>41</v>
      </c>
      <c r="U35" s="226"/>
      <c r="V35" s="225" t="s">
        <v>41</v>
      </c>
      <c r="W35" s="226"/>
      <c r="X35" s="225" t="s">
        <v>41</v>
      </c>
      <c r="Y35" s="226"/>
      <c r="Z35" s="225" t="s">
        <v>41</v>
      </c>
      <c r="AA35" s="226"/>
      <c r="AB35" s="225" t="s">
        <v>41</v>
      </c>
      <c r="AC35" s="226"/>
      <c r="AD35" s="225" t="s">
        <v>41</v>
      </c>
      <c r="AE35" s="226"/>
      <c r="AF35" s="225" t="s">
        <v>41</v>
      </c>
      <c r="AG35" s="226"/>
      <c r="AH35" s="325" t="s">
        <v>148</v>
      </c>
      <c r="AI35" s="325" t="s">
        <v>82</v>
      </c>
      <c r="AJ35" s="154"/>
      <c r="AK35" s="386"/>
      <c r="AL35" s="189" t="s">
        <v>7</v>
      </c>
      <c r="AM35" s="188">
        <v>457700000</v>
      </c>
      <c r="AN35" s="187"/>
      <c r="AO35" s="186">
        <f>SUM(AP35:BL35)</f>
        <v>0</v>
      </c>
      <c r="AP35" s="193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90"/>
      <c r="BN35" s="190"/>
      <c r="BO35" s="190"/>
    </row>
    <row r="36" spans="1:71" ht="22.5" customHeight="1">
      <c r="A36" s="354"/>
      <c r="B36" s="357"/>
      <c r="C36" s="259" t="s">
        <v>213</v>
      </c>
      <c r="D36" s="227" t="s">
        <v>13</v>
      </c>
      <c r="E36" s="228">
        <f t="shared" si="42"/>
        <v>156.73454545454547</v>
      </c>
      <c r="F36" s="229" t="s">
        <v>59</v>
      </c>
      <c r="G36" s="230">
        <f t="shared" si="43"/>
        <v>37.700000000000003</v>
      </c>
      <c r="H36" s="359"/>
      <c r="I36" s="362"/>
      <c r="J36" s="248" t="s">
        <v>29</v>
      </c>
      <c r="K36" s="249">
        <f>$G35*K35</f>
        <v>0</v>
      </c>
      <c r="L36" s="248" t="s">
        <v>29</v>
      </c>
      <c r="M36" s="249">
        <f>$G35*M35</f>
        <v>0</v>
      </c>
      <c r="N36" s="248" t="s">
        <v>29</v>
      </c>
      <c r="O36" s="249">
        <f>$G35*O35</f>
        <v>0</v>
      </c>
      <c r="P36" s="248" t="s">
        <v>29</v>
      </c>
      <c r="Q36" s="249">
        <f>$G35*Q35</f>
        <v>0</v>
      </c>
      <c r="R36" s="248" t="s">
        <v>29</v>
      </c>
      <c r="S36" s="249">
        <f>$G35*S35</f>
        <v>0</v>
      </c>
      <c r="T36" s="248" t="s">
        <v>29</v>
      </c>
      <c r="U36" s="249">
        <f>$G35*U35</f>
        <v>0</v>
      </c>
      <c r="V36" s="248"/>
      <c r="W36" s="249">
        <f>$G35*W35</f>
        <v>0</v>
      </c>
      <c r="X36" s="248"/>
      <c r="Y36" s="249"/>
      <c r="Z36" s="248" t="s">
        <v>29</v>
      </c>
      <c r="AA36" s="249">
        <f>$G35*AA35</f>
        <v>0</v>
      </c>
      <c r="AB36" s="248" t="s">
        <v>29</v>
      </c>
      <c r="AC36" s="249">
        <f>$G35*AC35</f>
        <v>0</v>
      </c>
      <c r="AD36" s="248" t="s">
        <v>29</v>
      </c>
      <c r="AE36" s="249">
        <f>$G35*AE35</f>
        <v>0</v>
      </c>
      <c r="AF36" s="248" t="s">
        <v>29</v>
      </c>
      <c r="AG36" s="249">
        <f>$G35*AG35</f>
        <v>0</v>
      </c>
      <c r="AH36" s="329"/>
      <c r="AI36" s="329"/>
      <c r="AJ36" s="154"/>
      <c r="AK36" s="387"/>
      <c r="AL36" s="189" t="s">
        <v>13</v>
      </c>
      <c r="AM36" s="188">
        <v>172408000</v>
      </c>
      <c r="AN36" s="187" t="s">
        <v>15</v>
      </c>
      <c r="AO36" s="186">
        <f>SUM(AP36:BL36)</f>
        <v>220000000</v>
      </c>
      <c r="AP36" s="193" t="s">
        <v>80</v>
      </c>
      <c r="AQ36" s="185">
        <v>110000000</v>
      </c>
      <c r="AR36" s="185" t="s">
        <v>81</v>
      </c>
      <c r="AS36" s="185">
        <v>110000000</v>
      </c>
      <c r="AT36" s="185" t="s">
        <v>18</v>
      </c>
      <c r="AU36" s="185"/>
      <c r="AV36" s="185" t="s">
        <v>19</v>
      </c>
      <c r="AW36" s="185"/>
      <c r="AX36" s="185" t="s">
        <v>12</v>
      </c>
      <c r="AY36" s="185"/>
      <c r="AZ36" s="185"/>
      <c r="BA36" s="185"/>
      <c r="BB36" s="185"/>
      <c r="BC36" s="185"/>
      <c r="BD36" s="185"/>
      <c r="BE36" s="185"/>
      <c r="BF36" s="185"/>
      <c r="BG36" s="185"/>
      <c r="BH36" s="185"/>
      <c r="BI36" s="185"/>
      <c r="BJ36" s="185"/>
      <c r="BK36" s="185"/>
      <c r="BL36" s="185"/>
      <c r="BM36" s="184"/>
      <c r="BN36" s="184"/>
      <c r="BO36" s="184"/>
      <c r="BP36" s="15"/>
      <c r="BQ36" s="15"/>
      <c r="BR36" s="15"/>
      <c r="BS36" s="15"/>
    </row>
    <row r="37" spans="1:71" ht="22.5" customHeight="1">
      <c r="A37" s="354"/>
      <c r="B37" s="357"/>
      <c r="C37" s="259" t="s">
        <v>79</v>
      </c>
      <c r="D37" s="227" t="s">
        <v>20</v>
      </c>
      <c r="E37" s="228">
        <f t="shared" ref="E37" si="44">E35-E36</f>
        <v>259.3563636363636</v>
      </c>
      <c r="F37" s="231" t="s">
        <v>20</v>
      </c>
      <c r="G37" s="230">
        <f t="shared" ref="G37" si="45">G35-G36</f>
        <v>162.30000000000001</v>
      </c>
      <c r="H37" s="359"/>
      <c r="I37" s="362"/>
      <c r="J37" s="340" t="s">
        <v>22</v>
      </c>
      <c r="K37" s="342"/>
      <c r="L37" s="340" t="s">
        <v>22</v>
      </c>
      <c r="M37" s="342"/>
      <c r="N37" s="340" t="s">
        <v>22</v>
      </c>
      <c r="O37" s="342"/>
      <c r="P37" s="340" t="s">
        <v>22</v>
      </c>
      <c r="Q37" s="342"/>
      <c r="R37" s="340" t="s">
        <v>22</v>
      </c>
      <c r="S37" s="342"/>
      <c r="T37" s="340" t="s">
        <v>22</v>
      </c>
      <c r="U37" s="342" t="s">
        <v>313</v>
      </c>
      <c r="V37" s="340" t="s">
        <v>22</v>
      </c>
      <c r="W37" s="342" t="s">
        <v>313</v>
      </c>
      <c r="X37" s="340" t="s">
        <v>22</v>
      </c>
      <c r="Y37" s="342"/>
      <c r="Z37" s="340" t="s">
        <v>22</v>
      </c>
      <c r="AA37" s="342"/>
      <c r="AB37" s="340" t="s">
        <v>22</v>
      </c>
      <c r="AC37" s="342"/>
      <c r="AD37" s="340" t="s">
        <v>22</v>
      </c>
      <c r="AE37" s="342"/>
      <c r="AF37" s="340" t="s">
        <v>22</v>
      </c>
      <c r="AG37" s="342"/>
      <c r="AH37" s="371"/>
      <c r="AI37" s="329"/>
      <c r="AJ37" s="154"/>
      <c r="AK37" s="387"/>
      <c r="AL37" s="189" t="s">
        <v>20</v>
      </c>
      <c r="AM37" s="188">
        <f>AM35-AM36</f>
        <v>285292000</v>
      </c>
      <c r="AN37" s="187" t="s">
        <v>59</v>
      </c>
      <c r="AO37" s="186">
        <f>SUM(AP37:BL37)</f>
        <v>41470000</v>
      </c>
      <c r="AP37" s="191"/>
      <c r="AQ37" s="191">
        <v>41470000</v>
      </c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84"/>
      <c r="BN37" s="184"/>
      <c r="BO37" s="184"/>
      <c r="BP37" s="15"/>
      <c r="BQ37" s="15"/>
      <c r="BR37" s="15"/>
      <c r="BS37" s="15"/>
    </row>
    <row r="38" spans="1:71" ht="22.5" customHeight="1">
      <c r="A38" s="355"/>
      <c r="B38" s="104" t="s">
        <v>63</v>
      </c>
      <c r="C38" s="260" t="s">
        <v>38</v>
      </c>
      <c r="D38" s="232" t="s">
        <v>25</v>
      </c>
      <c r="E38" s="233">
        <f t="shared" ref="E38" si="46">E36/E35</f>
        <v>0.37668341708542719</v>
      </c>
      <c r="F38" s="232" t="s">
        <v>60</v>
      </c>
      <c r="G38" s="233">
        <f t="shared" ref="G38" si="47">G35/E35</f>
        <v>0.48066419051780646</v>
      </c>
      <c r="H38" s="360"/>
      <c r="I38" s="363"/>
      <c r="J38" s="341"/>
      <c r="K38" s="343"/>
      <c r="L38" s="341"/>
      <c r="M38" s="343"/>
      <c r="N38" s="341"/>
      <c r="O38" s="343"/>
      <c r="P38" s="341"/>
      <c r="Q38" s="343"/>
      <c r="R38" s="341"/>
      <c r="S38" s="343"/>
      <c r="T38" s="341"/>
      <c r="U38" s="343"/>
      <c r="V38" s="341"/>
      <c r="W38" s="343"/>
      <c r="X38" s="341"/>
      <c r="Y38" s="343"/>
      <c r="Z38" s="341"/>
      <c r="AA38" s="343"/>
      <c r="AB38" s="341"/>
      <c r="AC38" s="343"/>
      <c r="AD38" s="341"/>
      <c r="AE38" s="343"/>
      <c r="AF38" s="341"/>
      <c r="AG38" s="343"/>
      <c r="AH38" s="138">
        <f>(I35-E38)*E35</f>
        <v>-31.907272727272751</v>
      </c>
      <c r="AI38" s="371"/>
      <c r="AJ38" s="154"/>
      <c r="AK38" s="388"/>
      <c r="AL38" s="189"/>
      <c r="AM38" s="183">
        <f>AM36/AM35</f>
        <v>0.37668341708542713</v>
      </c>
      <c r="AN38" s="182" t="s">
        <v>20</v>
      </c>
      <c r="AO38" s="181">
        <f>AO36-AO37</f>
        <v>178530000</v>
      </c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0"/>
      <c r="BN38" s="190"/>
      <c r="BO38" s="190"/>
    </row>
    <row r="39" spans="1:71" ht="22.5" customHeight="1">
      <c r="A39" s="353">
        <v>10</v>
      </c>
      <c r="B39" s="356" t="s">
        <v>83</v>
      </c>
      <c r="C39" s="258" t="s">
        <v>84</v>
      </c>
      <c r="D39" s="221" t="s">
        <v>7</v>
      </c>
      <c r="E39" s="222">
        <f t="shared" ref="E39:E40" si="48">AM39/1100000</f>
        <v>177.81818181818181</v>
      </c>
      <c r="F39" s="223" t="s">
        <v>55</v>
      </c>
      <c r="G39" s="224">
        <f t="shared" ref="G39:G40" si="49">AO40/1100000</f>
        <v>60</v>
      </c>
      <c r="H39" s="358">
        <v>0.6</v>
      </c>
      <c r="I39" s="361">
        <f>H39+K39+M39+O39+Q39+S39+U39+W39+Y39+AA39+AC39+AE39+AG39</f>
        <v>0.6</v>
      </c>
      <c r="J39" s="225" t="s">
        <v>41</v>
      </c>
      <c r="K39" s="226"/>
      <c r="L39" s="225" t="s">
        <v>41</v>
      </c>
      <c r="M39" s="226"/>
      <c r="N39" s="225" t="s">
        <v>41</v>
      </c>
      <c r="O39" s="226"/>
      <c r="P39" s="225" t="s">
        <v>41</v>
      </c>
      <c r="Q39" s="226"/>
      <c r="R39" s="225" t="s">
        <v>41</v>
      </c>
      <c r="S39" s="226"/>
      <c r="T39" s="225" t="s">
        <v>41</v>
      </c>
      <c r="U39" s="226"/>
      <c r="V39" s="225" t="s">
        <v>41</v>
      </c>
      <c r="W39" s="226"/>
      <c r="X39" s="225" t="s">
        <v>41</v>
      </c>
      <c r="Y39" s="226"/>
      <c r="Z39" s="225" t="s">
        <v>41</v>
      </c>
      <c r="AA39" s="226"/>
      <c r="AB39" s="225" t="s">
        <v>41</v>
      </c>
      <c r="AC39" s="226"/>
      <c r="AD39" s="225" t="s">
        <v>41</v>
      </c>
      <c r="AE39" s="226"/>
      <c r="AF39" s="225" t="s">
        <v>41</v>
      </c>
      <c r="AG39" s="226"/>
      <c r="AH39" s="338" t="s">
        <v>149</v>
      </c>
      <c r="AI39" s="325" t="s">
        <v>82</v>
      </c>
      <c r="AJ39" s="154"/>
      <c r="AK39" s="386"/>
      <c r="AL39" s="189" t="s">
        <v>7</v>
      </c>
      <c r="AM39" s="188">
        <v>195600000</v>
      </c>
      <c r="AN39" s="187"/>
      <c r="AO39" s="186">
        <f>SUM(AP39:BL39)</f>
        <v>0</v>
      </c>
      <c r="AP39" s="193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90"/>
      <c r="BN39" s="190"/>
      <c r="BO39" s="190"/>
    </row>
    <row r="40" spans="1:71" ht="22.5" customHeight="1">
      <c r="A40" s="354"/>
      <c r="B40" s="357"/>
      <c r="C40" s="259" t="s">
        <v>85</v>
      </c>
      <c r="D40" s="227" t="s">
        <v>13</v>
      </c>
      <c r="E40" s="228">
        <f t="shared" si="48"/>
        <v>17.727272727272727</v>
      </c>
      <c r="F40" s="229" t="s">
        <v>59</v>
      </c>
      <c r="G40" s="230">
        <f t="shared" si="49"/>
        <v>6</v>
      </c>
      <c r="H40" s="359"/>
      <c r="I40" s="362"/>
      <c r="J40" s="248" t="s">
        <v>29</v>
      </c>
      <c r="K40" s="249">
        <f>$G39*K39</f>
        <v>0</v>
      </c>
      <c r="L40" s="248" t="s">
        <v>29</v>
      </c>
      <c r="M40" s="249">
        <f>$G39*M39</f>
        <v>0</v>
      </c>
      <c r="N40" s="248" t="s">
        <v>29</v>
      </c>
      <c r="O40" s="249">
        <f>$G39*O39</f>
        <v>0</v>
      </c>
      <c r="P40" s="248" t="s">
        <v>29</v>
      </c>
      <c r="Q40" s="249">
        <f>$G39*Q39</f>
        <v>0</v>
      </c>
      <c r="R40" s="248" t="s">
        <v>29</v>
      </c>
      <c r="S40" s="249">
        <f>$G39*S39</f>
        <v>0</v>
      </c>
      <c r="T40" s="248" t="s">
        <v>29</v>
      </c>
      <c r="U40" s="249">
        <f>$G39*U39</f>
        <v>0</v>
      </c>
      <c r="V40" s="248"/>
      <c r="W40" s="249">
        <f>$G39*W39</f>
        <v>0</v>
      </c>
      <c r="X40" s="248"/>
      <c r="Y40" s="249"/>
      <c r="Z40" s="248" t="s">
        <v>29</v>
      </c>
      <c r="AA40" s="249">
        <f>$G39*AA39</f>
        <v>0</v>
      </c>
      <c r="AB40" s="248" t="s">
        <v>29</v>
      </c>
      <c r="AC40" s="249">
        <f>$G39*AC39</f>
        <v>0</v>
      </c>
      <c r="AD40" s="248" t="s">
        <v>29</v>
      </c>
      <c r="AE40" s="249">
        <f>$G39*AE39</f>
        <v>0</v>
      </c>
      <c r="AF40" s="248" t="s">
        <v>29</v>
      </c>
      <c r="AG40" s="249">
        <f>$G39*AG39</f>
        <v>0</v>
      </c>
      <c r="AH40" s="393"/>
      <c r="AI40" s="329"/>
      <c r="AJ40" s="154"/>
      <c r="AK40" s="387"/>
      <c r="AL40" s="189" t="s">
        <v>13</v>
      </c>
      <c r="AM40" s="188">
        <v>19500000</v>
      </c>
      <c r="AN40" s="187" t="s">
        <v>15</v>
      </c>
      <c r="AO40" s="186">
        <f>SUM(AP40:BL40)</f>
        <v>66000000</v>
      </c>
      <c r="AP40" s="193" t="s">
        <v>86</v>
      </c>
      <c r="AQ40" s="185">
        <v>66000000</v>
      </c>
      <c r="AR40" s="185" t="s">
        <v>17</v>
      </c>
      <c r="AS40" s="185"/>
      <c r="AT40" s="185" t="s">
        <v>18</v>
      </c>
      <c r="AU40" s="185"/>
      <c r="AV40" s="185" t="s">
        <v>19</v>
      </c>
      <c r="AW40" s="185"/>
      <c r="AX40" s="185" t="s">
        <v>12</v>
      </c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4"/>
      <c r="BN40" s="184"/>
      <c r="BO40" s="184"/>
      <c r="BP40" s="15"/>
      <c r="BQ40" s="15"/>
      <c r="BR40" s="15"/>
      <c r="BS40" s="15"/>
    </row>
    <row r="41" spans="1:71" ht="22.5" customHeight="1">
      <c r="A41" s="354"/>
      <c r="B41" s="357"/>
      <c r="C41" s="259" t="s">
        <v>65</v>
      </c>
      <c r="D41" s="227" t="s">
        <v>20</v>
      </c>
      <c r="E41" s="228">
        <f t="shared" ref="E41" si="50">E39-E40</f>
        <v>160.09090909090909</v>
      </c>
      <c r="F41" s="231" t="s">
        <v>20</v>
      </c>
      <c r="G41" s="230">
        <f t="shared" ref="G41" si="51">G39-G40</f>
        <v>54</v>
      </c>
      <c r="H41" s="359"/>
      <c r="I41" s="362"/>
      <c r="J41" s="340" t="s">
        <v>22</v>
      </c>
      <c r="K41" s="342"/>
      <c r="L41" s="340" t="s">
        <v>22</v>
      </c>
      <c r="M41" s="342"/>
      <c r="N41" s="340" t="s">
        <v>22</v>
      </c>
      <c r="O41" s="342"/>
      <c r="P41" s="340" t="s">
        <v>22</v>
      </c>
      <c r="Q41" s="342"/>
      <c r="R41" s="340" t="s">
        <v>22</v>
      </c>
      <c r="S41" s="342"/>
      <c r="T41" s="340" t="s">
        <v>22</v>
      </c>
      <c r="U41" s="342" t="s">
        <v>313</v>
      </c>
      <c r="V41" s="340" t="s">
        <v>22</v>
      </c>
      <c r="W41" s="342" t="s">
        <v>313</v>
      </c>
      <c r="X41" s="340" t="s">
        <v>22</v>
      </c>
      <c r="Y41" s="342"/>
      <c r="Z41" s="340" t="s">
        <v>22</v>
      </c>
      <c r="AA41" s="342"/>
      <c r="AB41" s="340" t="s">
        <v>22</v>
      </c>
      <c r="AC41" s="342"/>
      <c r="AD41" s="340" t="s">
        <v>22</v>
      </c>
      <c r="AE41" s="342"/>
      <c r="AF41" s="340" t="s">
        <v>22</v>
      </c>
      <c r="AG41" s="342"/>
      <c r="AH41" s="394"/>
      <c r="AI41" s="329"/>
      <c r="AJ41" s="154"/>
      <c r="AK41" s="387"/>
      <c r="AL41" s="189" t="s">
        <v>20</v>
      </c>
      <c r="AM41" s="188">
        <f>AM39-AM40</f>
        <v>176100000</v>
      </c>
      <c r="AN41" s="187" t="s">
        <v>59</v>
      </c>
      <c r="AO41" s="186">
        <f>SUM(AP41:BL41)</f>
        <v>6600000</v>
      </c>
      <c r="AP41" s="191"/>
      <c r="AQ41" s="191">
        <v>6600000</v>
      </c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84"/>
      <c r="BN41" s="184"/>
      <c r="BO41" s="184"/>
      <c r="BP41" s="15"/>
      <c r="BQ41" s="15"/>
      <c r="BR41" s="15"/>
      <c r="BS41" s="15"/>
    </row>
    <row r="42" spans="1:71" ht="22.5" customHeight="1">
      <c r="A42" s="355"/>
      <c r="B42" s="104" t="s">
        <v>63</v>
      </c>
      <c r="C42" s="260" t="s">
        <v>38</v>
      </c>
      <c r="D42" s="232" t="s">
        <v>25</v>
      </c>
      <c r="E42" s="233">
        <f t="shared" ref="E42" si="52">E40/E39</f>
        <v>9.9693251533742325E-2</v>
      </c>
      <c r="F42" s="232" t="s">
        <v>60</v>
      </c>
      <c r="G42" s="233">
        <f t="shared" ref="G42" si="53">G39/E39</f>
        <v>0.33742331288343558</v>
      </c>
      <c r="H42" s="360"/>
      <c r="I42" s="363"/>
      <c r="J42" s="341"/>
      <c r="K42" s="343"/>
      <c r="L42" s="341"/>
      <c r="M42" s="343"/>
      <c r="N42" s="341"/>
      <c r="O42" s="343"/>
      <c r="P42" s="341"/>
      <c r="Q42" s="343"/>
      <c r="R42" s="341"/>
      <c r="S42" s="343"/>
      <c r="T42" s="341"/>
      <c r="U42" s="343"/>
      <c r="V42" s="341"/>
      <c r="W42" s="343"/>
      <c r="X42" s="341"/>
      <c r="Y42" s="343"/>
      <c r="Z42" s="341"/>
      <c r="AA42" s="343"/>
      <c r="AB42" s="341"/>
      <c r="AC42" s="343"/>
      <c r="AD42" s="341"/>
      <c r="AE42" s="343"/>
      <c r="AF42" s="341"/>
      <c r="AG42" s="343"/>
      <c r="AH42" s="138">
        <f>(I39-E42)*E39</f>
        <v>88.963636363636354</v>
      </c>
      <c r="AI42" s="371"/>
      <c r="AJ42" s="154"/>
      <c r="AK42" s="388"/>
      <c r="AL42" s="189"/>
      <c r="AM42" s="183">
        <f>AM40/AM39</f>
        <v>9.9693251533742325E-2</v>
      </c>
      <c r="AN42" s="182" t="s">
        <v>20</v>
      </c>
      <c r="AO42" s="181">
        <f>AO40-AO41</f>
        <v>59400000</v>
      </c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0"/>
      <c r="BN42" s="190"/>
      <c r="BO42" s="190"/>
    </row>
    <row r="43" spans="1:71" ht="22.5" customHeight="1">
      <c r="A43" s="353">
        <v>11</v>
      </c>
      <c r="B43" s="356" t="s">
        <v>138</v>
      </c>
      <c r="C43" s="258" t="s">
        <v>105</v>
      </c>
      <c r="D43" s="221" t="s">
        <v>7</v>
      </c>
      <c r="E43" s="222">
        <f t="shared" ref="E43:E44" si="54">AM43/1100000</f>
        <v>72.36</v>
      </c>
      <c r="F43" s="223" t="s">
        <v>55</v>
      </c>
      <c r="G43" s="224">
        <f t="shared" ref="G43:G44" si="55">AO44/1100000</f>
        <v>35</v>
      </c>
      <c r="H43" s="358">
        <v>0.9</v>
      </c>
      <c r="I43" s="361">
        <f>H43+K43+M43+O43+Q43+S43+U43+W43+Y43+AA43+AC43+AE43+AG43</f>
        <v>0.9</v>
      </c>
      <c r="J43" s="225" t="s">
        <v>41</v>
      </c>
      <c r="K43" s="226"/>
      <c r="L43" s="225" t="s">
        <v>41</v>
      </c>
      <c r="M43" s="226"/>
      <c r="N43" s="225" t="s">
        <v>41</v>
      </c>
      <c r="O43" s="226"/>
      <c r="P43" s="225" t="s">
        <v>41</v>
      </c>
      <c r="Q43" s="226"/>
      <c r="R43" s="225" t="s">
        <v>41</v>
      </c>
      <c r="S43" s="226"/>
      <c r="T43" s="225" t="s">
        <v>41</v>
      </c>
      <c r="U43" s="226"/>
      <c r="V43" s="225" t="s">
        <v>41</v>
      </c>
      <c r="W43" s="226"/>
      <c r="X43" s="225" t="s">
        <v>41</v>
      </c>
      <c r="Y43" s="226"/>
      <c r="Z43" s="225" t="s">
        <v>41</v>
      </c>
      <c r="AA43" s="226"/>
      <c r="AB43" s="225" t="s">
        <v>41</v>
      </c>
      <c r="AC43" s="226"/>
      <c r="AD43" s="225" t="s">
        <v>41</v>
      </c>
      <c r="AE43" s="226"/>
      <c r="AF43" s="225" t="s">
        <v>41</v>
      </c>
      <c r="AG43" s="226"/>
      <c r="AH43" s="325" t="s">
        <v>150</v>
      </c>
      <c r="AI43" s="325" t="s">
        <v>109</v>
      </c>
      <c r="AJ43" s="154"/>
      <c r="AK43" s="386" t="s">
        <v>110</v>
      </c>
      <c r="AL43" s="189" t="s">
        <v>7</v>
      </c>
      <c r="AM43" s="188">
        <v>79596000</v>
      </c>
      <c r="AN43" s="187" t="s">
        <v>9</v>
      </c>
      <c r="AO43" s="186">
        <f>SUM(AP43:BL43)</f>
        <v>0</v>
      </c>
      <c r="AP43" s="193" t="s">
        <v>10</v>
      </c>
      <c r="AQ43" s="185"/>
      <c r="AR43" s="185" t="s">
        <v>11</v>
      </c>
      <c r="AS43" s="185"/>
      <c r="AT43" s="185" t="s">
        <v>12</v>
      </c>
      <c r="AU43" s="185"/>
      <c r="AV43" s="185" t="s">
        <v>12</v>
      </c>
      <c r="AW43" s="185"/>
      <c r="AX43" s="185" t="s">
        <v>12</v>
      </c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90"/>
      <c r="BN43" s="190"/>
      <c r="BO43" s="190"/>
    </row>
    <row r="44" spans="1:71" ht="22.5" customHeight="1">
      <c r="A44" s="354"/>
      <c r="B44" s="357"/>
      <c r="C44" s="259" t="s">
        <v>106</v>
      </c>
      <c r="D44" s="227" t="s">
        <v>13</v>
      </c>
      <c r="E44" s="228">
        <f t="shared" si="54"/>
        <v>68.733636363636364</v>
      </c>
      <c r="F44" s="229" t="s">
        <v>59</v>
      </c>
      <c r="G44" s="230">
        <f t="shared" si="55"/>
        <v>31.5</v>
      </c>
      <c r="H44" s="359"/>
      <c r="I44" s="362"/>
      <c r="J44" s="248" t="s">
        <v>29</v>
      </c>
      <c r="K44" s="249">
        <f>$G43*K43</f>
        <v>0</v>
      </c>
      <c r="L44" s="248" t="s">
        <v>29</v>
      </c>
      <c r="M44" s="249">
        <f>$G43*M43</f>
        <v>0</v>
      </c>
      <c r="N44" s="248" t="s">
        <v>29</v>
      </c>
      <c r="O44" s="249">
        <f>$G43*O43</f>
        <v>0</v>
      </c>
      <c r="P44" s="248" t="s">
        <v>29</v>
      </c>
      <c r="Q44" s="249">
        <f>$G43*Q43</f>
        <v>0</v>
      </c>
      <c r="R44" s="248" t="s">
        <v>29</v>
      </c>
      <c r="S44" s="249">
        <f>$G43*S43</f>
        <v>0</v>
      </c>
      <c r="T44" s="248" t="s">
        <v>29</v>
      </c>
      <c r="U44" s="249">
        <f>$G43*U43</f>
        <v>0</v>
      </c>
      <c r="V44" s="248"/>
      <c r="W44" s="249">
        <f>$G43*W43</f>
        <v>0</v>
      </c>
      <c r="X44" s="248"/>
      <c r="Y44" s="249"/>
      <c r="Z44" s="248" t="s">
        <v>29</v>
      </c>
      <c r="AA44" s="249">
        <f>$G43*AA43</f>
        <v>0</v>
      </c>
      <c r="AB44" s="248" t="s">
        <v>29</v>
      </c>
      <c r="AC44" s="249">
        <f>$G43*AC43</f>
        <v>0</v>
      </c>
      <c r="AD44" s="248" t="s">
        <v>29</v>
      </c>
      <c r="AE44" s="249">
        <f>$G43*AE43</f>
        <v>0</v>
      </c>
      <c r="AF44" s="248" t="s">
        <v>29</v>
      </c>
      <c r="AG44" s="249">
        <f>$G43*AG43</f>
        <v>0</v>
      </c>
      <c r="AH44" s="329"/>
      <c r="AI44" s="329"/>
      <c r="AJ44" s="154"/>
      <c r="AK44" s="387"/>
      <c r="AL44" s="189" t="s">
        <v>13</v>
      </c>
      <c r="AM44" s="188">
        <v>75607000</v>
      </c>
      <c r="AN44" s="187" t="s">
        <v>15</v>
      </c>
      <c r="AO44" s="186">
        <f>SUM(AP44:BL44)</f>
        <v>38500000</v>
      </c>
      <c r="AP44" s="193" t="s">
        <v>17</v>
      </c>
      <c r="AQ44" s="185">
        <v>38500000</v>
      </c>
      <c r="AR44" s="185" t="s">
        <v>111</v>
      </c>
      <c r="AS44" s="185"/>
      <c r="AT44" s="185" t="s">
        <v>18</v>
      </c>
      <c r="AU44" s="185"/>
      <c r="AV44" s="185" t="s">
        <v>19</v>
      </c>
      <c r="AW44" s="185"/>
      <c r="AX44" s="185" t="s">
        <v>12</v>
      </c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4"/>
      <c r="BN44" s="184"/>
      <c r="BO44" s="184"/>
      <c r="BP44" s="15"/>
      <c r="BQ44" s="15"/>
      <c r="BR44" s="15"/>
      <c r="BS44" s="15"/>
    </row>
    <row r="45" spans="1:71" ht="22.5" customHeight="1">
      <c r="A45" s="354"/>
      <c r="B45" s="357"/>
      <c r="C45" s="259" t="s">
        <v>107</v>
      </c>
      <c r="D45" s="227" t="s">
        <v>20</v>
      </c>
      <c r="E45" s="228">
        <f t="shared" ref="E45" si="56">E43-E44</f>
        <v>3.6263636363636351</v>
      </c>
      <c r="F45" s="231" t="s">
        <v>20</v>
      </c>
      <c r="G45" s="230">
        <f t="shared" ref="G45" si="57">G43-G44</f>
        <v>3.5</v>
      </c>
      <c r="H45" s="359"/>
      <c r="I45" s="362"/>
      <c r="J45" s="340" t="s">
        <v>22</v>
      </c>
      <c r="K45" s="342"/>
      <c r="L45" s="340" t="s">
        <v>22</v>
      </c>
      <c r="M45" s="342"/>
      <c r="N45" s="340" t="s">
        <v>22</v>
      </c>
      <c r="O45" s="342"/>
      <c r="P45" s="340" t="s">
        <v>22</v>
      </c>
      <c r="Q45" s="342"/>
      <c r="R45" s="340" t="s">
        <v>22</v>
      </c>
      <c r="S45" s="342"/>
      <c r="T45" s="340" t="s">
        <v>22</v>
      </c>
      <c r="U45" s="342" t="s">
        <v>313</v>
      </c>
      <c r="V45" s="340" t="s">
        <v>22</v>
      </c>
      <c r="W45" s="342" t="s">
        <v>313</v>
      </c>
      <c r="X45" s="340" t="s">
        <v>22</v>
      </c>
      <c r="Y45" s="342"/>
      <c r="Z45" s="340" t="s">
        <v>22</v>
      </c>
      <c r="AA45" s="342"/>
      <c r="AB45" s="340" t="s">
        <v>22</v>
      </c>
      <c r="AC45" s="342"/>
      <c r="AD45" s="340" t="s">
        <v>22</v>
      </c>
      <c r="AE45" s="342"/>
      <c r="AF45" s="340" t="s">
        <v>22</v>
      </c>
      <c r="AG45" s="342"/>
      <c r="AH45" s="371"/>
      <c r="AI45" s="329"/>
      <c r="AJ45" s="154"/>
      <c r="AK45" s="387"/>
      <c r="AL45" s="189" t="s">
        <v>20</v>
      </c>
      <c r="AM45" s="188">
        <f>AM43-AM44</f>
        <v>3989000</v>
      </c>
      <c r="AN45" s="187" t="s">
        <v>59</v>
      </c>
      <c r="AO45" s="186">
        <f>SUM(AP45:BL45)</f>
        <v>34650000</v>
      </c>
      <c r="AP45" s="191"/>
      <c r="AQ45" s="191">
        <v>34650000</v>
      </c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84"/>
      <c r="BN45" s="184"/>
      <c r="BO45" s="184"/>
      <c r="BP45" s="15"/>
      <c r="BQ45" s="15"/>
      <c r="BR45" s="15"/>
      <c r="BS45" s="15"/>
    </row>
    <row r="46" spans="1:71" ht="22.5" customHeight="1">
      <c r="A46" s="355"/>
      <c r="B46" s="104" t="s">
        <v>104</v>
      </c>
      <c r="C46" s="260" t="s">
        <v>108</v>
      </c>
      <c r="D46" s="232" t="s">
        <v>25</v>
      </c>
      <c r="E46" s="233">
        <f t="shared" ref="E46" si="58">E44/E43</f>
        <v>0.94988441630232678</v>
      </c>
      <c r="F46" s="232" t="s">
        <v>60</v>
      </c>
      <c r="G46" s="233">
        <f t="shared" ref="G46" si="59">G43/E43</f>
        <v>0.48369264787175237</v>
      </c>
      <c r="H46" s="360"/>
      <c r="I46" s="363"/>
      <c r="J46" s="341"/>
      <c r="K46" s="343"/>
      <c r="L46" s="341"/>
      <c r="M46" s="343"/>
      <c r="N46" s="341"/>
      <c r="O46" s="343"/>
      <c r="P46" s="341"/>
      <c r="Q46" s="343"/>
      <c r="R46" s="341"/>
      <c r="S46" s="343"/>
      <c r="T46" s="341"/>
      <c r="U46" s="343"/>
      <c r="V46" s="341"/>
      <c r="W46" s="343"/>
      <c r="X46" s="341"/>
      <c r="Y46" s="343"/>
      <c r="Z46" s="341"/>
      <c r="AA46" s="343"/>
      <c r="AB46" s="341"/>
      <c r="AC46" s="343"/>
      <c r="AD46" s="341"/>
      <c r="AE46" s="343"/>
      <c r="AF46" s="341"/>
      <c r="AG46" s="343"/>
      <c r="AH46" s="138">
        <f>(I43-E46)*E43</f>
        <v>-3.6096363636363646</v>
      </c>
      <c r="AI46" s="371"/>
      <c r="AJ46" s="154"/>
      <c r="AK46" s="388"/>
      <c r="AL46" s="189"/>
      <c r="AM46" s="183">
        <f>AM44/AM43</f>
        <v>0.94988441630232678</v>
      </c>
      <c r="AN46" s="182" t="s">
        <v>20</v>
      </c>
      <c r="AO46" s="181">
        <f>AO44-AO45</f>
        <v>3850000</v>
      </c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0"/>
      <c r="BN46" s="190"/>
      <c r="BO46" s="190"/>
    </row>
    <row r="47" spans="1:71" ht="22.5" customHeight="1">
      <c r="A47" s="353">
        <v>12</v>
      </c>
      <c r="B47" s="356" t="s">
        <v>172</v>
      </c>
      <c r="C47" s="258" t="s">
        <v>208</v>
      </c>
      <c r="D47" s="221" t="s">
        <v>7</v>
      </c>
      <c r="E47" s="222">
        <f t="shared" ref="E47:E48" si="60">AM47/1100000</f>
        <v>17.836363636363636</v>
      </c>
      <c r="F47" s="223" t="s">
        <v>55</v>
      </c>
      <c r="G47" s="224">
        <f t="shared" ref="G47" si="61">AO48/1100000</f>
        <v>8.1818181818181817</v>
      </c>
      <c r="H47" s="358">
        <v>0.9</v>
      </c>
      <c r="I47" s="361">
        <f>H47+K47+M47+O47+Q47+S47+U47+W47+Y47+AA47+AC47+AE47+AG47</f>
        <v>1</v>
      </c>
      <c r="J47" s="225" t="s">
        <v>41</v>
      </c>
      <c r="K47" s="226"/>
      <c r="L47" s="225" t="s">
        <v>41</v>
      </c>
      <c r="M47" s="226"/>
      <c r="N47" s="225" t="s">
        <v>41</v>
      </c>
      <c r="O47" s="226"/>
      <c r="P47" s="225" t="s">
        <v>41</v>
      </c>
      <c r="Q47" s="226"/>
      <c r="R47" s="225" t="s">
        <v>41</v>
      </c>
      <c r="S47" s="226">
        <v>0.1</v>
      </c>
      <c r="T47" s="225" t="s">
        <v>41</v>
      </c>
      <c r="U47" s="226"/>
      <c r="V47" s="225" t="s">
        <v>41</v>
      </c>
      <c r="W47" s="226"/>
      <c r="X47" s="225" t="s">
        <v>41</v>
      </c>
      <c r="Y47" s="226"/>
      <c r="Z47" s="225" t="s">
        <v>41</v>
      </c>
      <c r="AA47" s="226"/>
      <c r="AB47" s="225" t="s">
        <v>41</v>
      </c>
      <c r="AC47" s="226"/>
      <c r="AD47" s="225" t="s">
        <v>41</v>
      </c>
      <c r="AE47" s="226"/>
      <c r="AF47" s="225" t="s">
        <v>41</v>
      </c>
      <c r="AG47" s="226"/>
      <c r="AH47" s="325" t="s">
        <v>152</v>
      </c>
      <c r="AI47" s="325" t="s">
        <v>200</v>
      </c>
      <c r="AJ47" s="154"/>
      <c r="AK47" s="386" t="s">
        <v>110</v>
      </c>
      <c r="AL47" s="189" t="s">
        <v>7</v>
      </c>
      <c r="AM47" s="188">
        <v>19620000</v>
      </c>
      <c r="AN47" s="187" t="s">
        <v>9</v>
      </c>
      <c r="AO47" s="186">
        <f>SUM(AP47:BL47)</f>
        <v>0</v>
      </c>
      <c r="AP47" s="193" t="s">
        <v>10</v>
      </c>
      <c r="AQ47" s="185"/>
      <c r="AR47" s="185" t="s">
        <v>11</v>
      </c>
      <c r="AS47" s="185"/>
      <c r="AT47" s="185" t="s">
        <v>12</v>
      </c>
      <c r="AU47" s="185"/>
      <c r="AV47" s="185" t="s">
        <v>12</v>
      </c>
      <c r="AW47" s="185"/>
      <c r="AX47" s="185" t="s">
        <v>12</v>
      </c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90"/>
      <c r="BN47" s="190"/>
      <c r="BO47" s="190"/>
    </row>
    <row r="48" spans="1:71" ht="22.5" customHeight="1">
      <c r="A48" s="354"/>
      <c r="B48" s="357"/>
      <c r="C48" s="259" t="s">
        <v>209</v>
      </c>
      <c r="D48" s="227" t="s">
        <v>13</v>
      </c>
      <c r="E48" s="228">
        <f t="shared" si="60"/>
        <v>17.836363636363636</v>
      </c>
      <c r="F48" s="229" t="s">
        <v>59</v>
      </c>
      <c r="G48" s="230">
        <f>AO49/1000000</f>
        <v>4.5</v>
      </c>
      <c r="H48" s="359"/>
      <c r="I48" s="362"/>
      <c r="J48" s="248" t="s">
        <v>29</v>
      </c>
      <c r="K48" s="249">
        <f>$G47*K47</f>
        <v>0</v>
      </c>
      <c r="L48" s="248" t="s">
        <v>29</v>
      </c>
      <c r="M48" s="249">
        <f>$G47*M47</f>
        <v>0</v>
      </c>
      <c r="N48" s="248" t="s">
        <v>29</v>
      </c>
      <c r="O48" s="249">
        <f>$G47*O47</f>
        <v>0</v>
      </c>
      <c r="P48" s="248" t="s">
        <v>29</v>
      </c>
      <c r="Q48" s="249">
        <f>$G47*Q47</f>
        <v>0</v>
      </c>
      <c r="R48" s="248" t="s">
        <v>29</v>
      </c>
      <c r="S48" s="249">
        <f>$G47*S47</f>
        <v>0.81818181818181823</v>
      </c>
      <c r="T48" s="248" t="s">
        <v>29</v>
      </c>
      <c r="U48" s="249">
        <f>$G47*U47</f>
        <v>0</v>
      </c>
      <c r="V48" s="248"/>
      <c r="W48" s="249">
        <f>$G47*W47</f>
        <v>0</v>
      </c>
      <c r="X48" s="248"/>
      <c r="Y48" s="249"/>
      <c r="Z48" s="248" t="s">
        <v>29</v>
      </c>
      <c r="AA48" s="249">
        <f>$G47*AA47</f>
        <v>0</v>
      </c>
      <c r="AB48" s="248" t="s">
        <v>29</v>
      </c>
      <c r="AC48" s="249">
        <f>$G47*AC47</f>
        <v>0</v>
      </c>
      <c r="AD48" s="248" t="s">
        <v>29</v>
      </c>
      <c r="AE48" s="249">
        <f>$G47*AE47</f>
        <v>0</v>
      </c>
      <c r="AF48" s="248" t="s">
        <v>29</v>
      </c>
      <c r="AG48" s="249">
        <f>$G47*AG47</f>
        <v>0</v>
      </c>
      <c r="AH48" s="329"/>
      <c r="AI48" s="329"/>
      <c r="AJ48" s="154"/>
      <c r="AK48" s="387"/>
      <c r="AL48" s="189" t="s">
        <v>13</v>
      </c>
      <c r="AM48" s="188">
        <f>AM47</f>
        <v>19620000</v>
      </c>
      <c r="AN48" s="187" t="s">
        <v>15</v>
      </c>
      <c r="AO48" s="186">
        <f>SUM(AP48:BL48)</f>
        <v>9000000</v>
      </c>
      <c r="AP48" s="193" t="s">
        <v>132</v>
      </c>
      <c r="AQ48" s="185">
        <v>9000000</v>
      </c>
      <c r="AR48" s="185" t="s">
        <v>111</v>
      </c>
      <c r="AS48" s="185"/>
      <c r="AT48" s="185" t="s">
        <v>18</v>
      </c>
      <c r="AU48" s="185"/>
      <c r="AV48" s="185" t="s">
        <v>19</v>
      </c>
      <c r="AW48" s="185"/>
      <c r="AX48" s="185" t="s">
        <v>12</v>
      </c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4"/>
      <c r="BN48" s="184"/>
      <c r="BO48" s="184"/>
      <c r="BP48" s="15"/>
      <c r="BQ48" s="15"/>
      <c r="BR48" s="15"/>
      <c r="BS48" s="15"/>
    </row>
    <row r="49" spans="1:71" ht="22.5" customHeight="1">
      <c r="A49" s="354"/>
      <c r="B49" s="357"/>
      <c r="C49" s="259" t="s">
        <v>37</v>
      </c>
      <c r="D49" s="227" t="s">
        <v>20</v>
      </c>
      <c r="E49" s="228">
        <f t="shared" ref="E49" si="62">E47-E48</f>
        <v>0</v>
      </c>
      <c r="F49" s="231" t="s">
        <v>20</v>
      </c>
      <c r="G49" s="230">
        <f t="shared" ref="G49" si="63">G47-G48</f>
        <v>3.6818181818181817</v>
      </c>
      <c r="H49" s="359"/>
      <c r="I49" s="362"/>
      <c r="J49" s="340" t="s">
        <v>22</v>
      </c>
      <c r="K49" s="342"/>
      <c r="L49" s="340" t="s">
        <v>22</v>
      </c>
      <c r="M49" s="342"/>
      <c r="N49" s="340" t="s">
        <v>22</v>
      </c>
      <c r="O49" s="342"/>
      <c r="P49" s="340" t="s">
        <v>22</v>
      </c>
      <c r="Q49" s="342"/>
      <c r="R49" s="340" t="s">
        <v>22</v>
      </c>
      <c r="S49" s="342"/>
      <c r="T49" s="340" t="s">
        <v>22</v>
      </c>
      <c r="U49" s="342" t="s">
        <v>312</v>
      </c>
      <c r="V49" s="340" t="s">
        <v>22</v>
      </c>
      <c r="W49" s="342" t="s">
        <v>312</v>
      </c>
      <c r="X49" s="340" t="s">
        <v>22</v>
      </c>
      <c r="Y49" s="342"/>
      <c r="Z49" s="340" t="s">
        <v>22</v>
      </c>
      <c r="AA49" s="342"/>
      <c r="AB49" s="340" t="s">
        <v>22</v>
      </c>
      <c r="AC49" s="342"/>
      <c r="AD49" s="340" t="s">
        <v>22</v>
      </c>
      <c r="AE49" s="342"/>
      <c r="AF49" s="340" t="s">
        <v>22</v>
      </c>
      <c r="AG49" s="342"/>
      <c r="AH49" s="371"/>
      <c r="AI49" s="329"/>
      <c r="AJ49" s="154"/>
      <c r="AK49" s="387"/>
      <c r="AL49" s="189" t="s">
        <v>20</v>
      </c>
      <c r="AM49" s="188">
        <f>AM47-AM48</f>
        <v>0</v>
      </c>
      <c r="AN49" s="187" t="s">
        <v>59</v>
      </c>
      <c r="AO49" s="186">
        <f>SUM(AP49:BL49)</f>
        <v>4500000</v>
      </c>
      <c r="AP49" s="191"/>
      <c r="AQ49" s="191">
        <v>4500000</v>
      </c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84"/>
      <c r="BN49" s="184"/>
      <c r="BO49" s="184"/>
      <c r="BP49" s="15"/>
      <c r="BQ49" s="15"/>
      <c r="BR49" s="15"/>
      <c r="BS49" s="15"/>
    </row>
    <row r="50" spans="1:71" ht="22.5" customHeight="1">
      <c r="A50" s="355"/>
      <c r="B50" s="104" t="s">
        <v>133</v>
      </c>
      <c r="C50" s="260" t="s">
        <v>38</v>
      </c>
      <c r="D50" s="232" t="s">
        <v>25</v>
      </c>
      <c r="E50" s="233">
        <f t="shared" ref="E50" si="64">E48/E47</f>
        <v>1</v>
      </c>
      <c r="F50" s="232" t="s">
        <v>60</v>
      </c>
      <c r="G50" s="233">
        <f t="shared" ref="G50" si="65">G47/E47</f>
        <v>0.45871559633027525</v>
      </c>
      <c r="H50" s="360"/>
      <c r="I50" s="363"/>
      <c r="J50" s="341"/>
      <c r="K50" s="343"/>
      <c r="L50" s="341"/>
      <c r="M50" s="343"/>
      <c r="N50" s="341"/>
      <c r="O50" s="343"/>
      <c r="P50" s="341"/>
      <c r="Q50" s="343"/>
      <c r="R50" s="341"/>
      <c r="S50" s="343"/>
      <c r="T50" s="341"/>
      <c r="U50" s="343"/>
      <c r="V50" s="341"/>
      <c r="W50" s="343"/>
      <c r="X50" s="341"/>
      <c r="Y50" s="343"/>
      <c r="Z50" s="341"/>
      <c r="AA50" s="343"/>
      <c r="AB50" s="341"/>
      <c r="AC50" s="343"/>
      <c r="AD50" s="341"/>
      <c r="AE50" s="343"/>
      <c r="AF50" s="341"/>
      <c r="AG50" s="343"/>
      <c r="AH50" s="138">
        <f>(I47-E50)*E47</f>
        <v>0</v>
      </c>
      <c r="AI50" s="371"/>
      <c r="AJ50" s="154"/>
      <c r="AK50" s="388"/>
      <c r="AL50" s="189"/>
      <c r="AM50" s="183">
        <f>AM48/AM47</f>
        <v>1</v>
      </c>
      <c r="AN50" s="182" t="s">
        <v>20</v>
      </c>
      <c r="AO50" s="181">
        <f>AO48-AO49</f>
        <v>4500000</v>
      </c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0"/>
      <c r="BN50" s="190"/>
      <c r="BO50" s="190"/>
    </row>
    <row r="51" spans="1:71" ht="22.5" customHeight="1">
      <c r="A51" s="353">
        <v>13</v>
      </c>
      <c r="B51" s="356" t="s">
        <v>126</v>
      </c>
      <c r="C51" s="258" t="s">
        <v>128</v>
      </c>
      <c r="D51" s="221" t="s">
        <v>7</v>
      </c>
      <c r="E51" s="222">
        <f t="shared" ref="E51:E52" si="66">AM51/1100000</f>
        <v>9.0909090909090917</v>
      </c>
      <c r="F51" s="223" t="s">
        <v>55</v>
      </c>
      <c r="G51" s="224">
        <f t="shared" ref="G51" si="67">AO52/1100000</f>
        <v>5</v>
      </c>
      <c r="H51" s="358"/>
      <c r="I51" s="361">
        <v>1</v>
      </c>
      <c r="J51" s="225" t="s">
        <v>41</v>
      </c>
      <c r="K51" s="226"/>
      <c r="L51" s="225" t="s">
        <v>41</v>
      </c>
      <c r="M51" s="226"/>
      <c r="N51" s="225" t="s">
        <v>41</v>
      </c>
      <c r="O51" s="226"/>
      <c r="P51" s="225" t="s">
        <v>41</v>
      </c>
      <c r="Q51" s="226"/>
      <c r="R51" s="225" t="s">
        <v>41</v>
      </c>
      <c r="S51" s="226"/>
      <c r="T51" s="225" t="s">
        <v>41</v>
      </c>
      <c r="U51" s="226">
        <v>0.25</v>
      </c>
      <c r="V51" s="225" t="s">
        <v>41</v>
      </c>
      <c r="W51" s="226">
        <f>수행과업!W52</f>
        <v>0.25</v>
      </c>
      <c r="X51" s="225" t="s">
        <v>41</v>
      </c>
      <c r="Y51" s="226"/>
      <c r="Z51" s="225" t="s">
        <v>41</v>
      </c>
      <c r="AA51" s="226"/>
      <c r="AB51" s="225" t="s">
        <v>41</v>
      </c>
      <c r="AC51" s="226"/>
      <c r="AD51" s="225" t="s">
        <v>41</v>
      </c>
      <c r="AE51" s="226"/>
      <c r="AF51" s="225" t="s">
        <v>41</v>
      </c>
      <c r="AG51" s="226"/>
      <c r="AH51" s="325" t="s">
        <v>152</v>
      </c>
      <c r="AI51" s="325" t="s">
        <v>130</v>
      </c>
      <c r="AJ51" s="154"/>
      <c r="AK51" s="386" t="s">
        <v>131</v>
      </c>
      <c r="AL51" s="189" t="s">
        <v>7</v>
      </c>
      <c r="AM51" s="188">
        <v>10000000</v>
      </c>
      <c r="AN51" s="187" t="s">
        <v>9</v>
      </c>
      <c r="AO51" s="186">
        <f>SUM(AP51:BL51)</f>
        <v>0</v>
      </c>
      <c r="AP51" s="193" t="s">
        <v>10</v>
      </c>
      <c r="AQ51" s="185"/>
      <c r="AR51" s="185" t="s">
        <v>11</v>
      </c>
      <c r="AS51" s="185"/>
      <c r="AT51" s="185" t="s">
        <v>12</v>
      </c>
      <c r="AU51" s="185"/>
      <c r="AV51" s="185" t="s">
        <v>12</v>
      </c>
      <c r="AW51" s="185"/>
      <c r="AX51" s="185" t="s">
        <v>12</v>
      </c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90"/>
      <c r="BN51" s="190"/>
      <c r="BO51" s="190"/>
    </row>
    <row r="52" spans="1:71" ht="22.5" customHeight="1">
      <c r="A52" s="354"/>
      <c r="B52" s="357"/>
      <c r="C52" s="259" t="s">
        <v>129</v>
      </c>
      <c r="D52" s="227" t="s">
        <v>13</v>
      </c>
      <c r="E52" s="228">
        <f t="shared" si="66"/>
        <v>0</v>
      </c>
      <c r="F52" s="229" t="s">
        <v>59</v>
      </c>
      <c r="G52" s="230">
        <f>AO53/1000000</f>
        <v>1.65</v>
      </c>
      <c r="H52" s="359"/>
      <c r="I52" s="362"/>
      <c r="J52" s="248" t="s">
        <v>29</v>
      </c>
      <c r="K52" s="249">
        <f>$G51*K51</f>
        <v>0</v>
      </c>
      <c r="L52" s="248" t="s">
        <v>29</v>
      </c>
      <c r="M52" s="249">
        <f>$G51*M51</f>
        <v>0</v>
      </c>
      <c r="N52" s="248" t="s">
        <v>29</v>
      </c>
      <c r="O52" s="249">
        <f>$G51*O51</f>
        <v>0</v>
      </c>
      <c r="P52" s="248" t="s">
        <v>29</v>
      </c>
      <c r="Q52" s="249">
        <f>$G51*Q51</f>
        <v>0</v>
      </c>
      <c r="R52" s="248" t="s">
        <v>29</v>
      </c>
      <c r="S52" s="249">
        <f>$G51*S51</f>
        <v>0</v>
      </c>
      <c r="T52" s="248" t="s">
        <v>29</v>
      </c>
      <c r="U52" s="249">
        <f>$G51*U51</f>
        <v>1.25</v>
      </c>
      <c r="V52" s="248"/>
      <c r="W52" s="249">
        <f>$G51*W51</f>
        <v>1.25</v>
      </c>
      <c r="X52" s="248"/>
      <c r="Y52" s="249"/>
      <c r="Z52" s="248" t="s">
        <v>29</v>
      </c>
      <c r="AA52" s="249">
        <f>$G51*AA51</f>
        <v>0</v>
      </c>
      <c r="AB52" s="248" t="s">
        <v>29</v>
      </c>
      <c r="AC52" s="249">
        <f>$G51*AC51</f>
        <v>0</v>
      </c>
      <c r="AD52" s="248" t="s">
        <v>29</v>
      </c>
      <c r="AE52" s="249">
        <f>$G51*AE51</f>
        <v>0</v>
      </c>
      <c r="AF52" s="248" t="s">
        <v>29</v>
      </c>
      <c r="AG52" s="249">
        <f>$G51*AG51</f>
        <v>0</v>
      </c>
      <c r="AH52" s="329"/>
      <c r="AI52" s="329"/>
      <c r="AJ52" s="154"/>
      <c r="AK52" s="387"/>
      <c r="AL52" s="189" t="s">
        <v>13</v>
      </c>
      <c r="AM52" s="188"/>
      <c r="AN52" s="187" t="s">
        <v>15</v>
      </c>
      <c r="AO52" s="186">
        <f>SUM(AP52:BL52)</f>
        <v>5500000</v>
      </c>
      <c r="AP52" s="134" t="s">
        <v>132</v>
      </c>
      <c r="AQ52" s="185">
        <v>5500000</v>
      </c>
      <c r="AR52" s="185" t="s">
        <v>111</v>
      </c>
      <c r="AS52" s="185"/>
      <c r="AT52" s="185" t="s">
        <v>18</v>
      </c>
      <c r="AU52" s="185"/>
      <c r="AV52" s="185" t="s">
        <v>19</v>
      </c>
      <c r="AW52" s="185"/>
      <c r="AX52" s="185" t="s">
        <v>12</v>
      </c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4"/>
      <c r="BN52" s="184"/>
      <c r="BO52" s="184"/>
      <c r="BP52" s="15"/>
      <c r="BQ52" s="15"/>
      <c r="BR52" s="15"/>
      <c r="BS52" s="15"/>
    </row>
    <row r="53" spans="1:71" ht="22.5" customHeight="1">
      <c r="A53" s="354"/>
      <c r="B53" s="357"/>
      <c r="C53" s="259" t="s">
        <v>37</v>
      </c>
      <c r="D53" s="227" t="s">
        <v>20</v>
      </c>
      <c r="E53" s="228">
        <f t="shared" ref="E53" si="68">E51-E52</f>
        <v>9.0909090909090917</v>
      </c>
      <c r="F53" s="231" t="s">
        <v>20</v>
      </c>
      <c r="G53" s="230">
        <f t="shared" ref="G53" si="69">G51-G52</f>
        <v>3.35</v>
      </c>
      <c r="H53" s="359"/>
      <c r="I53" s="362"/>
      <c r="J53" s="340" t="s">
        <v>22</v>
      </c>
      <c r="K53" s="342"/>
      <c r="L53" s="340" t="s">
        <v>22</v>
      </c>
      <c r="M53" s="342"/>
      <c r="N53" s="340" t="s">
        <v>22</v>
      </c>
      <c r="O53" s="342"/>
      <c r="P53" s="340" t="s">
        <v>22</v>
      </c>
      <c r="Q53" s="342"/>
      <c r="R53" s="340" t="s">
        <v>22</v>
      </c>
      <c r="S53" s="342"/>
      <c r="T53" s="340" t="s">
        <v>22</v>
      </c>
      <c r="U53" s="342" t="str">
        <f>수행과업!U54</f>
        <v>보고서 작성</v>
      </c>
      <c r="V53" s="340" t="s">
        <v>22</v>
      </c>
      <c r="W53" s="342" t="str">
        <f>수행과업!W54</f>
        <v>보고서 작성</v>
      </c>
      <c r="X53" s="340" t="s">
        <v>22</v>
      </c>
      <c r="Y53" s="342"/>
      <c r="Z53" s="340" t="s">
        <v>22</v>
      </c>
      <c r="AA53" s="342"/>
      <c r="AB53" s="340" t="s">
        <v>22</v>
      </c>
      <c r="AC53" s="342"/>
      <c r="AD53" s="340" t="s">
        <v>22</v>
      </c>
      <c r="AE53" s="342"/>
      <c r="AF53" s="340" t="s">
        <v>22</v>
      </c>
      <c r="AG53" s="342"/>
      <c r="AH53" s="371"/>
      <c r="AI53" s="329"/>
      <c r="AJ53" s="154"/>
      <c r="AK53" s="387"/>
      <c r="AL53" s="189" t="s">
        <v>20</v>
      </c>
      <c r="AM53" s="188">
        <f>AM51-AM52</f>
        <v>10000000</v>
      </c>
      <c r="AN53" s="187" t="s">
        <v>59</v>
      </c>
      <c r="AO53" s="186">
        <f>SUM(AP53:BL53)</f>
        <v>1650000</v>
      </c>
      <c r="AP53" s="191"/>
      <c r="AQ53" s="191">
        <v>1650000</v>
      </c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84"/>
      <c r="BN53" s="184"/>
      <c r="BO53" s="184"/>
      <c r="BP53" s="15"/>
      <c r="BQ53" s="15"/>
      <c r="BR53" s="15"/>
      <c r="BS53" s="15"/>
    </row>
    <row r="54" spans="1:71" ht="22.5" customHeight="1">
      <c r="A54" s="355"/>
      <c r="B54" s="104" t="s">
        <v>127</v>
      </c>
      <c r="C54" s="260" t="s">
        <v>38</v>
      </c>
      <c r="D54" s="232" t="s">
        <v>25</v>
      </c>
      <c r="E54" s="233">
        <f t="shared" ref="E54" si="70">E52/E51</f>
        <v>0</v>
      </c>
      <c r="F54" s="232" t="s">
        <v>60</v>
      </c>
      <c r="G54" s="233">
        <f t="shared" ref="G54" si="71">G51/E51</f>
        <v>0.54999999999999993</v>
      </c>
      <c r="H54" s="360"/>
      <c r="I54" s="363"/>
      <c r="J54" s="341"/>
      <c r="K54" s="343"/>
      <c r="L54" s="341"/>
      <c r="M54" s="343"/>
      <c r="N54" s="341"/>
      <c r="O54" s="343"/>
      <c r="P54" s="341"/>
      <c r="Q54" s="343"/>
      <c r="R54" s="341"/>
      <c r="S54" s="343"/>
      <c r="T54" s="341"/>
      <c r="U54" s="343"/>
      <c r="V54" s="341"/>
      <c r="W54" s="343"/>
      <c r="X54" s="341"/>
      <c r="Y54" s="343"/>
      <c r="Z54" s="341"/>
      <c r="AA54" s="343"/>
      <c r="AB54" s="341"/>
      <c r="AC54" s="343"/>
      <c r="AD54" s="341"/>
      <c r="AE54" s="343"/>
      <c r="AF54" s="341"/>
      <c r="AG54" s="343"/>
      <c r="AH54" s="138">
        <f>(I51-E54)*E51</f>
        <v>9.0909090909090917</v>
      </c>
      <c r="AI54" s="371"/>
      <c r="AJ54" s="154"/>
      <c r="AK54" s="388"/>
      <c r="AL54" s="189"/>
      <c r="AM54" s="183">
        <f>AM52/AM51</f>
        <v>0</v>
      </c>
      <c r="AN54" s="182" t="s">
        <v>20</v>
      </c>
      <c r="AO54" s="181">
        <f>AO52-AO53</f>
        <v>3850000</v>
      </c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0"/>
      <c r="BN54" s="190"/>
      <c r="BO54" s="190"/>
    </row>
    <row r="55" spans="1:71" ht="22.5" customHeight="1">
      <c r="A55" s="353">
        <v>14</v>
      </c>
      <c r="B55" s="356" t="s">
        <v>173</v>
      </c>
      <c r="C55" s="258" t="s">
        <v>128</v>
      </c>
      <c r="D55" s="221" t="s">
        <v>7</v>
      </c>
      <c r="E55" s="222">
        <f t="shared" ref="E55:E56" si="72">AM55/1100000</f>
        <v>116.205</v>
      </c>
      <c r="F55" s="223" t="s">
        <v>55</v>
      </c>
      <c r="G55" s="224">
        <f t="shared" ref="G55:G56" si="73">AO56/1100000</f>
        <v>38</v>
      </c>
      <c r="H55" s="358"/>
      <c r="I55" s="361">
        <f>H55+K55+M55+O55+Q55+S55+U55+W55+Y55+AA55+AC55+AE55+AG55</f>
        <v>0.5</v>
      </c>
      <c r="J55" s="225" t="s">
        <v>41</v>
      </c>
      <c r="K55" s="226"/>
      <c r="L55" s="225" t="s">
        <v>41</v>
      </c>
      <c r="M55" s="226"/>
      <c r="N55" s="225" t="s">
        <v>41</v>
      </c>
      <c r="O55" s="226"/>
      <c r="P55" s="225" t="s">
        <v>41</v>
      </c>
      <c r="Q55" s="226">
        <v>0.2</v>
      </c>
      <c r="R55" s="225" t="s">
        <v>41</v>
      </c>
      <c r="S55" s="226"/>
      <c r="T55" s="225" t="s">
        <v>41</v>
      </c>
      <c r="U55" s="226">
        <v>0.1</v>
      </c>
      <c r="V55" s="225" t="s">
        <v>41</v>
      </c>
      <c r="W55" s="226">
        <f>수행과업!W28</f>
        <v>0.1</v>
      </c>
      <c r="X55" s="225" t="s">
        <v>41</v>
      </c>
      <c r="Y55" s="226">
        <f>수행과업!Y28</f>
        <v>0.1</v>
      </c>
      <c r="Z55" s="225" t="s">
        <v>41</v>
      </c>
      <c r="AA55" s="226"/>
      <c r="AB55" s="225" t="s">
        <v>41</v>
      </c>
      <c r="AC55" s="226"/>
      <c r="AD55" s="225" t="s">
        <v>41</v>
      </c>
      <c r="AE55" s="226"/>
      <c r="AF55" s="225" t="s">
        <v>41</v>
      </c>
      <c r="AG55" s="226"/>
      <c r="AH55" s="325" t="s">
        <v>174</v>
      </c>
      <c r="AI55" s="325" t="s">
        <v>102</v>
      </c>
      <c r="AJ55" s="154"/>
      <c r="AK55" s="386" t="s">
        <v>131</v>
      </c>
      <c r="AL55" s="189" t="s">
        <v>7</v>
      </c>
      <c r="AM55" s="188">
        <v>127825500</v>
      </c>
      <c r="AN55" s="187" t="s">
        <v>9</v>
      </c>
      <c r="AO55" s="186">
        <f>SUM(AP55:BL55)</f>
        <v>0</v>
      </c>
      <c r="AP55" s="193" t="s">
        <v>10</v>
      </c>
      <c r="AQ55" s="185"/>
      <c r="AR55" s="185" t="s">
        <v>11</v>
      </c>
      <c r="AS55" s="185"/>
      <c r="AT55" s="185" t="s">
        <v>12</v>
      </c>
      <c r="AU55" s="185"/>
      <c r="AV55" s="185" t="s">
        <v>12</v>
      </c>
      <c r="AW55" s="185"/>
      <c r="AX55" s="185" t="s">
        <v>12</v>
      </c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90"/>
      <c r="BN55" s="190"/>
      <c r="BO55" s="190"/>
    </row>
    <row r="56" spans="1:71" ht="22.5" customHeight="1">
      <c r="A56" s="354"/>
      <c r="B56" s="357"/>
      <c r="C56" s="259" t="s">
        <v>129</v>
      </c>
      <c r="D56" s="227" t="s">
        <v>13</v>
      </c>
      <c r="E56" s="228">
        <f t="shared" si="72"/>
        <v>34.854545454545452</v>
      </c>
      <c r="F56" s="229" t="s">
        <v>59</v>
      </c>
      <c r="G56" s="230">
        <f t="shared" si="73"/>
        <v>0</v>
      </c>
      <c r="H56" s="359"/>
      <c r="I56" s="362"/>
      <c r="J56" s="248" t="s">
        <v>29</v>
      </c>
      <c r="K56" s="249">
        <f>$G55*K55</f>
        <v>0</v>
      </c>
      <c r="L56" s="248" t="s">
        <v>29</v>
      </c>
      <c r="M56" s="249">
        <f>$G55*M55</f>
        <v>0</v>
      </c>
      <c r="N56" s="248" t="s">
        <v>29</v>
      </c>
      <c r="O56" s="249">
        <f>$G55*O55</f>
        <v>0</v>
      </c>
      <c r="P56" s="248" t="s">
        <v>29</v>
      </c>
      <c r="Q56" s="249">
        <f>$G55*Q55</f>
        <v>7.6000000000000005</v>
      </c>
      <c r="R56" s="248" t="s">
        <v>29</v>
      </c>
      <c r="S56" s="249">
        <f>$G55*S55</f>
        <v>0</v>
      </c>
      <c r="T56" s="248" t="s">
        <v>29</v>
      </c>
      <c r="U56" s="249">
        <f>$G55*U55</f>
        <v>3.8000000000000003</v>
      </c>
      <c r="V56" s="248"/>
      <c r="W56" s="249">
        <f>$G55*W55</f>
        <v>3.8000000000000003</v>
      </c>
      <c r="X56" s="248"/>
      <c r="Y56" s="249"/>
      <c r="Z56" s="248" t="s">
        <v>29</v>
      </c>
      <c r="AA56" s="249">
        <f>$G55*AA55</f>
        <v>0</v>
      </c>
      <c r="AB56" s="248" t="s">
        <v>29</v>
      </c>
      <c r="AC56" s="249">
        <f>$G55*AC55</f>
        <v>0</v>
      </c>
      <c r="AD56" s="248" t="s">
        <v>29</v>
      </c>
      <c r="AE56" s="249">
        <f>$G55*AE55</f>
        <v>0</v>
      </c>
      <c r="AF56" s="248" t="s">
        <v>29</v>
      </c>
      <c r="AG56" s="249">
        <f>$G55*AG55</f>
        <v>0</v>
      </c>
      <c r="AH56" s="329"/>
      <c r="AI56" s="329"/>
      <c r="AJ56" s="154"/>
      <c r="AK56" s="387"/>
      <c r="AL56" s="189" t="s">
        <v>13</v>
      </c>
      <c r="AM56" s="188">
        <v>38340000</v>
      </c>
      <c r="AN56" s="187" t="s">
        <v>15</v>
      </c>
      <c r="AO56" s="186">
        <f>SUM(AP56:BL56)</f>
        <v>41800000</v>
      </c>
      <c r="AP56" s="134" t="s">
        <v>66</v>
      </c>
      <c r="AQ56" s="185">
        <v>9900000</v>
      </c>
      <c r="AR56" s="185" t="s">
        <v>175</v>
      </c>
      <c r="AS56" s="185">
        <v>31900000</v>
      </c>
      <c r="AT56" s="185" t="s">
        <v>18</v>
      </c>
      <c r="AU56" s="185"/>
      <c r="AV56" s="185" t="s">
        <v>19</v>
      </c>
      <c r="AW56" s="185"/>
      <c r="AX56" s="185" t="s">
        <v>12</v>
      </c>
      <c r="AY56" s="185"/>
      <c r="AZ56" s="185"/>
      <c r="BA56" s="185"/>
      <c r="BB56" s="185"/>
      <c r="BC56" s="185"/>
      <c r="BD56" s="185"/>
      <c r="BE56" s="185"/>
      <c r="BF56" s="185"/>
      <c r="BG56" s="185"/>
      <c r="BH56" s="185"/>
      <c r="BI56" s="185"/>
      <c r="BJ56" s="185"/>
      <c r="BK56" s="185"/>
      <c r="BL56" s="185"/>
      <c r="BM56" s="184"/>
      <c r="BN56" s="184"/>
      <c r="BO56" s="184"/>
      <c r="BP56" s="15"/>
      <c r="BQ56" s="15"/>
      <c r="BR56" s="15"/>
      <c r="BS56" s="15"/>
    </row>
    <row r="57" spans="1:71" ht="22.5" customHeight="1">
      <c r="A57" s="354"/>
      <c r="B57" s="357"/>
      <c r="C57" s="259" t="s">
        <v>37</v>
      </c>
      <c r="D57" s="227" t="s">
        <v>20</v>
      </c>
      <c r="E57" s="228">
        <f t="shared" ref="E57" si="74">E55-E56</f>
        <v>81.350454545454539</v>
      </c>
      <c r="F57" s="231" t="s">
        <v>20</v>
      </c>
      <c r="G57" s="230">
        <f t="shared" ref="G57" si="75">G55-G56</f>
        <v>38</v>
      </c>
      <c r="H57" s="359"/>
      <c r="I57" s="362"/>
      <c r="J57" s="340" t="s">
        <v>22</v>
      </c>
      <c r="K57" s="342"/>
      <c r="L57" s="340" t="s">
        <v>22</v>
      </c>
      <c r="M57" s="342"/>
      <c r="N57" s="340" t="s">
        <v>22</v>
      </c>
      <c r="O57" s="342"/>
      <c r="P57" s="340" t="s">
        <v>22</v>
      </c>
      <c r="Q57" s="342"/>
      <c r="R57" s="340" t="s">
        <v>22</v>
      </c>
      <c r="S57" s="342"/>
      <c r="T57" s="340" t="s">
        <v>22</v>
      </c>
      <c r="U57" s="342" t="str">
        <f>수행과업!U30</f>
        <v>기본계획안 작성</v>
      </c>
      <c r="V57" s="340" t="s">
        <v>22</v>
      </c>
      <c r="W57" s="342" t="str">
        <f>수행과업!W30</f>
        <v>기본계획안 작성</v>
      </c>
      <c r="X57" s="340" t="s">
        <v>22</v>
      </c>
      <c r="Y57" s="342" t="str">
        <f>수행과업!Y30</f>
        <v>도시공원심의 자료작성</v>
      </c>
      <c r="Z57" s="340" t="s">
        <v>22</v>
      </c>
      <c r="AA57" s="342"/>
      <c r="AB57" s="340" t="s">
        <v>22</v>
      </c>
      <c r="AC57" s="342"/>
      <c r="AD57" s="340" t="s">
        <v>22</v>
      </c>
      <c r="AE57" s="342"/>
      <c r="AF57" s="340" t="s">
        <v>22</v>
      </c>
      <c r="AG57" s="342"/>
      <c r="AH57" s="371"/>
      <c r="AI57" s="329"/>
      <c r="AJ57" s="154"/>
      <c r="AK57" s="387"/>
      <c r="AL57" s="189" t="s">
        <v>20</v>
      </c>
      <c r="AM57" s="188">
        <f>AM55-AM56</f>
        <v>89485500</v>
      </c>
      <c r="AN57" s="187" t="s">
        <v>59</v>
      </c>
      <c r="AO57" s="186">
        <f>SUM(AP57:BL57)</f>
        <v>0</v>
      </c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84"/>
      <c r="BN57" s="184"/>
      <c r="BO57" s="184"/>
      <c r="BP57" s="15"/>
      <c r="BQ57" s="15"/>
      <c r="BR57" s="15"/>
      <c r="BS57" s="15"/>
    </row>
    <row r="58" spans="1:71" ht="22.5" customHeight="1">
      <c r="A58" s="355"/>
      <c r="B58" s="104" t="s">
        <v>99</v>
      </c>
      <c r="C58" s="260" t="s">
        <v>38</v>
      </c>
      <c r="D58" s="232" t="s">
        <v>25</v>
      </c>
      <c r="E58" s="233">
        <f t="shared" ref="E58" si="76">E56/E55</f>
        <v>0.29994015278641584</v>
      </c>
      <c r="F58" s="232" t="s">
        <v>60</v>
      </c>
      <c r="G58" s="233">
        <f t="shared" ref="G58" si="77">G55/E55</f>
        <v>0.32700830428983263</v>
      </c>
      <c r="H58" s="360"/>
      <c r="I58" s="363"/>
      <c r="J58" s="341"/>
      <c r="K58" s="343"/>
      <c r="L58" s="341"/>
      <c r="M58" s="343"/>
      <c r="N58" s="341"/>
      <c r="O58" s="343"/>
      <c r="P58" s="341"/>
      <c r="Q58" s="343"/>
      <c r="R58" s="341"/>
      <c r="S58" s="343"/>
      <c r="T58" s="341"/>
      <c r="U58" s="343"/>
      <c r="V58" s="341"/>
      <c r="W58" s="343"/>
      <c r="X58" s="341"/>
      <c r="Y58" s="343"/>
      <c r="Z58" s="341"/>
      <c r="AA58" s="343"/>
      <c r="AB58" s="341"/>
      <c r="AC58" s="343"/>
      <c r="AD58" s="341"/>
      <c r="AE58" s="343"/>
      <c r="AF58" s="341"/>
      <c r="AG58" s="343"/>
      <c r="AH58" s="138">
        <f>(I55-E58)*E55</f>
        <v>23.247954545454547</v>
      </c>
      <c r="AI58" s="371"/>
      <c r="AJ58" s="154"/>
      <c r="AK58" s="388"/>
      <c r="AL58" s="189"/>
      <c r="AM58" s="183">
        <f>AM56/AM55</f>
        <v>0.29994015278641584</v>
      </c>
      <c r="AN58" s="182" t="s">
        <v>20</v>
      </c>
      <c r="AO58" s="181">
        <f>AO56-AO57</f>
        <v>41800000</v>
      </c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0"/>
      <c r="BN58" s="190"/>
      <c r="BO58" s="190"/>
    </row>
    <row r="59" spans="1:71" ht="22.5" customHeight="1">
      <c r="A59" s="344" t="s">
        <v>285</v>
      </c>
      <c r="B59" s="345"/>
      <c r="C59" s="346"/>
      <c r="D59" s="221" t="s">
        <v>286</v>
      </c>
      <c r="E59" s="234">
        <f>E3+E7+E11+E15+E19+E23+E27+E31+E35+E39+E43+E47+E51+E55</f>
        <v>3884.2186363636365</v>
      </c>
      <c r="F59" s="223" t="s">
        <v>307</v>
      </c>
      <c r="G59" s="234">
        <f>G3+G7+G11+G15+G19+G23+G27+G31+G35+G39+G43+G47+G51+G55</f>
        <v>789.4606818181818</v>
      </c>
      <c r="H59" s="358"/>
      <c r="I59" s="313"/>
      <c r="J59" s="225" t="s">
        <v>308</v>
      </c>
      <c r="K59" s="226"/>
      <c r="L59" s="225" t="s">
        <v>308</v>
      </c>
      <c r="M59" s="226"/>
      <c r="N59" s="225" t="s">
        <v>308</v>
      </c>
      <c r="O59" s="226"/>
      <c r="P59" s="225" t="s">
        <v>308</v>
      </c>
      <c r="Q59" s="226"/>
      <c r="R59" s="225" t="s">
        <v>308</v>
      </c>
      <c r="S59" s="226"/>
      <c r="T59" s="319"/>
      <c r="U59" s="322"/>
      <c r="V59" s="319"/>
      <c r="W59" s="322"/>
      <c r="X59" s="225" t="s">
        <v>308</v>
      </c>
      <c r="Y59" s="226"/>
      <c r="Z59" s="225" t="s">
        <v>308</v>
      </c>
      <c r="AA59" s="226"/>
      <c r="AB59" s="225" t="s">
        <v>308</v>
      </c>
      <c r="AC59" s="226"/>
      <c r="AD59" s="225" t="s">
        <v>308</v>
      </c>
      <c r="AE59" s="226"/>
      <c r="AF59" s="225" t="s">
        <v>308</v>
      </c>
      <c r="AG59" s="226"/>
      <c r="AH59" s="310">
        <f>AH6+AH10+AH14+AH18+AH22+AH26+AH30+AH34+AH38+AH42+AH46+AH50+AH54+AH58</f>
        <v>1821.6703181818179</v>
      </c>
      <c r="AI59" s="316"/>
      <c r="AJ59" s="154"/>
      <c r="AK59" s="154"/>
      <c r="AL59" s="154"/>
      <c r="AM59" s="154"/>
      <c r="AN59" s="192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0"/>
      <c r="BN59" s="190"/>
      <c r="BO59" s="190"/>
    </row>
    <row r="60" spans="1:71" ht="22.5" customHeight="1">
      <c r="A60" s="347"/>
      <c r="B60" s="348"/>
      <c r="C60" s="349"/>
      <c r="D60" s="227" t="s">
        <v>289</v>
      </c>
      <c r="E60" s="235">
        <f>E4+E8+E12+E16+E20+E24+E28+E32+E36+E40+E44+E48+E52+E56</f>
        <v>1357.2518181818182</v>
      </c>
      <c r="F60" s="229" t="s">
        <v>309</v>
      </c>
      <c r="G60" s="235">
        <f>G4+G8+G12+G16+G20+G24+G28+G32+G36+G40+G44+G48+G52+G56</f>
        <v>221.16258545454545</v>
      </c>
      <c r="H60" s="359"/>
      <c r="I60" s="314"/>
      <c r="J60" s="236" t="s">
        <v>288</v>
      </c>
      <c r="K60" s="237">
        <v>0</v>
      </c>
      <c r="L60" s="236" t="s">
        <v>288</v>
      </c>
      <c r="M60" s="237">
        <v>0</v>
      </c>
      <c r="N60" s="236" t="s">
        <v>288</v>
      </c>
      <c r="O60" s="237">
        <v>0</v>
      </c>
      <c r="P60" s="236" t="s">
        <v>288</v>
      </c>
      <c r="Q60" s="237">
        <v>0</v>
      </c>
      <c r="R60" s="236" t="s">
        <v>288</v>
      </c>
      <c r="S60" s="237">
        <v>0</v>
      </c>
      <c r="T60" s="320"/>
      <c r="U60" s="323"/>
      <c r="V60" s="320"/>
      <c r="W60" s="323"/>
      <c r="X60" s="236" t="s">
        <v>288</v>
      </c>
      <c r="Y60" s="237">
        <v>0</v>
      </c>
      <c r="Z60" s="236" t="s">
        <v>288</v>
      </c>
      <c r="AA60" s="237">
        <v>0</v>
      </c>
      <c r="AB60" s="236" t="s">
        <v>288</v>
      </c>
      <c r="AC60" s="237">
        <v>0</v>
      </c>
      <c r="AD60" s="236" t="s">
        <v>288</v>
      </c>
      <c r="AE60" s="237">
        <v>0</v>
      </c>
      <c r="AF60" s="236" t="s">
        <v>288</v>
      </c>
      <c r="AG60" s="237">
        <v>0</v>
      </c>
      <c r="AH60" s="311"/>
      <c r="AI60" s="317"/>
    </row>
    <row r="61" spans="1:71" ht="22.5" customHeight="1">
      <c r="A61" s="347"/>
      <c r="B61" s="348"/>
      <c r="C61" s="349"/>
      <c r="D61" s="227" t="s">
        <v>291</v>
      </c>
      <c r="E61" s="220">
        <f>E5+E9+E13+E17+E21+E25+E29+E33+E37+E41+E45+E49+E53+E57</f>
        <v>2526.9668181818179</v>
      </c>
      <c r="F61" s="231" t="s">
        <v>291</v>
      </c>
      <c r="G61" s="220">
        <f>G5+G9+G13+G17+G21+G25+G29+G33+G37+G41+G45+G49+G53+G57</f>
        <v>568.29809636363643</v>
      </c>
      <c r="H61" s="359"/>
      <c r="I61" s="314"/>
      <c r="J61" s="320" t="s">
        <v>310</v>
      </c>
      <c r="K61" s="349"/>
      <c r="L61" s="320" t="s">
        <v>310</v>
      </c>
      <c r="M61" s="349"/>
      <c r="N61" s="320" t="s">
        <v>310</v>
      </c>
      <c r="O61" s="349"/>
      <c r="P61" s="320" t="s">
        <v>310</v>
      </c>
      <c r="Q61" s="349"/>
      <c r="R61" s="320" t="s">
        <v>310</v>
      </c>
      <c r="S61" s="349"/>
      <c r="T61" s="320"/>
      <c r="U61" s="323"/>
      <c r="V61" s="320"/>
      <c r="W61" s="323"/>
      <c r="X61" s="320" t="s">
        <v>310</v>
      </c>
      <c r="Y61" s="349"/>
      <c r="Z61" s="320" t="s">
        <v>310</v>
      </c>
      <c r="AA61" s="349"/>
      <c r="AB61" s="320" t="s">
        <v>310</v>
      </c>
      <c r="AC61" s="349"/>
      <c r="AD61" s="320" t="s">
        <v>310</v>
      </c>
      <c r="AE61" s="349"/>
      <c r="AF61" s="320" t="s">
        <v>310</v>
      </c>
      <c r="AG61" s="349"/>
      <c r="AH61" s="311"/>
      <c r="AI61" s="317"/>
    </row>
    <row r="62" spans="1:71" ht="22.5" customHeight="1">
      <c r="A62" s="350"/>
      <c r="B62" s="351"/>
      <c r="C62" s="352"/>
      <c r="D62" s="232" t="s">
        <v>293</v>
      </c>
      <c r="E62" s="233">
        <f t="shared" ref="E62" si="78">E60/E59</f>
        <v>0.34942724528309832</v>
      </c>
      <c r="F62" s="232" t="s">
        <v>311</v>
      </c>
      <c r="G62" s="233">
        <f t="shared" ref="G62" si="79">G59/E59</f>
        <v>0.20324826064818699</v>
      </c>
      <c r="H62" s="360"/>
      <c r="I62" s="315"/>
      <c r="J62" s="384"/>
      <c r="K62" s="385"/>
      <c r="L62" s="384"/>
      <c r="M62" s="385"/>
      <c r="N62" s="384"/>
      <c r="O62" s="385"/>
      <c r="P62" s="384"/>
      <c r="Q62" s="385"/>
      <c r="R62" s="384"/>
      <c r="S62" s="385"/>
      <c r="T62" s="321"/>
      <c r="U62" s="324"/>
      <c r="V62" s="321"/>
      <c r="W62" s="324"/>
      <c r="X62" s="384"/>
      <c r="Y62" s="385"/>
      <c r="Z62" s="384"/>
      <c r="AA62" s="385"/>
      <c r="AB62" s="384"/>
      <c r="AC62" s="385"/>
      <c r="AD62" s="384"/>
      <c r="AE62" s="385"/>
      <c r="AF62" s="384"/>
      <c r="AG62" s="385"/>
      <c r="AH62" s="312"/>
      <c r="AI62" s="318"/>
    </row>
  </sheetData>
  <mergeCells count="477">
    <mergeCell ref="W59:W62"/>
    <mergeCell ref="AH59:AH62"/>
    <mergeCell ref="AI59:AI62"/>
    <mergeCell ref="J61:J62"/>
    <mergeCell ref="K61:K62"/>
    <mergeCell ref="L61:L62"/>
    <mergeCell ref="M61:M62"/>
    <mergeCell ref="N61:N62"/>
    <mergeCell ref="O61:O62"/>
    <mergeCell ref="P61:P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AC61:AC62"/>
    <mergeCell ref="A59:C62"/>
    <mergeCell ref="H59:H62"/>
    <mergeCell ref="I59:I62"/>
    <mergeCell ref="T59:T62"/>
    <mergeCell ref="U59:U62"/>
    <mergeCell ref="V59:V62"/>
    <mergeCell ref="Q61:Q62"/>
    <mergeCell ref="R61:R62"/>
    <mergeCell ref="S61:S62"/>
    <mergeCell ref="AI55:AI58"/>
    <mergeCell ref="AK55:AK58"/>
    <mergeCell ref="J57:J58"/>
    <mergeCell ref="K57:K58"/>
    <mergeCell ref="L57:L58"/>
    <mergeCell ref="M57:M58"/>
    <mergeCell ref="N57:N58"/>
    <mergeCell ref="O57:O58"/>
    <mergeCell ref="P57:P58"/>
    <mergeCell ref="Q57:Q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A55:A58"/>
    <mergeCell ref="B55:B57"/>
    <mergeCell ref="H55:H58"/>
    <mergeCell ref="I55:I58"/>
    <mergeCell ref="AH55:AH57"/>
    <mergeCell ref="R57:R58"/>
    <mergeCell ref="S57:S58"/>
    <mergeCell ref="T57:T58"/>
    <mergeCell ref="U57:U58"/>
    <mergeCell ref="AI51:AI54"/>
    <mergeCell ref="AK51:AK54"/>
    <mergeCell ref="J53:J54"/>
    <mergeCell ref="K53:K54"/>
    <mergeCell ref="L53:L54"/>
    <mergeCell ref="M53:M54"/>
    <mergeCell ref="N53:N54"/>
    <mergeCell ref="O53:O54"/>
    <mergeCell ref="P53:P54"/>
    <mergeCell ref="AG53:AG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AH51:AH53"/>
    <mergeCell ref="A51:A54"/>
    <mergeCell ref="B51:B53"/>
    <mergeCell ref="H51:H54"/>
    <mergeCell ref="I51:I54"/>
    <mergeCell ref="Q53:Q54"/>
    <mergeCell ref="R53:R54"/>
    <mergeCell ref="S53:S54"/>
    <mergeCell ref="T53:T54"/>
    <mergeCell ref="Z49:Z50"/>
    <mergeCell ref="T49:T50"/>
    <mergeCell ref="U49:U50"/>
    <mergeCell ref="V49:V50"/>
    <mergeCell ref="W49:W50"/>
    <mergeCell ref="X49:X50"/>
    <mergeCell ref="Y49:Y50"/>
    <mergeCell ref="A47:A50"/>
    <mergeCell ref="B47:B49"/>
    <mergeCell ref="H47:H50"/>
    <mergeCell ref="I47:I50"/>
    <mergeCell ref="AH43:AH45"/>
    <mergeCell ref="AH47:AH49"/>
    <mergeCell ref="AI47:AI50"/>
    <mergeCell ref="AK47:AK50"/>
    <mergeCell ref="J49:J50"/>
    <mergeCell ref="K49:K50"/>
    <mergeCell ref="L49:L50"/>
    <mergeCell ref="M49:M50"/>
    <mergeCell ref="N49:N50"/>
    <mergeCell ref="O49:O50"/>
    <mergeCell ref="P49:P50"/>
    <mergeCell ref="AF49:AF50"/>
    <mergeCell ref="AG49:AG50"/>
    <mergeCell ref="AA49:AA50"/>
    <mergeCell ref="AB49:AB50"/>
    <mergeCell ref="AC49:AC50"/>
    <mergeCell ref="AD49:AD50"/>
    <mergeCell ref="AE49:AE50"/>
    <mergeCell ref="Q49:Q50"/>
    <mergeCell ref="R49:R50"/>
    <mergeCell ref="S49:S50"/>
    <mergeCell ref="AI43:AI46"/>
    <mergeCell ref="AK43:AK46"/>
    <mergeCell ref="J45:J46"/>
    <mergeCell ref="P45:P46"/>
    <mergeCell ref="AE45:AE46"/>
    <mergeCell ref="AF45:AF46"/>
    <mergeCell ref="AG45:AG46"/>
    <mergeCell ref="AA45:AA46"/>
    <mergeCell ref="AB45:AB46"/>
    <mergeCell ref="AC45:AC46"/>
    <mergeCell ref="AD45:AD46"/>
    <mergeCell ref="Y45:Y46"/>
    <mergeCell ref="Z45:Z46"/>
    <mergeCell ref="S45:S46"/>
    <mergeCell ref="T45:T46"/>
    <mergeCell ref="U45:U46"/>
    <mergeCell ref="V45:V46"/>
    <mergeCell ref="W45:W46"/>
    <mergeCell ref="X45:X46"/>
    <mergeCell ref="A43:A46"/>
    <mergeCell ref="B43:B45"/>
    <mergeCell ref="H43:H46"/>
    <mergeCell ref="I43:I46"/>
    <mergeCell ref="Q45:Q46"/>
    <mergeCell ref="R45:R46"/>
    <mergeCell ref="X41:X42"/>
    <mergeCell ref="Y41:Y42"/>
    <mergeCell ref="Z41:Z42"/>
    <mergeCell ref="R41:R42"/>
    <mergeCell ref="S41:S42"/>
    <mergeCell ref="T41:T42"/>
    <mergeCell ref="U41:U42"/>
    <mergeCell ref="V41:V42"/>
    <mergeCell ref="W41:W42"/>
    <mergeCell ref="A39:A42"/>
    <mergeCell ref="B39:B41"/>
    <mergeCell ref="H39:H42"/>
    <mergeCell ref="I39:I42"/>
    <mergeCell ref="K45:K46"/>
    <mergeCell ref="L45:L46"/>
    <mergeCell ref="M45:M46"/>
    <mergeCell ref="N45:N46"/>
    <mergeCell ref="O45:O46"/>
    <mergeCell ref="AH39:AH41"/>
    <mergeCell ref="AI39:AI42"/>
    <mergeCell ref="AK39:AK42"/>
    <mergeCell ref="J41:J42"/>
    <mergeCell ref="K41:K42"/>
    <mergeCell ref="L41:L42"/>
    <mergeCell ref="M41:M42"/>
    <mergeCell ref="N41:N42"/>
    <mergeCell ref="O41:O42"/>
    <mergeCell ref="P41:P42"/>
    <mergeCell ref="AD41:AD42"/>
    <mergeCell ref="AE41:AE42"/>
    <mergeCell ref="AF41:AF42"/>
    <mergeCell ref="AG41:AG42"/>
    <mergeCell ref="AA41:AA42"/>
    <mergeCell ref="AB41:AB42"/>
    <mergeCell ref="AC41:AC42"/>
    <mergeCell ref="Q41:Q42"/>
    <mergeCell ref="W37:W38"/>
    <mergeCell ref="X37:X38"/>
    <mergeCell ref="Y37:Y38"/>
    <mergeCell ref="Z37:Z38"/>
    <mergeCell ref="A35:A38"/>
    <mergeCell ref="B35:B37"/>
    <mergeCell ref="H35:H38"/>
    <mergeCell ref="I35:I38"/>
    <mergeCell ref="AK35:AK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AH35:AH37"/>
    <mergeCell ref="AI35:AI38"/>
    <mergeCell ref="S37:S38"/>
    <mergeCell ref="T37:T38"/>
    <mergeCell ref="U37:U38"/>
    <mergeCell ref="V37:V38"/>
    <mergeCell ref="AC37:AC38"/>
    <mergeCell ref="AD37:AD38"/>
    <mergeCell ref="AE37:AE38"/>
    <mergeCell ref="AF37:AF38"/>
    <mergeCell ref="AG37:AG38"/>
    <mergeCell ref="AA37:AA38"/>
    <mergeCell ref="AB37:AB38"/>
    <mergeCell ref="AI31:AI34"/>
    <mergeCell ref="AK31:AK34"/>
    <mergeCell ref="AC33:AC34"/>
    <mergeCell ref="AD33:AD34"/>
    <mergeCell ref="AE33:AE34"/>
    <mergeCell ref="AF33:AF34"/>
    <mergeCell ref="AG33:AG34"/>
    <mergeCell ref="A31:A34"/>
    <mergeCell ref="B31:B33"/>
    <mergeCell ref="H31:H34"/>
    <mergeCell ref="I31:I34"/>
    <mergeCell ref="AH31:AH33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P33:P34"/>
    <mergeCell ref="Q33:Q34"/>
    <mergeCell ref="AB33:AB34"/>
    <mergeCell ref="V33:V34"/>
    <mergeCell ref="W33:W34"/>
    <mergeCell ref="X33:X34"/>
    <mergeCell ref="Y33:Y34"/>
    <mergeCell ref="Z33:Z34"/>
    <mergeCell ref="AA33:AA34"/>
    <mergeCell ref="AI27:AI30"/>
    <mergeCell ref="AK27:AK30"/>
    <mergeCell ref="J29:J30"/>
    <mergeCell ref="K29:K30"/>
    <mergeCell ref="L29:L30"/>
    <mergeCell ref="M29:M30"/>
    <mergeCell ref="N29:N30"/>
    <mergeCell ref="O29:O30"/>
    <mergeCell ref="P29:P30"/>
    <mergeCell ref="AG29:AG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AH27:AH29"/>
    <mergeCell ref="A27:A30"/>
    <mergeCell ref="B27:B29"/>
    <mergeCell ref="H27:H30"/>
    <mergeCell ref="I27:I30"/>
    <mergeCell ref="Q29:Q30"/>
    <mergeCell ref="R29:R30"/>
    <mergeCell ref="S29:S30"/>
    <mergeCell ref="T29:T30"/>
    <mergeCell ref="Z25:Z26"/>
    <mergeCell ref="T25:T26"/>
    <mergeCell ref="U25:U26"/>
    <mergeCell ref="V25:V26"/>
    <mergeCell ref="W25:W26"/>
    <mergeCell ref="X25:X26"/>
    <mergeCell ref="Y25:Y26"/>
    <mergeCell ref="A23:A26"/>
    <mergeCell ref="B23:B25"/>
    <mergeCell ref="H23:H26"/>
    <mergeCell ref="I23:I26"/>
    <mergeCell ref="AH19:AH21"/>
    <mergeCell ref="AH23:AH25"/>
    <mergeCell ref="AI23:AI26"/>
    <mergeCell ref="AK23:AK26"/>
    <mergeCell ref="J25:J26"/>
    <mergeCell ref="K25:K26"/>
    <mergeCell ref="L25:L26"/>
    <mergeCell ref="M25:M26"/>
    <mergeCell ref="N25:N26"/>
    <mergeCell ref="O25:O26"/>
    <mergeCell ref="P25:P26"/>
    <mergeCell ref="AF25:AF26"/>
    <mergeCell ref="AG25:AG26"/>
    <mergeCell ref="AA25:AA26"/>
    <mergeCell ref="AB25:AB26"/>
    <mergeCell ref="AC25:AC26"/>
    <mergeCell ref="AD25:AD26"/>
    <mergeCell ref="AE25:AE26"/>
    <mergeCell ref="Q25:Q26"/>
    <mergeCell ref="R25:R26"/>
    <mergeCell ref="S25:S26"/>
    <mergeCell ref="AI19:AI22"/>
    <mergeCell ref="AK19:AK22"/>
    <mergeCell ref="J21:J22"/>
    <mergeCell ref="P21:P22"/>
    <mergeCell ref="AE21:AE22"/>
    <mergeCell ref="AF21:AF22"/>
    <mergeCell ref="AG21:AG22"/>
    <mergeCell ref="AA21:AA22"/>
    <mergeCell ref="AB21:AB22"/>
    <mergeCell ref="AC21:AC22"/>
    <mergeCell ref="AD21:AD22"/>
    <mergeCell ref="Y21:Y22"/>
    <mergeCell ref="Z21:Z22"/>
    <mergeCell ref="S21:S22"/>
    <mergeCell ref="T21:T22"/>
    <mergeCell ref="U21:U22"/>
    <mergeCell ref="V21:V22"/>
    <mergeCell ref="W21:W22"/>
    <mergeCell ref="X21:X22"/>
    <mergeCell ref="A19:A22"/>
    <mergeCell ref="B19:B21"/>
    <mergeCell ref="H19:H22"/>
    <mergeCell ref="I19:I22"/>
    <mergeCell ref="Q21:Q22"/>
    <mergeCell ref="R21:R22"/>
    <mergeCell ref="X17:X18"/>
    <mergeCell ref="Y17:Y18"/>
    <mergeCell ref="Z17:Z18"/>
    <mergeCell ref="R17:R18"/>
    <mergeCell ref="S17:S18"/>
    <mergeCell ref="T17:T18"/>
    <mergeCell ref="U17:U18"/>
    <mergeCell ref="V17:V18"/>
    <mergeCell ref="W17:W18"/>
    <mergeCell ref="A15:A18"/>
    <mergeCell ref="B15:B17"/>
    <mergeCell ref="H15:H18"/>
    <mergeCell ref="I15:I18"/>
    <mergeCell ref="K21:K22"/>
    <mergeCell ref="L21:L22"/>
    <mergeCell ref="M21:M22"/>
    <mergeCell ref="N21:N22"/>
    <mergeCell ref="O21:O22"/>
    <mergeCell ref="AH15:AH17"/>
    <mergeCell ref="AI15:AI18"/>
    <mergeCell ref="AK15:AK18"/>
    <mergeCell ref="J17:J18"/>
    <mergeCell ref="K17:K18"/>
    <mergeCell ref="L17:L18"/>
    <mergeCell ref="M17:M18"/>
    <mergeCell ref="N17:N18"/>
    <mergeCell ref="O17:O18"/>
    <mergeCell ref="P17:P18"/>
    <mergeCell ref="AD17:AD18"/>
    <mergeCell ref="AE17:AE18"/>
    <mergeCell ref="AF17:AF18"/>
    <mergeCell ref="AG17:AG18"/>
    <mergeCell ref="AA17:AA18"/>
    <mergeCell ref="AB17:AB18"/>
    <mergeCell ref="AC17:AC18"/>
    <mergeCell ref="Q17:Q18"/>
    <mergeCell ref="W13:W14"/>
    <mergeCell ref="X13:X14"/>
    <mergeCell ref="Y13:Y14"/>
    <mergeCell ref="Z13:Z14"/>
    <mergeCell ref="A11:A14"/>
    <mergeCell ref="B11:B13"/>
    <mergeCell ref="H11:H14"/>
    <mergeCell ref="I11:I14"/>
    <mergeCell ref="AK11:AK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AH11:AH13"/>
    <mergeCell ref="AI11:AI14"/>
    <mergeCell ref="S13:S14"/>
    <mergeCell ref="T13:T14"/>
    <mergeCell ref="U13:U14"/>
    <mergeCell ref="V13:V14"/>
    <mergeCell ref="AC13:AC14"/>
    <mergeCell ref="AD13:AD14"/>
    <mergeCell ref="AE13:AE14"/>
    <mergeCell ref="AF13:AF14"/>
    <mergeCell ref="AG13:AG14"/>
    <mergeCell ref="AA13:AA14"/>
    <mergeCell ref="AB13:AB14"/>
    <mergeCell ref="AI7:AI10"/>
    <mergeCell ref="AK7:AK10"/>
    <mergeCell ref="AC9:AC10"/>
    <mergeCell ref="AD9:AD10"/>
    <mergeCell ref="AE9:AE10"/>
    <mergeCell ref="AF9:AF10"/>
    <mergeCell ref="AG9:AG10"/>
    <mergeCell ref="A7:A10"/>
    <mergeCell ref="B7:B9"/>
    <mergeCell ref="H7:H10"/>
    <mergeCell ref="I7:I10"/>
    <mergeCell ref="AH7:AH9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P9:P10"/>
    <mergeCell ref="Q9:Q10"/>
    <mergeCell ref="AB9:AB10"/>
    <mergeCell ref="V9:V10"/>
    <mergeCell ref="W9:W10"/>
    <mergeCell ref="X9:X10"/>
    <mergeCell ref="Y9:Y10"/>
    <mergeCell ref="Z9:Z10"/>
    <mergeCell ref="AA9:AA10"/>
    <mergeCell ref="AI3:AI6"/>
    <mergeCell ref="AK3:AK6"/>
    <mergeCell ref="J5:J6"/>
    <mergeCell ref="K5:K6"/>
    <mergeCell ref="L5:L6"/>
    <mergeCell ref="M5:M6"/>
    <mergeCell ref="N5:N6"/>
    <mergeCell ref="O5:O6"/>
    <mergeCell ref="P5:P6"/>
    <mergeCell ref="AG5:AG6"/>
    <mergeCell ref="AA5:AA6"/>
    <mergeCell ref="AB5:AB6"/>
    <mergeCell ref="AC5:AC6"/>
    <mergeCell ref="AD5:AD6"/>
    <mergeCell ref="AE5:AE6"/>
    <mergeCell ref="AF5:AF6"/>
    <mergeCell ref="U5:U6"/>
    <mergeCell ref="V5:V6"/>
    <mergeCell ref="W5:W6"/>
    <mergeCell ref="X5:X6"/>
    <mergeCell ref="Y5:Y6"/>
    <mergeCell ref="Z5:Z6"/>
    <mergeCell ref="AH3:AH5"/>
    <mergeCell ref="AD2:AE2"/>
    <mergeCell ref="AF2:AG2"/>
    <mergeCell ref="A3:A6"/>
    <mergeCell ref="B3:B5"/>
    <mergeCell ref="H3:H6"/>
    <mergeCell ref="I3:I6"/>
    <mergeCell ref="Q5:Q6"/>
    <mergeCell ref="R5:R6"/>
    <mergeCell ref="S5:S6"/>
    <mergeCell ref="T5:T6"/>
    <mergeCell ref="R2:S2"/>
    <mergeCell ref="T2:U2"/>
    <mergeCell ref="V2:W2"/>
    <mergeCell ref="X2:Y2"/>
    <mergeCell ref="Z2:AA2"/>
    <mergeCell ref="AB2:AC2"/>
    <mergeCell ref="D2:E2"/>
    <mergeCell ref="F2:G2"/>
    <mergeCell ref="J2:K2"/>
    <mergeCell ref="L2:M2"/>
    <mergeCell ref="N2:O2"/>
    <mergeCell ref="P2:Q2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scale="96" orientation="landscape" r:id="rId1"/>
  <rowBreaks count="2" manualBreakCount="2">
    <brk id="22" max="34" man="1"/>
    <brk id="42" max="3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12:E13"/>
  <sheetViews>
    <sheetView workbookViewId="0">
      <selection activeCell="E13" sqref="E12:E13"/>
    </sheetView>
  </sheetViews>
  <sheetFormatPr defaultRowHeight="16.5"/>
  <sheetData>
    <row r="12" spans="5:5">
      <c r="E12">
        <v>55</v>
      </c>
    </row>
    <row r="13" spans="5:5">
      <c r="E13">
        <v>93.5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총  괄 </vt:lpstr>
      <vt:lpstr>수행과업</vt:lpstr>
      <vt:lpstr>부서협조</vt:lpstr>
      <vt:lpstr>일괄외주관리(없음)-출력X</vt:lpstr>
      <vt:lpstr>외주관리-부가세포함(토목부 백업)-출력X</vt:lpstr>
      <vt:lpstr>Sheet1</vt:lpstr>
      <vt:lpstr>Sheet2</vt:lpstr>
      <vt:lpstr>Sheet3</vt:lpstr>
      <vt:lpstr>Sheet4</vt:lpstr>
      <vt:lpstr>부서협조!Print_Area</vt:lpstr>
      <vt:lpstr>수행과업!Print_Area</vt:lpstr>
      <vt:lpstr>'외주관리-부가세포함(토목부 백업)-출력X'!Print_Area</vt:lpstr>
      <vt:lpstr>'일괄외주관리(없음)-출력X'!Print_Area</vt:lpstr>
      <vt:lpstr>'총  괄 '!Print_Area</vt:lpstr>
      <vt:lpstr>수행과업!Print_Titles</vt:lpstr>
      <vt:lpstr>'외주관리-부가세포함(토목부 백업)-출력X'!Print_Titles</vt:lpstr>
      <vt:lpstr>'일괄외주관리(없음)-출력X'!Print_Titles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ch677</dc:creator>
  <cp:lastModifiedBy>chi hyung an</cp:lastModifiedBy>
  <cp:lastPrinted>2019-08-29T02:13:04Z</cp:lastPrinted>
  <dcterms:created xsi:type="dcterms:W3CDTF">2019-07-11T08:22:01Z</dcterms:created>
  <dcterms:modified xsi:type="dcterms:W3CDTF">2021-11-19T04:29:00Z</dcterms:modified>
</cp:coreProperties>
</file>